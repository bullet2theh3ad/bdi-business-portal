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3.xml" ContentType="application/vnd.openxmlformats-officedocument.spreadsheetml.comments+xml"/>
  <Override PartName="/xl/drawings/drawing3.xml" ContentType="application/vnd.openxmlformats-officedocument.drawing+xml"/>
  <Override PartName="/xl/charts/chart2.xml" ContentType="application/vnd.openxmlformats-officedocument.drawingml.chart+xml"/>
  <Override PartName="/xl/comments4.xml" ContentType="application/vnd.openxmlformats-officedocument.spreadsheetml.comments+xml"/>
  <Override PartName="/xl/pivotTables/pivotTable1.xml" ContentType="application/vnd.openxmlformats-officedocument.spreadsheetml.pivotTable+xml"/>
  <Override PartName="/xl/comments5.xml" ContentType="application/vnd.openxmlformats-officedocument.spreadsheetml.comments+xml"/>
  <Override PartName="/xl/comments6.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1" ContentType="application/binary"/>
  <Override PartName="/xl/commentsmeta0" ContentType="application/binary"/>
  <Override PartName="/xl/commentsmeta2" ContentType="application/binary"/>
  <Override PartName="/xl/commentsmeta3" ContentType="application/binary"/>
  <Override PartName="/xl/commentsmeta4"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mc:AlternateContent xmlns:mc="http://schemas.openxmlformats.org/markup-compatibility/2006">
    <mc:Choice Requires="x15">
      <x15ac:absPath xmlns:x15ac="http://schemas.microsoft.com/office/spreadsheetml/2010/11/ac" url="/Users/Steve/Projects/BDI/BDI PORTAL/"/>
    </mc:Choice>
  </mc:AlternateContent>
  <xr:revisionPtr revIDLastSave="0" documentId="8_{F63E3E3F-87F0-884F-A574-2E42F3F8BE7B}" xr6:coauthVersionLast="47" xr6:coauthVersionMax="47" xr10:uidLastSave="{00000000-0000-0000-0000-000000000000}"/>
  <bookViews>
    <workbookView xWindow="-120" yWindow="760" windowWidth="19420" windowHeight="11500" firstSheet="2" activeTab="2" xr2:uid="{00000000-000D-0000-FFFF-FFFF00000000}"/>
  </bookViews>
  <sheets>
    <sheet name="DEFINITIONS" sheetId="1" r:id="rId1"/>
    <sheet name="CURRENT FORECAST START DATE" sheetId="2" r:id="rId2"/>
    <sheet name="Weekly Spend" sheetId="5" r:id="rId3"/>
    <sheet name="CURRENT WEEK CASHFLOW FORECAST" sheetId="3" r:id="rId4"/>
    <sheet name="Sheet1" sheetId="21" r:id="rId5"/>
    <sheet name="Cash Receipts" sheetId="15" state="hidden" r:id="rId6"/>
    <sheet name="LAST WEEK CASHFLOW FORECAST" sheetId="9" state="hidden" r:id="rId7"/>
    <sheet name="CASHFLOW VARIANCE ANALYSIS" sheetId="4" state="hidden" r:id="rId8"/>
    <sheet name="NRE Inventory" sheetId="19" r:id="rId9"/>
    <sheet name="Memory Chips &amp; Issoy Sale" sheetId="20" r:id="rId10"/>
    <sheet name="Sheet3" sheetId="17" state="hidden" r:id="rId11"/>
    <sheet name="MTN Payment Schedule Summary" sheetId="16" r:id="rId12"/>
    <sheet name="New Gryphon SOW CLS Optimized" sheetId="6" r:id="rId13"/>
    <sheet name="Cash in v1" sheetId="7" state="hidden" r:id="rId14"/>
    <sheet name="Cash in detail" sheetId="8" state="hidden" r:id="rId15"/>
    <sheet name="Cash in old version" sheetId="10" state="hidden" r:id="rId16"/>
    <sheet name="Labor Spend" sheetId="11" r:id="rId17"/>
    <sheet name="PO 3 Shipment" sheetId="12" r:id="rId18"/>
    <sheet name="SC Cost File" sheetId="13" r:id="rId19"/>
    <sheet name="Susan PGL" sheetId="14" state="hidden" r:id="rId20"/>
  </sheets>
  <externalReferences>
    <externalReference r:id="rId21"/>
  </externalReferences>
  <definedNames>
    <definedName name="_______CAP10">{"LC",#N/A,FALSE,"FC-15 Cap Expend"}</definedName>
    <definedName name="_______FA16434">{"TOTALFAB",#N/A,FALSE,"WAFER FAB 1 EXPENSE";"FABMANAGEMENT",#N/A,FALSE,"WAFER FAB 1 EXPENSE";"FABPRODUCTION",#N/A,FALSE,"WAFER FAB 1 EXPENSE";"FABENGINEERING",#N/A,FALSE,"WAFER FAB 1 EXPENSE";"FABEQUIPSUPPORT",#N/A,FALSE,"WAFER FAB 1 EXPENSE";"FABPRODUCTLINE",#N/A,FALSE,"WAFER FAB 1 EXPENSE";"FABMATERIALS",#N/A,FALSE,"WAFER FAB 1 EXPENSE"}</definedName>
    <definedName name="_______FA26434">{"TOTALFAB",#N/A,FALSE,"WAFER FAB 2 EXPENSE";"FABPRODUCTION",#N/A,FALSE,"WAFER FAB 2 EXPENSE";"FABENGINEERING",#N/A,FALSE,"WAFER FAB 2 EXPENSE";"FABEQUIPSUPPORT",#N/A,FALSE,"WAFER FAB 2 EXPENSE";"FABPRODUCTLINE",#N/A,FALSE,"WAFER FAB 2 EXPENSE";"FABMATERIALS",#N/A,FALSE,"WAFER FAB 2 EXPENSE"}</definedName>
    <definedName name="_______FA96434">{"TOTALFAB",#N/A,FALSE,"WAFER FAB 2 EXPENSE";"FABPRODUCTION",#N/A,FALSE,"WAFER FAB 2 EXPENSE";"FABENGINEERING",#N/A,FALSE,"WAFER FAB 2 EXPENSE";"FABEQUIPSUPPORT",#N/A,FALSE,"WAFER FAB 2 EXPENSE";"FABPRODUCTLINE",#N/A,FALSE,"WAFER FAB 2 EXPENSE";"FABMATERIALS",#N/A,FALSE,"WAFER FAB 2 EXPENSE"}</definedName>
    <definedName name="_______FAC6434">{"TOTAL",#N/A,FALSE,"FACILITIES EXPENSE";"TOTALDETAIL",#N/A,FALSE,"FACILITIES EXPENSE";"MATERIALS",#N/A,FALSE,"FACILITIES EXPENSE";"FACILITIES",#N/A,FALSE,"FACILITIES EXPENSE";"CHEM",#N/A,FALSE,"FACILITIES EXPENSE";"GENSVC",#N/A,FALSE,"FACILITIES EXPENSE";"SAFETY",#N/A,FALSE,"FACILITIES EXPENSE"}</definedName>
    <definedName name="_______new3">{"FY98Q1 nvs",#N/A,FALSE,"FY98 - Q1";"FY98Q2 nvs",#N/A,FALSE,"FY98 - Q2";"FY98Q3 nvs",#N/A,FALSE,"FY98 - Q3";"FY98Q4 nvs",#N/A,FALSE,"FY98 - Q4"}</definedName>
    <definedName name="_______new4">{"INPUT",#N/A,FALSE,"REVENUE AND GM ";"CONTROL",#N/A,FALSE,"REVENUE AND GM ";"SWITCH",#N/A,FALSE,"REVENUE AND GM ";"OUTPUT",#N/A,FALSE,"REVENUE AND GM ";"TOTAL",#N/A,FALSE,"REVENUE AND GM "}</definedName>
    <definedName name="_______new5">{"FY97Total",#N/A,FALSE,"FY97 - Total";"FY98Total",#N/A,FALSE,"FY98 - Total"}</definedName>
    <definedName name="_______new6">{"FY97Q1",#N/A,FALSE,"FY97 - Q1";"FY97Q2",#N/A,FALSE,"FY97 - Q2";"FY97Q3",#N/A,FALSE,"FY97 - Q3";"FY97Q4",#N/A,FALSE,"FY97 - Q4"}</definedName>
    <definedName name="______ASS6434">{"TOTALASSEMBLY",#N/A,FALSE,"ASSEMBLY EXPENSE";"DPAK",#N/A,FALSE,"ASSEMBLY EXPENSE";"TO220",#N/A,FALSE,"ASSEMBLY EXPENSE";"HEXDIP",#N/A,FALSE,"ASSEMBLY EXPENSE";"HEXSENSE",#N/A,FALSE,"ASSEMBLY EXPENSE";"MANAGEMENT",#N/A,FALSE,"ASSEMBLY EXPENSE";"MFGENGINEERING",#N/A,FALSE,"ASSEMBLY EXPENSE";"EQUIPENGINEERING",#N/A,FALSE,"ASSEMBLY EXPENSE";"TO220MGMT",#N/A,FALSE,"ASSEMBLY EXPENSE";"SAW",#N/A,FALSE,"ASSEMBLY EXPENSE";"EQUIPMENTSUPPORT",#N/A,FALSE,"ASSEMBLY EXPENSE";"MATERIALS",#N/A,FALSE,"ASSEMBLY EXPENSE"}</definedName>
    <definedName name="______CAP10">{"LC",#N/A,FALSE,"FC-15 Cap Expend"}</definedName>
    <definedName name="______DP6434">{"TOTALDPAK",#N/A,FALSE,"DPAK PRODUCTION";"HADPAK",#N/A,FALSE,"DPAK PRODUCTION";"PSIDPAK",#N/A,FALSE,"DPAK PRODUCTION"}</definedName>
    <definedName name="______FA16434">{"TOTALFAB",#N/A,FALSE,"WAFER FAB 1 EXPENSE";"FABMANAGEMENT",#N/A,FALSE,"WAFER FAB 1 EXPENSE";"FABPRODUCTION",#N/A,FALSE,"WAFER FAB 1 EXPENSE";"FABENGINEERING",#N/A,FALSE,"WAFER FAB 1 EXPENSE";"FABEQUIPSUPPORT",#N/A,FALSE,"WAFER FAB 1 EXPENSE";"FABPRODUCTLINE",#N/A,FALSE,"WAFER FAB 1 EXPENSE";"FABMATERIALS",#N/A,FALSE,"WAFER FAB 1 EXPENSE"}</definedName>
    <definedName name="______FA26434">{"TOTALFAB",#N/A,FALSE,"WAFER FAB 2 EXPENSE";"FABPRODUCTION",#N/A,FALSE,"WAFER FAB 2 EXPENSE";"FABENGINEERING",#N/A,FALSE,"WAFER FAB 2 EXPENSE";"FABEQUIPSUPPORT",#N/A,FALSE,"WAFER FAB 2 EXPENSE";"FABPRODUCTLINE",#N/A,FALSE,"WAFER FAB 2 EXPENSE";"FABMATERIALS",#N/A,FALSE,"WAFER FAB 2 EXPENSE"}</definedName>
    <definedName name="______FA96434">{"TOTALFAB",#N/A,FALSE,"WAFER FAB 2 EXPENSE";"FABPRODUCTION",#N/A,FALSE,"WAFER FAB 2 EXPENSE";"FABENGINEERING",#N/A,FALSE,"WAFER FAB 2 EXPENSE";"FABEQUIPSUPPORT",#N/A,FALSE,"WAFER FAB 2 EXPENSE";"FABPRODUCTLINE",#N/A,FALSE,"WAFER FAB 2 EXPENSE";"FABMATERIALS",#N/A,FALSE,"WAFER FAB 2 EXPENSE"}</definedName>
    <definedName name="______FAC6434">{"TOTAL",#N/A,FALSE,"FACILITIES EXPENSE";"TOTALDETAIL",#N/A,FALSE,"FACILITIES EXPENSE";"MATERIALS",#N/A,FALSE,"FACILITIES EXPENSE";"FACILITIES",#N/A,FALSE,"FACILITIES EXPENSE";"CHEM",#N/A,FALSE,"FACILITIES EXPENSE";"GENSVC",#N/A,FALSE,"FACILITIES EXPENSE";"SAFETY",#N/A,FALSE,"FACILITIES EXPENSE"}</definedName>
    <definedName name="______new3">{"FY98Q1 nvs",#N/A,FALSE,"FY98 - Q1";"FY98Q2 nvs",#N/A,FALSE,"FY98 - Q2";"FY98Q3 nvs",#N/A,FALSE,"FY98 - Q3";"FY98Q4 nvs",#N/A,FALSE,"FY98 - Q4"}</definedName>
    <definedName name="______new4">{"INPUT",#N/A,FALSE,"REVENUE AND GM ";"CONTROL",#N/A,FALSE,"REVENUE AND GM ";"SWITCH",#N/A,FALSE,"REVENUE AND GM ";"OUTPUT",#N/A,FALSE,"REVENUE AND GM ";"TOTAL",#N/A,FALSE,"REVENUE AND GM "}</definedName>
    <definedName name="______new5">{"FY97Total",#N/A,FALSE,"FY97 - Total";"FY98Total",#N/A,FALSE,"FY98 - Total"}</definedName>
    <definedName name="______new6">{"FY97Q1",#N/A,FALSE,"FY97 - Q1";"FY97Q2",#N/A,FALSE,"FY97 - Q2";"FY97Q3",#N/A,FALSE,"FY97 - Q3";"FY97Q4",#N/A,FALSE,"FY97 - Q4"}</definedName>
    <definedName name="______QR6434">{"QAEXPENSE",#N/A,FALSE,"QUALITY AND RELIABILITY EXPENSE";"qaadmin",#N/A,FALSE,"QUALITY AND RELIABILITY EXPENSE";"FA",#N/A,FALSE,"QUALITY AND RELIABILITY EXPENSE";"QA",#N/A,FALSE,"QUALITY AND RELIABILITY EXPENSE";"DOCCTRL",#N/A,FALSE,"QUALITY AND RELIABILITY EXPENSE";"PRODSUP",#N/A,FALSE,"QUALITY AND RELIABILITY EXPENSE"}</definedName>
    <definedName name="______TEM6434">{"ALLOCATION1",#N/A,FALSE,"EXPENSE ALLOCATIONS";"ALLOCATION2",#N/A,FALSE,"EXPENSE ALLOCATIONS";"ALLOCATION3",#N/A,FALSE,"EXPENSE ALLOCATIONS";"ALLOCATION4",#N/A,FALSE,"EXPENSE ALLOCATIONS"}</definedName>
    <definedName name="_____a2">{#N/A,#N/A,FALSE,"Sheet1"}</definedName>
    <definedName name="_____a3">{#N/A,#N/A,FALSE,"Sheet1"}</definedName>
    <definedName name="_____ALL6434">{"ALLOCATION1",#N/A,FALSE,"EXPENSE ALLOCATIONS";"ALLOCATION2",#N/A,FALSE,"EXPENSE ALLOCATIONS";"ALLOCATION3",#N/A,FALSE,"EXPENSE ALLOCATIONS";"ALLOCATION4",#N/A,FALSE,"EXPENSE ALLOCATIONS"}</definedName>
    <definedName name="_____ASS6434">{"TOTALASSEMBLY",#N/A,FALSE,"ASSEMBLY EXPENSE";"DPAK",#N/A,FALSE,"ASSEMBLY EXPENSE";"TO220",#N/A,FALSE,"ASSEMBLY EXPENSE";"HEXDIP",#N/A,FALSE,"ASSEMBLY EXPENSE";"HEXSENSE",#N/A,FALSE,"ASSEMBLY EXPENSE";"MANAGEMENT",#N/A,FALSE,"ASSEMBLY EXPENSE";"MFGENGINEERING",#N/A,FALSE,"ASSEMBLY EXPENSE";"EQUIPENGINEERING",#N/A,FALSE,"ASSEMBLY EXPENSE";"TO220MGMT",#N/A,FALSE,"ASSEMBLY EXPENSE";"SAW",#N/A,FALSE,"ASSEMBLY EXPENSE";"EQUIPMENTSUPPORT",#N/A,FALSE,"ASSEMBLY EXPENSE";"MATERIALS",#N/A,FALSE,"ASSEMBLY EXPENSE"}</definedName>
    <definedName name="_____CAP10">{"LC",#N/A,FALSE,"FC-15 Cap Expend"}</definedName>
    <definedName name="_____DP6434">{"TOTALDPAK",#N/A,FALSE,"DPAK PRODUCTION";"HADPAK",#N/A,FALSE,"DPAK PRODUCTION";"PSIDPAK",#N/A,FALSE,"DPAK PRODUCTION"}</definedName>
    <definedName name="_____FA16434">{"TOTALFAB",#N/A,FALSE,"WAFER FAB 1 EXPENSE";"FABMANAGEMENT",#N/A,FALSE,"WAFER FAB 1 EXPENSE";"FABPRODUCTION",#N/A,FALSE,"WAFER FAB 1 EXPENSE";"FABENGINEERING",#N/A,FALSE,"WAFER FAB 1 EXPENSE";"FABEQUIPSUPPORT",#N/A,FALSE,"WAFER FAB 1 EXPENSE";"FABPRODUCTLINE",#N/A,FALSE,"WAFER FAB 1 EXPENSE";"FABMATERIALS",#N/A,FALSE,"WAFER FAB 1 EXPENSE"}</definedName>
    <definedName name="_____FA26434">{"TOTALFAB",#N/A,FALSE,"WAFER FAB 2 EXPENSE";"FABPRODUCTION",#N/A,FALSE,"WAFER FAB 2 EXPENSE";"FABENGINEERING",#N/A,FALSE,"WAFER FAB 2 EXPENSE";"FABEQUIPSUPPORT",#N/A,FALSE,"WAFER FAB 2 EXPENSE";"FABPRODUCTLINE",#N/A,FALSE,"WAFER FAB 2 EXPENSE";"FABMATERIALS",#N/A,FALSE,"WAFER FAB 2 EXPENSE"}</definedName>
    <definedName name="_____FA96434">{"TOTALFAB",#N/A,FALSE,"WAFER FAB 2 EXPENSE";"FABPRODUCTION",#N/A,FALSE,"WAFER FAB 2 EXPENSE";"FABENGINEERING",#N/A,FALSE,"WAFER FAB 2 EXPENSE";"FABEQUIPSUPPORT",#N/A,FALSE,"WAFER FAB 2 EXPENSE";"FABPRODUCTLINE",#N/A,FALSE,"WAFER FAB 2 EXPENSE";"FABMATERIALS",#N/A,FALSE,"WAFER FAB 2 EXPENSE"}</definedName>
    <definedName name="_____FAC6434">{"TOTAL",#N/A,FALSE,"FACILITIES EXPENSE";"TOTALDETAIL",#N/A,FALSE,"FACILITIES EXPENSE";"MATERIALS",#N/A,FALSE,"FACILITIES EXPENSE";"FACILITIES",#N/A,FALSE,"FACILITIES EXPENSE";"CHEM",#N/A,FALSE,"FACILITIES EXPENSE";"GENSVC",#N/A,FALSE,"FACILITIES EXPENSE";"SAFETY",#N/A,FALSE,"FACILITIES EXPENSE"}</definedName>
    <definedName name="_____new2">{"FY97Q1 nvs",#N/A,FALSE,"FY97 - Q1";"FY97Q2 nvs",#N/A,FALSE,"FY97 - Q2";"FY97Q3 nvs",#N/A,FALSE,"FY97 - Q3";"FY97Q4 nvs",#N/A,FALSE,"FY97 - Q4"}</definedName>
    <definedName name="_____new3">{"FY98Q1 nvs",#N/A,FALSE,"FY98 - Q1";"FY98Q2 nvs",#N/A,FALSE,"FY98 - Q2";"FY98Q3 nvs",#N/A,FALSE,"FY98 - Q3";"FY98Q4 nvs",#N/A,FALSE,"FY98 - Q4"}</definedName>
    <definedName name="_____new4">{"INPUT",#N/A,FALSE,"REVENUE AND GM ";"CONTROL",#N/A,FALSE,"REVENUE AND GM ";"SWITCH",#N/A,FALSE,"REVENUE AND GM ";"OUTPUT",#N/A,FALSE,"REVENUE AND GM ";"TOTAL",#N/A,FALSE,"REVENUE AND GM "}</definedName>
    <definedName name="_____new5">{"FY97Total",#N/A,FALSE,"FY97 - Total";"FY98Total",#N/A,FALSE,"FY98 - Total"}</definedName>
    <definedName name="_____new6">{"FY97Q1",#N/A,FALSE,"FY97 - Q1";"FY97Q2",#N/A,FALSE,"FY97 - Q2";"FY97Q3",#N/A,FALSE,"FY97 - Q3";"FY97Q4",#N/A,FALSE,"FY97 - Q4"}</definedName>
    <definedName name="_____QR6434">{"QAEXPENSE",#N/A,FALSE,"QUALITY AND RELIABILITY EXPENSE";"qaadmin",#N/A,FALSE,"QUALITY AND RELIABILITY EXPENSE";"FA",#N/A,FALSE,"QUALITY AND RELIABILITY EXPENSE";"QA",#N/A,FALSE,"QUALITY AND RELIABILITY EXPENSE";"DOCCTRL",#N/A,FALSE,"QUALITY AND RELIABILITY EXPENSE";"PRODSUP",#N/A,FALSE,"QUALITY AND RELIABILITY EXPENSE"}</definedName>
    <definedName name="_____TEM6434">{"ALLOCATION1",#N/A,FALSE,"EXPENSE ALLOCATIONS";"ALLOCATION2",#N/A,FALSE,"EXPENSE ALLOCATIONS";"ALLOCATION3",#N/A,FALSE,"EXPENSE ALLOCATIONS";"ALLOCATION4",#N/A,FALSE,"EXPENSE ALLOCATIONS"}</definedName>
    <definedName name="____a2">{#N/A,#N/A,FALSE,"Sheet1"}</definedName>
    <definedName name="____a3">{#N/A,#N/A,FALSE,"Sheet1"}</definedName>
    <definedName name="____ALL6434">{"ALLOCATION1",#N/A,FALSE,"EXPENSE ALLOCATIONS";"ALLOCATION2",#N/A,FALSE,"EXPENSE ALLOCATIONS";"ALLOCATION3",#N/A,FALSE,"EXPENSE ALLOCATIONS";"ALLOCATION4",#N/A,FALSE,"EXPENSE ALLOCATIONS"}</definedName>
    <definedName name="____ASS6434">{"TOTALASSEMBLY",#N/A,FALSE,"ASSEMBLY EXPENSE";"DPAK",#N/A,FALSE,"ASSEMBLY EXPENSE";"TO220",#N/A,FALSE,"ASSEMBLY EXPENSE";"HEXDIP",#N/A,FALSE,"ASSEMBLY EXPENSE";"HEXSENSE",#N/A,FALSE,"ASSEMBLY EXPENSE";"MANAGEMENT",#N/A,FALSE,"ASSEMBLY EXPENSE";"MFGENGINEERING",#N/A,FALSE,"ASSEMBLY EXPENSE";"EQUIPENGINEERING",#N/A,FALSE,"ASSEMBLY EXPENSE";"TO220MGMT",#N/A,FALSE,"ASSEMBLY EXPENSE";"SAW",#N/A,FALSE,"ASSEMBLY EXPENSE";"EQUIPMENTSUPPORT",#N/A,FALSE,"ASSEMBLY EXPENSE";"MATERIALS",#N/A,FALSE,"ASSEMBLY EXPENSE"}</definedName>
    <definedName name="____CAP10">{"LC",#N/A,FALSE,"FC-15 Cap Expend"}</definedName>
    <definedName name="____DP6434">{"TOTALDPAK",#N/A,FALSE,"DPAK PRODUCTION";"HADPAK",#N/A,FALSE,"DPAK PRODUCTION";"PSIDPAK",#N/A,FALSE,"DPAK PRODUCTION"}</definedName>
    <definedName name="____FA16434">{"TOTALFAB",#N/A,FALSE,"WAFER FAB 1 EXPENSE";"FABMANAGEMENT",#N/A,FALSE,"WAFER FAB 1 EXPENSE";"FABPRODUCTION",#N/A,FALSE,"WAFER FAB 1 EXPENSE";"FABENGINEERING",#N/A,FALSE,"WAFER FAB 1 EXPENSE";"FABEQUIPSUPPORT",#N/A,FALSE,"WAFER FAB 1 EXPENSE";"FABPRODUCTLINE",#N/A,FALSE,"WAFER FAB 1 EXPENSE";"FABMATERIALS",#N/A,FALSE,"WAFER FAB 1 EXPENSE"}</definedName>
    <definedName name="____FA26434">{"TOTALFAB",#N/A,FALSE,"WAFER FAB 2 EXPENSE";"FABPRODUCTION",#N/A,FALSE,"WAFER FAB 2 EXPENSE";"FABENGINEERING",#N/A,FALSE,"WAFER FAB 2 EXPENSE";"FABEQUIPSUPPORT",#N/A,FALSE,"WAFER FAB 2 EXPENSE";"FABPRODUCTLINE",#N/A,FALSE,"WAFER FAB 2 EXPENSE";"FABMATERIALS",#N/A,FALSE,"WAFER FAB 2 EXPENSE"}</definedName>
    <definedName name="____FA96434">{"TOTALFAB",#N/A,FALSE,"WAFER FAB 2 EXPENSE";"FABPRODUCTION",#N/A,FALSE,"WAFER FAB 2 EXPENSE";"FABENGINEERING",#N/A,FALSE,"WAFER FAB 2 EXPENSE";"FABEQUIPSUPPORT",#N/A,FALSE,"WAFER FAB 2 EXPENSE";"FABPRODUCTLINE",#N/A,FALSE,"WAFER FAB 2 EXPENSE";"FABMATERIALS",#N/A,FALSE,"WAFER FAB 2 EXPENSE"}</definedName>
    <definedName name="____FAC6434">{"TOTAL",#N/A,FALSE,"FACILITIES EXPENSE";"TOTALDETAIL",#N/A,FALSE,"FACILITIES EXPENSE";"MATERIALS",#N/A,FALSE,"FACILITIES EXPENSE";"FACILITIES",#N/A,FALSE,"FACILITIES EXPENSE";"CHEM",#N/A,FALSE,"FACILITIES EXPENSE";"GENSVC",#N/A,FALSE,"FACILITIES EXPENSE";"SAFETY",#N/A,FALSE,"FACILITIES EXPENSE"}</definedName>
    <definedName name="____new2">{"FY97Q1 nvs",#N/A,FALSE,"FY97 - Q1";"FY97Q2 nvs",#N/A,FALSE,"FY97 - Q2";"FY97Q3 nvs",#N/A,FALSE,"FY97 - Q3";"FY97Q4 nvs",#N/A,FALSE,"FY97 - Q4"}</definedName>
    <definedName name="____new3">{"FY98Q1 nvs",#N/A,FALSE,"FY98 - Q1";"FY98Q2 nvs",#N/A,FALSE,"FY98 - Q2";"FY98Q3 nvs",#N/A,FALSE,"FY98 - Q3";"FY98Q4 nvs",#N/A,FALSE,"FY98 - Q4"}</definedName>
    <definedName name="____new4">{"INPUT",#N/A,FALSE,"REVENUE AND GM ";"CONTROL",#N/A,FALSE,"REVENUE AND GM ";"SWITCH",#N/A,FALSE,"REVENUE AND GM ";"OUTPUT",#N/A,FALSE,"REVENUE AND GM ";"TOTAL",#N/A,FALSE,"REVENUE AND GM "}</definedName>
    <definedName name="____new5">{"FY97Total",#N/A,FALSE,"FY97 - Total";"FY98Total",#N/A,FALSE,"FY98 - Total"}</definedName>
    <definedName name="____new6">{"FY97Q1",#N/A,FALSE,"FY97 - Q1";"FY97Q2",#N/A,FALSE,"FY97 - Q2";"FY97Q3",#N/A,FALSE,"FY97 - Q3";"FY97Q4",#N/A,FALSE,"FY97 - Q4"}</definedName>
    <definedName name="____QR6434">{"QAEXPENSE",#N/A,FALSE,"QUALITY AND RELIABILITY EXPENSE";"qaadmin",#N/A,FALSE,"QUALITY AND RELIABILITY EXPENSE";"FA",#N/A,FALSE,"QUALITY AND RELIABILITY EXPENSE";"QA",#N/A,FALSE,"QUALITY AND RELIABILITY EXPENSE";"DOCCTRL",#N/A,FALSE,"QUALITY AND RELIABILITY EXPENSE";"PRODSUP",#N/A,FALSE,"QUALITY AND RELIABILITY EXPENSE"}</definedName>
    <definedName name="____TEM6434">{"ALLOCATION1",#N/A,FALSE,"EXPENSE ALLOCATIONS";"ALLOCATION2",#N/A,FALSE,"EXPENSE ALLOCATIONS";"ALLOCATION3",#N/A,FALSE,"EXPENSE ALLOCATIONS";"ALLOCATION4",#N/A,FALSE,"EXPENSE ALLOCATIONS"}</definedName>
    <definedName name="___a2">{#N/A,#N/A,FALSE,"Sheet1"}</definedName>
    <definedName name="___a3">{#N/A,#N/A,FALSE,"Sheet1"}</definedName>
    <definedName name="___ALL6434">{"ALLOCATION1",#N/A,FALSE,"EXPENSE ALLOCATIONS";"ALLOCATION2",#N/A,FALSE,"EXPENSE ALLOCATIONS";"ALLOCATION3",#N/A,FALSE,"EXPENSE ALLOCATIONS";"ALLOCATION4",#N/A,FALSE,"EXPENSE ALLOCATIONS"}</definedName>
    <definedName name="___ASS6434">{"TOTALASSEMBLY",#N/A,FALSE,"ASSEMBLY EXPENSE";"DPAK",#N/A,FALSE,"ASSEMBLY EXPENSE";"TO220",#N/A,FALSE,"ASSEMBLY EXPENSE";"HEXDIP",#N/A,FALSE,"ASSEMBLY EXPENSE";"HEXSENSE",#N/A,FALSE,"ASSEMBLY EXPENSE";"MANAGEMENT",#N/A,FALSE,"ASSEMBLY EXPENSE";"MFGENGINEERING",#N/A,FALSE,"ASSEMBLY EXPENSE";"EQUIPENGINEERING",#N/A,FALSE,"ASSEMBLY EXPENSE";"TO220MGMT",#N/A,FALSE,"ASSEMBLY EXPENSE";"SAW",#N/A,FALSE,"ASSEMBLY EXPENSE";"EQUIPMENTSUPPORT",#N/A,FALSE,"ASSEMBLY EXPENSE";"MATERIALS",#N/A,FALSE,"ASSEMBLY EXPENSE"}</definedName>
    <definedName name="___CAP10">{"LC",#N/A,FALSE,"FC-15 Cap Expend"}</definedName>
    <definedName name="___DP6434">{"TOTALDPAK",#N/A,FALSE,"DPAK PRODUCTION";"HADPAK",#N/A,FALSE,"DPAK PRODUCTION";"PSIDPAK",#N/A,FALSE,"DPAK PRODUCTION"}</definedName>
    <definedName name="___FA16434">{"TOTALFAB",#N/A,FALSE,"WAFER FAB 1 EXPENSE";"FABMANAGEMENT",#N/A,FALSE,"WAFER FAB 1 EXPENSE";"FABPRODUCTION",#N/A,FALSE,"WAFER FAB 1 EXPENSE";"FABENGINEERING",#N/A,FALSE,"WAFER FAB 1 EXPENSE";"FABEQUIPSUPPORT",#N/A,FALSE,"WAFER FAB 1 EXPENSE";"FABPRODUCTLINE",#N/A,FALSE,"WAFER FAB 1 EXPENSE";"FABMATERIALS",#N/A,FALSE,"WAFER FAB 1 EXPENSE"}</definedName>
    <definedName name="___FA26434">{"TOTALFAB",#N/A,FALSE,"WAFER FAB 2 EXPENSE";"FABPRODUCTION",#N/A,FALSE,"WAFER FAB 2 EXPENSE";"FABENGINEERING",#N/A,FALSE,"WAFER FAB 2 EXPENSE";"FABEQUIPSUPPORT",#N/A,FALSE,"WAFER FAB 2 EXPENSE";"FABPRODUCTLINE",#N/A,FALSE,"WAFER FAB 2 EXPENSE";"FABMATERIALS",#N/A,FALSE,"WAFER FAB 2 EXPENSE"}</definedName>
    <definedName name="___FA96434">{"TOTALFAB",#N/A,FALSE,"WAFER FAB 2 EXPENSE";"FABPRODUCTION",#N/A,FALSE,"WAFER FAB 2 EXPENSE";"FABENGINEERING",#N/A,FALSE,"WAFER FAB 2 EXPENSE";"FABEQUIPSUPPORT",#N/A,FALSE,"WAFER FAB 2 EXPENSE";"FABPRODUCTLINE",#N/A,FALSE,"WAFER FAB 2 EXPENSE";"FABMATERIALS",#N/A,FALSE,"WAFER FAB 2 EXPENSE"}</definedName>
    <definedName name="___FAC6434">{"TOTAL",#N/A,FALSE,"FACILITIES EXPENSE";"TOTALDETAIL",#N/A,FALSE,"FACILITIES EXPENSE";"MATERIALS",#N/A,FALSE,"FACILITIES EXPENSE";"FACILITIES",#N/A,FALSE,"FACILITIES EXPENSE";"CHEM",#N/A,FALSE,"FACILITIES EXPENSE";"GENSVC",#N/A,FALSE,"FACILITIES EXPENSE";"SAFETY",#N/A,FALSE,"FACILITIES EXPENSE"}</definedName>
    <definedName name="___new2">{"FY97Q1 nvs",#N/A,FALSE,"FY97 - Q1";"FY97Q2 nvs",#N/A,FALSE,"FY97 - Q2";"FY97Q3 nvs",#N/A,FALSE,"FY97 - Q3";"FY97Q4 nvs",#N/A,FALSE,"FY97 - Q4"}</definedName>
    <definedName name="___new3">{"FY98Q1 nvs",#N/A,FALSE,"FY98 - Q1";"FY98Q2 nvs",#N/A,FALSE,"FY98 - Q2";"FY98Q3 nvs",#N/A,FALSE,"FY98 - Q3";"FY98Q4 nvs",#N/A,FALSE,"FY98 - Q4"}</definedName>
    <definedName name="___new4">{"INPUT",#N/A,FALSE,"REVENUE AND GM ";"CONTROL",#N/A,FALSE,"REVENUE AND GM ";"SWITCH",#N/A,FALSE,"REVENUE AND GM ";"OUTPUT",#N/A,FALSE,"REVENUE AND GM ";"TOTAL",#N/A,FALSE,"REVENUE AND GM "}</definedName>
    <definedName name="___new5">{"FY97Total",#N/A,FALSE,"FY97 - Total";"FY98Total",#N/A,FALSE,"FY98 - Total"}</definedName>
    <definedName name="___new6">{"FY97Q1",#N/A,FALSE,"FY97 - Q1";"FY97Q2",#N/A,FALSE,"FY97 - Q2";"FY97Q3",#N/A,FALSE,"FY97 - Q3";"FY97Q4",#N/A,FALSE,"FY97 - Q4"}</definedName>
    <definedName name="___QR6434">{"QAEXPENSE",#N/A,FALSE,"QUALITY AND RELIABILITY EXPENSE";"qaadmin",#N/A,FALSE,"QUALITY AND RELIABILITY EXPENSE";"FA",#N/A,FALSE,"QUALITY AND RELIABILITY EXPENSE";"QA",#N/A,FALSE,"QUALITY AND RELIABILITY EXPENSE";"DOCCTRL",#N/A,FALSE,"QUALITY AND RELIABILITY EXPENSE";"PRODSUP",#N/A,FALSE,"QUALITY AND RELIABILITY EXPENSE"}</definedName>
    <definedName name="___TEM6434">{"ALLOCATION1",#N/A,FALSE,"EXPENSE ALLOCATIONS";"ALLOCATION2",#N/A,FALSE,"EXPENSE ALLOCATIONS";"ALLOCATION3",#N/A,FALSE,"EXPENSE ALLOCATIONS";"ALLOCATION4",#N/A,FALSE,"EXPENSE ALLOCATIONS"}</definedName>
    <definedName name="__123Graph_A">#REF!</definedName>
    <definedName name="__123Graph_ACURRENT">#REF!</definedName>
    <definedName name="__123Graph_APROCEEDS">#REF!</definedName>
    <definedName name="__123Graph_ASALESTREND">#REF!</definedName>
    <definedName name="__123Graph_B">#REF!</definedName>
    <definedName name="__123Graph_BCURRENT">#REF!</definedName>
    <definedName name="__123Graph_BPROCEEDS">#REF!</definedName>
    <definedName name="__123Graph_C">#REF!</definedName>
    <definedName name="__123Graph_CPROCEEDS">#REF!</definedName>
    <definedName name="__123Graph_D">#REF!</definedName>
    <definedName name="__123Graph_E">#REF!</definedName>
    <definedName name="__123Graph_F">#REF!</definedName>
    <definedName name="__123Graph_LBL_ASALESTREND">#REF!</definedName>
    <definedName name="__123Graph_X">#REF!</definedName>
    <definedName name="__123Graph_XCURRENT">#REF!</definedName>
    <definedName name="__123Graph_XPROCEEDS">#REF!</definedName>
    <definedName name="__123Graph_XSALESTREND">#REF!</definedName>
    <definedName name="__a2">{#N/A,#N/A,FALSE,"Sheet1"}</definedName>
    <definedName name="__a3">{#N/A,#N/A,FALSE,"Sheet1"}</definedName>
    <definedName name="__ALL6434">{"ALLOCATION1",#N/A,FALSE,"EXPENSE ALLOCATIONS";"ALLOCATION2",#N/A,FALSE,"EXPENSE ALLOCATIONS";"ALLOCATION3",#N/A,FALSE,"EXPENSE ALLOCATIONS";"ALLOCATION4",#N/A,FALSE,"EXPENSE ALLOCATIONS"}</definedName>
    <definedName name="__APW_RESTORE_DATA0__">#REF!</definedName>
    <definedName name="__APW_RESTORE_DATA1__">#REF!</definedName>
    <definedName name="__APW_RESTORE_DATA10__">#REF!</definedName>
    <definedName name="__APW_RESTORE_DATA100__">#REF!,#REF!</definedName>
    <definedName name="__APW_RESTORE_DATA1000__">#REF!,#REF!,#REF!,#REF!,#REF!,#REF!,#REF!,#REF!,#REF!,#REF!,#REF!,#REF!,#REF!,#REF!,#REF!</definedName>
    <definedName name="__APW_RESTORE_DATA1001__">#REF!,#REF!,#REF!,#REF!,#REF!,#REF!,#REF!,#REF!,#REF!,#REF!,#REF!,#REF!,#REF!,#REF!,#REF!</definedName>
    <definedName name="__APW_RESTORE_DATA1002__">#REF!,#REF!,#REF!,#REF!,#REF!,#REF!,#REF!,#REF!,#REF!,#REF!,#REF!,#REF!,#REF!,#REF!,#REF!</definedName>
    <definedName name="__APW_RESTORE_DATA1003__">#REF!,#REF!,#REF!,#REF!,#REF!,#REF!,#REF!,#REF!,#REF!,#REF!,#REF!,#REF!,#REF!,#REF!,#REF!</definedName>
    <definedName name="__APW_RESTORE_DATA1004__">#REF!,#REF!,#REF!,#REF!,#REF!,#REF!</definedName>
    <definedName name="__APW_RESTORE_DATA1005__">#REF!</definedName>
    <definedName name="__APW_RESTORE_DATA1006__">#REF!</definedName>
    <definedName name="__APW_RESTORE_DATA1008__">#REF!</definedName>
    <definedName name="__APW_RESTORE_DATA1009__">#REF!,#REF!,#REF!,#REF!,#REF!,#REF!,#REF!,#REF!,#REF!,#REF!,#REF!,#REF!,#REF!,#REF!,#REF!,#REF!</definedName>
    <definedName name="__APW_RESTORE_DATA101__">#REF!,#REF!,#REF!,#REF!,#REF!,#REF!,#REF!,#REF!,#REF!,#REF!,#REF!,#REF!,#REF!,#REF!,#REF!</definedName>
    <definedName name="__APW_RESTORE_DATA1010__">#REF!,#REF!,#REF!,#REF!,#REF!,#REF!,#REF!,#REF!,#REF!,#REF!,#REF!,#REF!,#REF!,#REF!,#REF!,#REF!</definedName>
    <definedName name="__APW_RESTORE_DATA1011__">#REF!,#REF!,#REF!,#REF!,#REF!,#REF!,#REF!,#REF!,#REF!,#REF!,#REF!,#REF!,#REF!,#REF!,#REF!,#REF!</definedName>
    <definedName name="__APW_RESTORE_DATA1012__">#REF!,#REF!,#REF!,#REF!,#REF!,#REF!,#REF!,#REF!,#REF!,#REF!,#REF!,#REF!,#REF!,#REF!,#REF!,#REF!</definedName>
    <definedName name="__APW_RESTORE_DATA1013__">#REF!,#REF!,#REF!,#REF!,#REF!,#REF!,#REF!,#REF!,#REF!,#REF!,#REF!,#REF!,#REF!,#REF!,#REF!,#REF!</definedName>
    <definedName name="__APW_RESTORE_DATA1014__">#REF!,#REF!,#REF!,#REF!,#REF!,#REF!,#REF!,#REF!,#REF!,#REF!,#REF!,#REF!,#REF!,#REF!,#REF!,#REF!</definedName>
    <definedName name="__APW_RESTORE_DATA1015__">#REF!,#REF!,#REF!,#REF!,#REF!,#REF!,#REF!,#REF!,#REF!,#REF!,#REF!,#REF!,#REF!,#REF!,#REF!</definedName>
    <definedName name="__APW_RESTORE_DATA1016__">#REF!,#REF!,#REF!,#REF!,#REF!,#REF!,#REF!,#REF!,#REF!,#REF!,#REF!,#REF!,#REF!,#REF!,#REF!</definedName>
    <definedName name="__APW_RESTORE_DATA1017__">#REF!,#REF!,#REF!,#REF!,#REF!,#REF!,#REF!,#REF!,#REF!,#REF!,#REF!,#REF!,#REF!,#REF!,#REF!</definedName>
    <definedName name="__APW_RESTORE_DATA1018__">#REF!,#REF!,#REF!,#REF!,#REF!,#REF!,#REF!,#REF!,#REF!,#REF!,#REF!,#REF!,#REF!,#REF!,#REF!</definedName>
    <definedName name="__APW_RESTORE_DATA1019__">#REF!,#REF!,#REF!,#REF!,#REF!,#REF!,#REF!,#REF!,#REF!,#REF!,#REF!,#REF!,#REF!,#REF!,#REF!</definedName>
    <definedName name="__APW_RESTORE_DATA102__">#REF!,#REF!,#REF!,#REF!,#REF!,#REF!,#REF!,#REF!,#REF!,#REF!,#REF!,#REF!,#REF!,#REF!,#REF!</definedName>
    <definedName name="__APW_RESTORE_DATA1020__">#REF!,#REF!,#REF!,#REF!,#REF!,#REF!,#REF!,#REF!,#REF!,#REF!,#REF!,#REF!,#REF!,#REF!,#REF!</definedName>
    <definedName name="__APW_RESTORE_DATA1021__">#REF!,#REF!,#REF!,#REF!,#REF!,#REF!,#REF!,#REF!,#REF!,#REF!,#REF!,#REF!,#REF!,#REF!,#REF!</definedName>
    <definedName name="__APW_RESTORE_DATA1022__">#REF!,#REF!,#REF!,#REF!,#REF!,#REF!,#REF!,#REF!,#REF!,#REF!,#REF!,#REF!,#REF!,#REF!,#REF!</definedName>
    <definedName name="__APW_RESTORE_DATA1023__">#REF!,#REF!,#REF!,#REF!,#REF!,#REF!,#REF!,#REF!,#REF!,#REF!,#REF!,#REF!,#REF!,#REF!,#REF!</definedName>
    <definedName name="__APW_RESTORE_DATA1024__">#REF!,#REF!,#REF!,#REF!,#REF!,#REF!,#REF!,#REF!,#REF!,#REF!,#REF!,#REF!,#REF!,#REF!,#REF!</definedName>
    <definedName name="__APW_RESTORE_DATA1025__">#REF!,#REF!,#REF!,#REF!,#REF!,#REF!,#REF!,#REF!,#REF!,#REF!,#REF!,#REF!,#REF!,#REF!,#REF!</definedName>
    <definedName name="__APW_RESTORE_DATA1026__">#REF!,#REF!,#REF!,#REF!,#REF!,#REF!,#REF!,#REF!,#REF!,#REF!,#REF!,#REF!,#REF!,#REF!,#REF!</definedName>
    <definedName name="__APW_RESTORE_DATA1027__">#REF!,#REF!,#REF!,#REF!,#REF!,#REF!,#REF!,#REF!,#REF!,#REF!,#REF!,#REF!,#REF!,#REF!,#REF!</definedName>
    <definedName name="__APW_RESTORE_DATA1028__">#REF!,#REF!,#REF!,#REF!,#REF!,#REF!,#REF!,#REF!,#REF!,#REF!,#REF!,#REF!,#REF!,#REF!,#REF!</definedName>
    <definedName name="__APW_RESTORE_DATA1029__">#REF!,#REF!,#REF!,#REF!,#REF!,#REF!,#REF!,#REF!,#REF!,#REF!,#REF!,#REF!,#REF!,#REF!,#REF!</definedName>
    <definedName name="__APW_RESTORE_DATA103__">#REF!,#REF!,#REF!,#REF!,#REF!,#REF!,#REF!,#REF!,#REF!,#REF!,#REF!,#REF!,#REF!,#REF!,#REF!</definedName>
    <definedName name="__APW_RESTORE_DATA1030__">#REF!,#REF!,#REF!,#REF!,#REF!,#REF!,#REF!,#REF!,#REF!,#REF!,#REF!,#REF!,#REF!,#REF!,#REF!</definedName>
    <definedName name="__APW_RESTORE_DATA1031__">#REF!,#REF!,#REF!,#REF!,#REF!,#REF!,#REF!,#REF!,#REF!,#REF!,#REF!,#REF!,#REF!,#REF!,#REF!</definedName>
    <definedName name="__APW_RESTORE_DATA1032__">#REF!,#REF!,#REF!,#REF!,#REF!,#REF!,#REF!,#REF!,#REF!,#REF!,#REF!,#REF!,#REF!,#REF!,#REF!</definedName>
    <definedName name="__APW_RESTORE_DATA1033__">#REF!,#REF!,#REF!,#REF!,#REF!,#REF!,#REF!,#REF!,#REF!,#REF!,#REF!,#REF!,#REF!,#REF!,#REF!</definedName>
    <definedName name="__APW_RESTORE_DATA1034__">#REF!,#REF!,#REF!,#REF!,#REF!,#REF!,#REF!,#REF!,#REF!,#REF!,#REF!,#REF!,#REF!,#REF!,#REF!</definedName>
    <definedName name="__APW_RESTORE_DATA1035__">#REF!,#REF!,#REF!,#REF!,#REF!,#REF!,#REF!,#REF!,#REF!,#REF!,#REF!,#REF!,#REF!,#REF!,#REF!</definedName>
    <definedName name="__APW_RESTORE_DATA1036__">#REF!,#REF!,#REF!,#REF!,#REF!,#REF!,#REF!,#REF!,#REF!,#REF!,#REF!,#REF!,#REF!,#REF!,#REF!</definedName>
    <definedName name="__APW_RESTORE_DATA1037__">#REF!,#REF!,#REF!,#REF!,#REF!,#REF!,#REF!,#REF!,#REF!,#REF!,#REF!,#REF!,#REF!,#REF!,#REF!</definedName>
    <definedName name="__APW_RESTORE_DATA1038__">#REF!,#REF!,#REF!,#REF!,#REF!,#REF!,#REF!,#REF!,#REF!,#REF!,#REF!,#REF!,#REF!,#REF!,#REF!</definedName>
    <definedName name="__APW_RESTORE_DATA1039__">#REF!,#REF!,#REF!,#REF!,#REF!,#REF!,#REF!,#REF!,#REF!,#REF!,#REF!,#REF!,#REF!,#REF!,#REF!</definedName>
    <definedName name="__APW_RESTORE_DATA104__">#REF!,#REF!,#REF!,#REF!,#REF!,#REF!,#REF!,#REF!,#REF!,#REF!,#REF!,#REF!,#REF!,#REF!,#REF!</definedName>
    <definedName name="__APW_RESTORE_DATA1040__">#REF!,#REF!,#REF!,#REF!,#REF!,#REF!,#REF!,#REF!,#REF!,#REF!,#REF!,#REF!,#REF!,#REF!,#REF!</definedName>
    <definedName name="__APW_RESTORE_DATA1041__">#REF!,#REF!,#REF!,#REF!,#REF!,#REF!,#REF!,#REF!,#REF!,#REF!,#REF!,#REF!,#REF!,#REF!,#REF!</definedName>
    <definedName name="__APW_RESTORE_DATA1042__">#REF!,#REF!,#REF!,#REF!,#REF!,#REF!,#REF!,#REF!,#REF!,#REF!,#REF!,#REF!,#REF!,#REF!,#REF!</definedName>
    <definedName name="__APW_RESTORE_DATA1043__">#REF!,#REF!,#REF!,#REF!,#REF!,#REF!</definedName>
    <definedName name="__APW_RESTORE_DATA1044__">#REF!,#REF!,#REF!,#REF!,#REF!,#REF!,#REF!,#REF!,#REF!,#REF!,#REF!,#REF!,#REF!,#REF!,#REF!,#REF!</definedName>
    <definedName name="__APW_RESTORE_DATA1045__">#REF!,#REF!,#REF!,#REF!,#REF!,#REF!,#REF!,#REF!,#REF!,#REF!,#REF!,#REF!,#REF!,#REF!,#REF!,#REF!</definedName>
    <definedName name="__APW_RESTORE_DATA1046__">#REF!,#REF!,#REF!,#REF!,#REF!,#REF!,#REF!,#REF!,#REF!,#REF!,#REF!,#REF!,#REF!,#REF!,#REF!,#REF!</definedName>
    <definedName name="__APW_RESTORE_DATA1047__">#REF!,#REF!,#REF!,#REF!,#REF!,#REF!,#REF!,#REF!,#REF!,#REF!,#REF!,#REF!,#REF!,#REF!,#REF!,#REF!</definedName>
    <definedName name="__APW_RESTORE_DATA1048__">#REF!,#REF!,#REF!,#REF!,#REF!,#REF!,#REF!,#REF!,#REF!,#REF!,#REF!,#REF!,#REF!,#REF!,#REF!,#REF!</definedName>
    <definedName name="__APW_RESTORE_DATA1049__">#REF!,#REF!,#REF!,#REF!,#REF!,#REF!,#REF!,#REF!,#REF!,#REF!,#REF!,#REF!,#REF!,#REF!,#REF!,#REF!</definedName>
    <definedName name="__APW_RESTORE_DATA105__">#REF!,#REF!,#REF!,#REF!,#REF!,#REF!,#REF!,#REF!,#REF!,#REF!,#REF!,#REF!,#REF!,#REF!,#REF!</definedName>
    <definedName name="__APW_RESTORE_DATA1050__">#REF!,#REF!,#REF!,#REF!,#REF!,#REF!,#REF!,#REF!,#REF!,#REF!,#REF!,#REF!,#REF!,#REF!,#REF!</definedName>
    <definedName name="__APW_RESTORE_DATA1051__">#REF!,#REF!,#REF!,#REF!,#REF!,#REF!,#REF!,#REF!,#REF!,#REF!,#REF!,#REF!,#REF!,#REF!,#REF!</definedName>
    <definedName name="__APW_RESTORE_DATA1052__">#REF!,#REF!,#REF!,#REF!,#REF!,#REF!,#REF!,#REF!,#REF!,#REF!,#REF!,#REF!,#REF!,#REF!,#REF!</definedName>
    <definedName name="__APW_RESTORE_DATA1053__">#REF!,#REF!,#REF!,#REF!,#REF!,#REF!,#REF!,#REF!,#REF!,#REF!,#REF!,#REF!,#REF!,#REF!,#REF!</definedName>
    <definedName name="__APW_RESTORE_DATA1054__">#REF!,#REF!,#REF!,#REF!,#REF!,#REF!,#REF!,#REF!,#REF!,#REF!,#REF!,#REF!,#REF!,#REF!,#REF!</definedName>
    <definedName name="__APW_RESTORE_DATA1055__">#REF!,#REF!,#REF!,#REF!,#REF!,#REF!,#REF!,#REF!,#REF!,#REF!,#REF!,#REF!,#REF!,#REF!,#REF!</definedName>
    <definedName name="__APW_RESTORE_DATA1056__">#REF!,#REF!,#REF!,#REF!,#REF!,#REF!,#REF!,#REF!,#REF!,#REF!,#REF!,#REF!,#REF!,#REF!,#REF!</definedName>
    <definedName name="__APW_RESTORE_DATA1057__">#REF!,#REF!,#REF!,#REF!,#REF!,#REF!,#REF!,#REF!,#REF!,#REF!,#REF!,#REF!,#REF!,#REF!,#REF!</definedName>
    <definedName name="__APW_RESTORE_DATA1058__">#REF!,#REF!,#REF!,#REF!,#REF!,#REF!,#REF!,#REF!,#REF!,#REF!,#REF!,#REF!,#REF!,#REF!,#REF!</definedName>
    <definedName name="__APW_RESTORE_DATA1059__">#REF!,#REF!,#REF!,#REF!,#REF!,#REF!,#REF!,#REF!,#REF!,#REF!,#REF!,#REF!,#REF!,#REF!,#REF!</definedName>
    <definedName name="__APW_RESTORE_DATA106__">#REF!,#REF!,#REF!,#REF!,#REF!,#REF!,#REF!,#REF!,#REF!,#REF!,#REF!,#REF!,#REF!,#REF!,#REF!</definedName>
    <definedName name="__APW_RESTORE_DATA1060__">#REF!,#REF!,#REF!,#REF!,#REF!,#REF!,#REF!,#REF!,#REF!,#REF!,#REF!,#REF!,#REF!,#REF!,#REF!</definedName>
    <definedName name="__APW_RESTORE_DATA1061__">#REF!,#REF!,#REF!,#REF!,#REF!,#REF!,#REF!,#REF!,#REF!,#REF!,#REF!,#REF!,#REF!,#REF!,#REF!</definedName>
    <definedName name="__APW_RESTORE_DATA1062__">#REF!,#REF!,#REF!,#REF!,#REF!,#REF!,#REF!,#REF!,#REF!,#REF!,#REF!,#REF!,#REF!,#REF!,#REF!</definedName>
    <definedName name="__APW_RESTORE_DATA1063__">#REF!,#REF!,#REF!,#REF!,#REF!,#REF!,#REF!,#REF!,#REF!,#REF!,#REF!,#REF!,#REF!,#REF!,#REF!</definedName>
    <definedName name="__APW_RESTORE_DATA1064__">#REF!,#REF!,#REF!,#REF!,#REF!,#REF!,#REF!,#REF!,#REF!,#REF!,#REF!,#REF!,#REF!,#REF!,#REF!</definedName>
    <definedName name="__APW_RESTORE_DATA1065__">#REF!,#REF!,#REF!,#REF!,#REF!,#REF!,#REF!,#REF!,#REF!,#REF!,#REF!,#REF!,#REF!,#REF!,#REF!</definedName>
    <definedName name="__APW_RESTORE_DATA1066__">#REF!,#REF!,#REF!,#REF!,#REF!,#REF!,#REF!,#REF!,#REF!,#REF!,#REF!,#REF!,#REF!,#REF!,#REF!</definedName>
    <definedName name="__APW_RESTORE_DATA1067__">#REF!,#REF!,#REF!,#REF!,#REF!,#REF!,#REF!,#REF!,#REF!,#REF!,#REF!,#REF!,#REF!,#REF!,#REF!</definedName>
    <definedName name="__APW_RESTORE_DATA1068__">#REF!,#REF!,#REF!,#REF!,#REF!,#REF!,#REF!,#REF!,#REF!,#REF!,#REF!,#REF!,#REF!,#REF!,#REF!</definedName>
    <definedName name="__APW_RESTORE_DATA1069__">#REF!,#REF!,#REF!,#REF!,#REF!,#REF!,#REF!,#REF!,#REF!,#REF!,#REF!,#REF!,#REF!,#REF!,#REF!</definedName>
    <definedName name="__APW_RESTORE_DATA107__">#REF!,#REF!,#REF!,#REF!,#REF!,#REF!,#REF!,#REF!,#REF!,#REF!,#REF!,#REF!,#REF!,#REF!,#REF!</definedName>
    <definedName name="__APW_RESTORE_DATA1070__">#REF!,#REF!,#REF!,#REF!,#REF!,#REF!,#REF!,#REF!,#REF!,#REF!,#REF!,#REF!,#REF!,#REF!,#REF!</definedName>
    <definedName name="__APW_RESTORE_DATA1071__">#REF!,#REF!,#REF!,#REF!,#REF!,#REF!,#REF!,#REF!,#REF!,#REF!,#REF!,#REF!,#REF!,#REF!,#REF!</definedName>
    <definedName name="__APW_RESTORE_DATA1072__">#REF!,#REF!,#REF!,#REF!,#REF!,#REF!,#REF!,#REF!,#REF!,#REF!,#REF!,#REF!,#REF!,#REF!,#REF!</definedName>
    <definedName name="__APW_RESTORE_DATA1073__">#REF!,#REF!,#REF!,#REF!,#REF!,#REF!,#REF!,#REF!,#REF!,#REF!,#REF!,#REF!,#REF!,#REF!,#REF!</definedName>
    <definedName name="__APW_RESTORE_DATA1074__">#REF!,#REF!,#REF!,#REF!,#REF!,#REF!,#REF!,#REF!,#REF!,#REF!,#REF!,#REF!,#REF!,#REF!,#REF!</definedName>
    <definedName name="__APW_RESTORE_DATA1075__">#REF!,#REF!,#REF!,#REF!,#REF!,#REF!,#REF!,#REF!,#REF!,#REF!,#REF!,#REF!,#REF!,#REF!,#REF!</definedName>
    <definedName name="__APW_RESTORE_DATA1076__">#REF!,#REF!,#REF!,#REF!,#REF!,#REF!,#REF!,#REF!,#REF!,#REF!,#REF!,#REF!,#REF!,#REF!,#REF!</definedName>
    <definedName name="__APW_RESTORE_DATA1077__">#REF!,#REF!,#REF!,#REF!,#REF!,#REF!,#REF!,#REF!,#REF!,#REF!,#REF!,#REF!,#REF!,#REF!,#REF!</definedName>
    <definedName name="__APW_RESTORE_DATA1078__">#REF!,#REF!,#REF!,#REF!,#REF!,#REF!</definedName>
    <definedName name="__APW_RESTORE_DATA1079__">#REF!,#REF!,#REF!,#REF!,#REF!,#REF!,#REF!,#REF!,#REF!,#REF!,#REF!,#REF!,#REF!,#REF!,#REF!,#REF!</definedName>
    <definedName name="__APW_RESTORE_DATA108__">#REF!,#REF!,#REF!,#REF!,#REF!,#REF!,#REF!,#REF!,#REF!,#REF!,#REF!,#REF!,#REF!,#REF!,#REF!</definedName>
    <definedName name="__APW_RESTORE_DATA1080__">#REF!,#REF!,#REF!,#REF!,#REF!,#REF!,#REF!,#REF!,#REF!,#REF!,#REF!,#REF!,#REF!,#REF!,#REF!,#REF!</definedName>
    <definedName name="__APW_RESTORE_DATA1081__">#REF!,#REF!,#REF!,#REF!,#REF!,#REF!,#REF!,#REF!,#REF!,#REF!,#REF!,#REF!,#REF!,#REF!,#REF!,#REF!</definedName>
    <definedName name="__APW_RESTORE_DATA1082__">#REF!,#REF!,#REF!,#REF!,#REF!,#REF!,#REF!,#REF!,#REF!,#REF!,#REF!,#REF!,#REF!,#REF!,#REF!,#REF!</definedName>
    <definedName name="__APW_RESTORE_DATA1083__">#REF!,#REF!,#REF!,#REF!,#REF!,#REF!,#REF!,#REF!,#REF!,#REF!,#REF!,#REF!,#REF!,#REF!,#REF!,#REF!</definedName>
    <definedName name="__APW_RESTORE_DATA1084__">#REF!,#REF!,#REF!,#REF!,#REF!,#REF!,#REF!,#REF!,#REF!,#REF!,#REF!,#REF!,#REF!,#REF!,#REF!,#REF!</definedName>
    <definedName name="__APW_RESTORE_DATA1085__">#REF!,#REF!,#REF!,#REF!,#REF!,#REF!,#REF!,#REF!,#REF!,#REF!,#REF!,#REF!,#REF!,#REF!,#REF!</definedName>
    <definedName name="__APW_RESTORE_DATA1086__">#REF!,#REF!,#REF!,#REF!,#REF!,#REF!,#REF!,#REF!,#REF!,#REF!,#REF!,#REF!,#REF!,#REF!,#REF!</definedName>
    <definedName name="__APW_RESTORE_DATA1087__">#REF!,#REF!,#REF!,#REF!,#REF!,#REF!,#REF!,#REF!,#REF!,#REF!,#REF!,#REF!,#REF!,#REF!,#REF!</definedName>
    <definedName name="__APW_RESTORE_DATA1088__">#REF!,#REF!,#REF!,#REF!,#REF!,#REF!,#REF!,#REF!,#REF!,#REF!,#REF!,#REF!,#REF!,#REF!,#REF!</definedName>
    <definedName name="__APW_RESTORE_DATA1089__">#REF!,#REF!,#REF!,#REF!,#REF!,#REF!,#REF!,#REF!,#REF!,#REF!,#REF!,#REF!,#REF!,#REF!,#REF!</definedName>
    <definedName name="__APW_RESTORE_DATA109__">#REF!,#REF!,#REF!,#REF!,#REF!,#REF!,#REF!</definedName>
    <definedName name="__APW_RESTORE_DATA1090__">#REF!,#REF!,#REF!,#REF!,#REF!,#REF!,#REF!,#REF!,#REF!,#REF!,#REF!,#REF!,#REF!,#REF!,#REF!</definedName>
    <definedName name="__APW_RESTORE_DATA1091__">#REF!,#REF!,#REF!,#REF!,#REF!,#REF!,#REF!,#REF!,#REF!,#REF!,#REF!,#REF!,#REF!,#REF!,#REF!</definedName>
    <definedName name="__APW_RESTORE_DATA1092__">#REF!,#REF!,#REF!,#REF!,#REF!,#REF!,#REF!,#REF!,#REF!,#REF!,#REF!,#REF!,#REF!,#REF!,#REF!</definedName>
    <definedName name="__APW_RESTORE_DATA1093__">#REF!,#REF!,#REF!,#REF!,#REF!,#REF!,#REF!,#REF!,#REF!,#REF!,#REF!,#REF!,#REF!,#REF!,#REF!</definedName>
    <definedName name="__APW_RESTORE_DATA1094__">#REF!,#REF!,#REF!,#REF!,#REF!,#REF!,#REF!,#REF!,#REF!,#REF!,#REF!,#REF!,#REF!,#REF!,#REF!</definedName>
    <definedName name="__APW_RESTORE_DATA1095__">#REF!,#REF!,#REF!,#REF!,#REF!,#REF!,#REF!,#REF!,#REF!,#REF!,#REF!,#REF!,#REF!,#REF!,#REF!</definedName>
    <definedName name="__APW_RESTORE_DATA1096__">#REF!,#REF!,#REF!,#REF!,#REF!,#REF!,#REF!,#REF!,#REF!,#REF!,#REF!,#REF!,#REF!,#REF!,#REF!</definedName>
    <definedName name="__APW_RESTORE_DATA1097__">#REF!,#REF!,#REF!,#REF!,#REF!,#REF!,#REF!,#REF!,#REF!,#REF!,#REF!,#REF!,#REF!,#REF!,#REF!</definedName>
    <definedName name="__APW_RESTORE_DATA1098__">#REF!,#REF!,#REF!,#REF!,#REF!,#REF!,#REF!,#REF!,#REF!,#REF!,#REF!,#REF!,#REF!,#REF!,#REF!</definedName>
    <definedName name="__APW_RESTORE_DATA1099__">#REF!,#REF!,#REF!,#REF!,#REF!,#REF!,#REF!,#REF!,#REF!,#REF!,#REF!,#REF!,#REF!,#REF!,#REF!</definedName>
    <definedName name="__APW_RESTORE_DATA11__">#REF!</definedName>
    <definedName name="__APW_RESTORE_DATA110__">#REF!,#REF!,#REF!,#REF!,#REF!,#REF!,#REF!,#REF!,#REF!,#REF!,#REF!,#REF!,#REF!,#REF!,#REF!,#REF!</definedName>
    <definedName name="__APW_RESTORE_DATA1100__">#REF!,#REF!,#REF!,#REF!,#REF!,#REF!,#REF!,#REF!,#REF!,#REF!,#REF!,#REF!,#REF!,#REF!,#REF!</definedName>
    <definedName name="__APW_RESTORE_DATA1101__">#REF!,#REF!,#REF!,#REF!,#REF!,#REF!,#REF!,#REF!,#REF!,#REF!,#REF!,#REF!,#REF!,#REF!,#REF!</definedName>
    <definedName name="__APW_RESTORE_DATA1102__">#REF!,#REF!,#REF!,#REF!,#REF!,#REF!,#REF!,#REF!,#REF!,#REF!,#REF!,#REF!,#REF!,#REF!,#REF!</definedName>
    <definedName name="__APW_RESTORE_DATA1103__">#REF!,#REF!,#REF!,#REF!,#REF!,#REF!,#REF!,#REF!,#REF!,#REF!,#REF!,#REF!,#REF!,#REF!,#REF!</definedName>
    <definedName name="__APW_RESTORE_DATA1104__">#REF!,#REF!,#REF!,#REF!,#REF!,#REF!,#REF!,#REF!,#REF!,#REF!,#REF!,#REF!,#REF!,#REF!,#REF!</definedName>
    <definedName name="__APW_RESTORE_DATA1105__">#REF!,#REF!,#REF!,#REF!,#REF!,#REF!,#REF!,#REF!,#REF!,#REF!,#REF!,#REF!,#REF!,#REF!,#REF!</definedName>
    <definedName name="__APW_RESTORE_DATA1106__">#REF!,#REF!,#REF!,#REF!,#REF!,#REF!,#REF!,#REF!,#REF!,#REF!,#REF!,#REF!,#REF!,#REF!,#REF!</definedName>
    <definedName name="__APW_RESTORE_DATA1107__">#REF!,#REF!,#REF!,#REF!,#REF!,#REF!,#REF!,#REF!,#REF!,#REF!,#REF!,#REF!,#REF!,#REF!,#REF!</definedName>
    <definedName name="__APW_RESTORE_DATA1108__">#REF!,#REF!,#REF!,#REF!,#REF!,#REF!,#REF!,#REF!,#REF!,#REF!,#REF!,#REF!,#REF!,#REF!,#REF!</definedName>
    <definedName name="__APW_RESTORE_DATA1109__">#REF!,#REF!,#REF!,#REF!,#REF!,#REF!,#REF!,#REF!,#REF!,#REF!,#REF!,#REF!,#REF!,#REF!,#REF!</definedName>
    <definedName name="__APW_RESTORE_DATA111__">#REF!,#REF!,#REF!,#REF!,#REF!,#REF!,#REF!,#REF!,#REF!,#REF!,#REF!,#REF!,#REF!,#REF!,#REF!,#REF!</definedName>
    <definedName name="__APW_RESTORE_DATA1110__">#REF!,#REF!,#REF!,#REF!,#REF!,#REF!,#REF!,#REF!,#REF!,#REF!,#REF!,#REF!,#REF!,#REF!,#REF!</definedName>
    <definedName name="__APW_RESTORE_DATA1111__">#REF!,#REF!,#REF!,#REF!,#REF!,#REF!,#REF!,#REF!,#REF!,#REF!,#REF!,#REF!,#REF!,#REF!,#REF!</definedName>
    <definedName name="__APW_RESTORE_DATA1112__">#REF!,#REF!,#REF!,#REF!,#REF!,#REF!,#REF!,#REF!,#REF!,#REF!,#REF!,#REF!,#REF!,#REF!,#REF!</definedName>
    <definedName name="__APW_RESTORE_DATA1113__">#REF!,#REF!,#REF!,#REF!,#REF!,#REF!</definedName>
    <definedName name="__APW_RESTORE_DATA1114__">#REF!,#REF!,#REF!,#REF!,#REF!,#REF!,#REF!,#REF!,#REF!,#REF!,#REF!,#REF!,#REF!,#REF!,#REF!,#REF!</definedName>
    <definedName name="__APW_RESTORE_DATA1115__">#REF!,#REF!,#REF!,#REF!,#REF!,#REF!,#REF!,#REF!,#REF!,#REF!,#REF!,#REF!,#REF!,#REF!,#REF!,#REF!</definedName>
    <definedName name="__APW_RESTORE_DATA1116__">#REF!,#REF!,#REF!,#REF!,#REF!,#REF!,#REF!,#REF!,#REF!,#REF!,#REF!,#REF!,#REF!,#REF!,#REF!,#REF!</definedName>
    <definedName name="__APW_RESTORE_DATA1117__">#REF!,#REF!,#REF!,#REF!,#REF!,#REF!,#REF!,#REF!,#REF!,#REF!,#REF!,#REF!,#REF!,#REF!,#REF!,#REF!</definedName>
    <definedName name="__APW_RESTORE_DATA1118__">#REF!,#REF!,#REF!,#REF!,#REF!,#REF!,#REF!,#REF!,#REF!,#REF!,#REF!,#REF!,#REF!,#REF!,#REF!,#REF!</definedName>
    <definedName name="__APW_RESTORE_DATA1119__">#REF!,#REF!,#REF!,#REF!,#REF!,#REF!,#REF!,#REF!,#REF!,#REF!,#REF!,#REF!,#REF!,#REF!,#REF!,#REF!</definedName>
    <definedName name="__APW_RESTORE_DATA112__">#REF!,#REF!,#REF!,#REF!,#REF!,#REF!,#REF!,#REF!,#REF!,#REF!,#REF!,#REF!,#REF!,#REF!,#REF!,#REF!</definedName>
    <definedName name="__APW_RESTORE_DATA1120__">#REF!,#REF!,#REF!,#REF!,#REF!,#REF!,#REF!,#REF!,#REF!,#REF!,#REF!,#REF!,#REF!,#REF!,#REF!</definedName>
    <definedName name="__APW_RESTORE_DATA1121__">#REF!,#REF!,#REF!,#REF!,#REF!,#REF!,#REF!,#REF!,#REF!,#REF!,#REF!,#REF!,#REF!,#REF!,#REF!</definedName>
    <definedName name="__APW_RESTORE_DATA1122__">#REF!,#REF!,#REF!,#REF!,#REF!,#REF!,#REF!,#REF!,#REF!,#REF!,#REF!,#REF!,#REF!,#REF!,#REF!</definedName>
    <definedName name="__APW_RESTORE_DATA1123__">#REF!,#REF!,#REF!,#REF!,#REF!,#REF!,#REF!,#REF!,#REF!,#REF!,#REF!,#REF!,#REF!,#REF!,#REF!</definedName>
    <definedName name="__APW_RESTORE_DATA1124__">#REF!,#REF!,#REF!,#REF!,#REF!,#REF!,#REF!,#REF!,#REF!,#REF!,#REF!,#REF!,#REF!,#REF!,#REF!</definedName>
    <definedName name="__APW_RESTORE_DATA1125__">#REF!,#REF!,#REF!,#REF!,#REF!,#REF!,#REF!,#REF!,#REF!,#REF!,#REF!,#REF!,#REF!,#REF!,#REF!</definedName>
    <definedName name="__APW_RESTORE_DATA1126__">#REF!,#REF!,#REF!,#REF!,#REF!,#REF!,#REF!,#REF!,#REF!,#REF!,#REF!,#REF!,#REF!,#REF!,#REF!</definedName>
    <definedName name="__APW_RESTORE_DATA1127__">#REF!,#REF!,#REF!,#REF!,#REF!,#REF!,#REF!,#REF!,#REF!,#REF!,#REF!,#REF!,#REF!,#REF!,#REF!</definedName>
    <definedName name="__APW_RESTORE_DATA1128__">#REF!,#REF!,#REF!,#REF!,#REF!,#REF!,#REF!,#REF!,#REF!,#REF!,#REF!,#REF!,#REF!,#REF!,#REF!</definedName>
    <definedName name="__APW_RESTORE_DATA1129__">#REF!,#REF!,#REF!,#REF!,#REF!,#REF!,#REF!,#REF!,#REF!,#REF!,#REF!,#REF!,#REF!,#REF!,#REF!</definedName>
    <definedName name="__APW_RESTORE_DATA113__">#REF!,#REF!,#REF!,#REF!,#REF!,#REF!,#REF!,#REF!,#REF!,#REF!,#REF!,#REF!,#REF!,#REF!,#REF!,#REF!</definedName>
    <definedName name="__APW_RESTORE_DATA1130__">#REF!,#REF!,#REF!,#REF!,#REF!,#REF!,#REF!,#REF!,#REF!,#REF!,#REF!,#REF!,#REF!,#REF!,#REF!</definedName>
    <definedName name="__APW_RESTORE_DATA1131__">#REF!,#REF!,#REF!,#REF!,#REF!,#REF!,#REF!,#REF!,#REF!,#REF!,#REF!,#REF!,#REF!,#REF!,#REF!</definedName>
    <definedName name="__APW_RESTORE_DATA1132__">#REF!,#REF!,#REF!,#REF!,#REF!,#REF!,#REF!,#REF!,#REF!,#REF!,#REF!,#REF!,#REF!,#REF!,#REF!</definedName>
    <definedName name="__APW_RESTORE_DATA1133__">#REF!,#REF!,#REF!,#REF!,#REF!,#REF!,#REF!,#REF!,#REF!,#REF!,#REF!,#REF!,#REF!,#REF!,#REF!</definedName>
    <definedName name="__APW_RESTORE_DATA1134__">#REF!,#REF!,#REF!,#REF!,#REF!,#REF!,#REF!,#REF!,#REF!,#REF!,#REF!,#REF!,#REF!,#REF!,#REF!</definedName>
    <definedName name="__APW_RESTORE_DATA1135__">#REF!,#REF!,#REF!,#REF!,#REF!,#REF!,#REF!,#REF!,#REF!,#REF!,#REF!,#REF!,#REF!,#REF!,#REF!</definedName>
    <definedName name="__APW_RESTORE_DATA1136__">#REF!,#REF!,#REF!,#REF!,#REF!,#REF!,#REF!,#REF!,#REF!,#REF!,#REF!,#REF!,#REF!,#REF!,#REF!</definedName>
    <definedName name="__APW_RESTORE_DATA1137__">#REF!,#REF!,#REF!,#REF!,#REF!,#REF!,#REF!,#REF!,#REF!,#REF!,#REF!,#REF!,#REF!,#REF!,#REF!</definedName>
    <definedName name="__APW_RESTORE_DATA1138__">#REF!,#REF!,#REF!,#REF!,#REF!,#REF!,#REF!,#REF!,#REF!,#REF!,#REF!,#REF!,#REF!,#REF!,#REF!</definedName>
    <definedName name="__APW_RESTORE_DATA1139__">#REF!,#REF!,#REF!,#REF!,#REF!,#REF!,#REF!,#REF!,#REF!,#REF!,#REF!,#REF!,#REF!,#REF!,#REF!</definedName>
    <definedName name="__APW_RESTORE_DATA114__">#REF!,#REF!,#REF!,#REF!,#REF!,#REF!,#REF!,#REF!,#REF!,#REF!,#REF!,#REF!,#REF!,#REF!,#REF!,#REF!</definedName>
    <definedName name="__APW_RESTORE_DATA1140__">#REF!,#REF!,#REF!,#REF!,#REF!,#REF!,#REF!,#REF!,#REF!,#REF!,#REF!,#REF!,#REF!,#REF!,#REF!</definedName>
    <definedName name="__APW_RESTORE_DATA1141__">#REF!,#REF!,#REF!,#REF!,#REF!,#REF!,#REF!,#REF!,#REF!,#REF!,#REF!,#REF!,#REF!,#REF!,#REF!</definedName>
    <definedName name="__APW_RESTORE_DATA1142__">#REF!,#REF!,#REF!,#REF!,#REF!,#REF!,#REF!,#REF!,#REF!,#REF!,#REF!,#REF!,#REF!,#REF!,#REF!</definedName>
    <definedName name="__APW_RESTORE_DATA1143__">#REF!,#REF!,#REF!,#REF!,#REF!,#REF!,#REF!,#REF!,#REF!,#REF!,#REF!,#REF!,#REF!,#REF!,#REF!</definedName>
    <definedName name="__APW_RESTORE_DATA1144__">#REF!,#REF!,#REF!,#REF!,#REF!,#REF!,#REF!,#REF!,#REF!,#REF!,#REF!,#REF!,#REF!,#REF!,#REF!</definedName>
    <definedName name="__APW_RESTORE_DATA1145__">#REF!,#REF!,#REF!,#REF!,#REF!,#REF!,#REF!,#REF!,#REF!,#REF!,#REF!,#REF!,#REF!,#REF!,#REF!</definedName>
    <definedName name="__APW_RESTORE_DATA1146__">#REF!,#REF!,#REF!,#REF!,#REF!,#REF!,#REF!,#REF!,#REF!,#REF!,#REF!,#REF!,#REF!,#REF!,#REF!</definedName>
    <definedName name="__APW_RESTORE_DATA1147__">#REF!,#REF!,#REF!,#REF!,#REF!,#REF!,#REF!,#REF!,#REF!,#REF!,#REF!,#REF!,#REF!,#REF!,#REF!</definedName>
    <definedName name="__APW_RESTORE_DATA1148__">#REF!,#REF!,#REF!,#REF!,#REF!,#REF!</definedName>
    <definedName name="__APW_RESTORE_DATA1149__">#REF!</definedName>
    <definedName name="__APW_RESTORE_DATA115__">#REF!,#REF!</definedName>
    <definedName name="__APW_RESTORE_DATA1151__">#REF!</definedName>
    <definedName name="__APW_RESTORE_DATA1152__">#REF!,#REF!,#REF!,#REF!,#REF!,#REF!,#REF!,#REF!,#REF!,#REF!,#REF!,#REF!,#REF!,#REF!,#REF!,#REF!</definedName>
    <definedName name="__APW_RESTORE_DATA1153__">#REF!,#REF!,#REF!,#REF!,#REF!,#REF!,#REF!,#REF!,#REF!,#REF!,#REF!,#REF!,#REF!,#REF!,#REF!,#REF!</definedName>
    <definedName name="__APW_RESTORE_DATA1154__">#REF!,#REF!,#REF!,#REF!,#REF!,#REF!,#REF!,#REF!,#REF!,#REF!,#REF!,#REF!,#REF!,#REF!,#REF!,#REF!</definedName>
    <definedName name="__APW_RESTORE_DATA1155__">#REF!,#REF!,#REF!,#REF!,#REF!,#REF!,#REF!,#REF!,#REF!,#REF!,#REF!,#REF!,#REF!,#REF!,#REF!,#REF!</definedName>
    <definedName name="__APW_RESTORE_DATA1156__">#REF!,#REF!,#REF!,#REF!,#REF!,#REF!,#REF!,#REF!,#REF!,#REF!,#REF!,#REF!,#REF!,#REF!,#REF!,#REF!</definedName>
    <definedName name="__APW_RESTORE_DATA1157__">#REF!,#REF!,#REF!,#REF!,#REF!,#REF!,#REF!,#REF!,#REF!,#REF!,#REF!,#REF!,#REF!,#REF!,#REF!,#REF!</definedName>
    <definedName name="__APW_RESTORE_DATA1158__">#REF!,#REF!,#REF!,#REF!,#REF!,#REF!,#REF!,#REF!,#REF!,#REF!,#REF!,#REF!,#REF!,#REF!,#REF!</definedName>
    <definedName name="__APW_RESTORE_DATA1159__">#REF!,#REF!,#REF!,#REF!,#REF!,#REF!,#REF!,#REF!,#REF!,#REF!,#REF!,#REF!,#REF!,#REF!,#REF!</definedName>
    <definedName name="__APW_RESTORE_DATA116__">#REF!,#REF!</definedName>
    <definedName name="__APW_RESTORE_DATA1160__">#REF!,#REF!,#REF!,#REF!,#REF!,#REF!,#REF!,#REF!,#REF!,#REF!,#REF!,#REF!,#REF!,#REF!,#REF!</definedName>
    <definedName name="__APW_RESTORE_DATA1161__">#REF!,#REF!,#REF!,#REF!,#REF!,#REF!,#REF!,#REF!,#REF!,#REF!,#REF!,#REF!,#REF!,#REF!,#REF!</definedName>
    <definedName name="__APW_RESTORE_DATA1162__">#REF!,#REF!,#REF!,#REF!,#REF!,#REF!,#REF!,#REF!,#REF!,#REF!,#REF!,#REF!,#REF!,#REF!,#REF!</definedName>
    <definedName name="__APW_RESTORE_DATA1163__">#REF!,#REF!,#REF!,#REF!,#REF!,#REF!,#REF!,#REF!,#REF!,#REF!,#REF!,#REF!,#REF!,#REF!,#REF!</definedName>
    <definedName name="__APW_RESTORE_DATA1164__">#REF!,#REF!,#REF!,#REF!,#REF!,#REF!,#REF!,#REF!,#REF!,#REF!,#REF!,#REF!,#REF!,#REF!,#REF!</definedName>
    <definedName name="__APW_RESTORE_DATA1165__">#REF!,#REF!,#REF!,#REF!,#REF!,#REF!,#REF!,#REF!,#REF!,#REF!,#REF!,#REF!,#REF!,#REF!,#REF!</definedName>
    <definedName name="__APW_RESTORE_DATA1166__">#REF!,#REF!,#REF!,#REF!,#REF!,#REF!,#REF!,#REF!,#REF!,#REF!,#REF!,#REF!,#REF!,#REF!,#REF!</definedName>
    <definedName name="__APW_RESTORE_DATA1167__">#REF!,#REF!,#REF!,#REF!,#REF!,#REF!,#REF!,#REF!,#REF!,#REF!,#REF!,#REF!,#REF!,#REF!,#REF!</definedName>
    <definedName name="__APW_RESTORE_DATA1168__">#REF!,#REF!,#REF!,#REF!,#REF!,#REF!,#REF!,#REF!,#REF!,#REF!,#REF!,#REF!,#REF!,#REF!,#REF!</definedName>
    <definedName name="__APW_RESTORE_DATA1169__">#REF!,#REF!,#REF!,#REF!,#REF!,#REF!,#REF!,#REF!,#REF!,#REF!,#REF!,#REF!,#REF!,#REF!,#REF!</definedName>
    <definedName name="__APW_RESTORE_DATA117__">#REF!,#REF!,#REF!,#REF!,#REF!,#REF!,#REF!,#REF!,#REF!,#REF!,#REF!,#REF!,#REF!,#REF!,#REF!</definedName>
    <definedName name="__APW_RESTORE_DATA1170__">#REF!,#REF!,#REF!,#REF!,#REF!,#REF!,#REF!,#REF!,#REF!,#REF!,#REF!,#REF!,#REF!,#REF!,#REF!</definedName>
    <definedName name="__APW_RESTORE_DATA1171__">#REF!,#REF!,#REF!,#REF!,#REF!,#REF!,#REF!,#REF!,#REF!,#REF!,#REF!,#REF!,#REF!,#REF!,#REF!</definedName>
    <definedName name="__APW_RESTORE_DATA1172__">#REF!,#REF!,#REF!,#REF!,#REF!,#REF!,#REF!,#REF!,#REF!,#REF!,#REF!,#REF!,#REF!,#REF!,#REF!</definedName>
    <definedName name="__APW_RESTORE_DATA1173__">#REF!,#REF!,#REF!,#REF!,#REF!,#REF!,#REF!,#REF!,#REF!,#REF!,#REF!,#REF!,#REF!,#REF!,#REF!</definedName>
    <definedName name="__APW_RESTORE_DATA1174__">#REF!,#REF!,#REF!,#REF!,#REF!,#REF!,#REF!,#REF!,#REF!,#REF!,#REF!,#REF!,#REF!,#REF!,#REF!</definedName>
    <definedName name="__APW_RESTORE_DATA1175__">#REF!,#REF!,#REF!,#REF!,#REF!,#REF!,#REF!,#REF!,#REF!,#REF!,#REF!,#REF!,#REF!,#REF!,#REF!</definedName>
    <definedName name="__APW_RESTORE_DATA1176__">#REF!,#REF!,#REF!,#REF!,#REF!,#REF!,#REF!,#REF!,#REF!,#REF!,#REF!,#REF!,#REF!,#REF!,#REF!</definedName>
    <definedName name="__APW_RESTORE_DATA1177__">#REF!,#REF!,#REF!,#REF!,#REF!,#REF!,#REF!,#REF!,#REF!,#REF!,#REF!,#REF!,#REF!,#REF!,#REF!</definedName>
    <definedName name="__APW_RESTORE_DATA1178__">#REF!,#REF!,#REF!,#REF!,#REF!,#REF!,#REF!,#REF!,#REF!,#REF!,#REF!,#REF!,#REF!,#REF!,#REF!</definedName>
    <definedName name="__APW_RESTORE_DATA1179__">#REF!,#REF!,#REF!,#REF!,#REF!,#REF!,#REF!,#REF!,#REF!,#REF!,#REF!,#REF!,#REF!,#REF!,#REF!</definedName>
    <definedName name="__APW_RESTORE_DATA118__">#REF!,#REF!,#REF!,#REF!,#REF!,#REF!,#REF!,#REF!,#REF!,#REF!,#REF!,#REF!,#REF!,#REF!,#REF!</definedName>
    <definedName name="__APW_RESTORE_DATA1180__">#REF!,#REF!,#REF!,#REF!,#REF!,#REF!,#REF!,#REF!,#REF!,#REF!,#REF!,#REF!,#REF!,#REF!,#REF!</definedName>
    <definedName name="__APW_RESTORE_DATA1181__">#REF!,#REF!,#REF!,#REF!,#REF!,#REF!,#REF!,#REF!,#REF!,#REF!,#REF!,#REF!,#REF!,#REF!,#REF!</definedName>
    <definedName name="__APW_RESTORE_DATA1182__">#REF!,#REF!,#REF!,#REF!,#REF!,#REF!,#REF!,#REF!,#REF!,#REF!,#REF!,#REF!,#REF!,#REF!,#REF!</definedName>
    <definedName name="__APW_RESTORE_DATA1183__">#REF!,#REF!,#REF!,#REF!,#REF!,#REF!,#REF!,#REF!,#REF!,#REF!,#REF!,#REF!,#REF!,#REF!,#REF!</definedName>
    <definedName name="__APW_RESTORE_DATA1184__">#REF!,#REF!,#REF!,#REF!,#REF!,#REF!,#REF!,#REF!,#REF!,#REF!,#REF!,#REF!,#REF!,#REF!,#REF!</definedName>
    <definedName name="__APW_RESTORE_DATA1185__">#REF!,#REF!,#REF!,#REF!,#REF!,#REF!,#REF!,#REF!,#REF!,#REF!,#REF!,#REF!,#REF!,#REF!,#REF!</definedName>
    <definedName name="__APW_RESTORE_DATA1186__">#REF!,#REF!,#REF!,#REF!,#REF!,#REF!</definedName>
    <definedName name="__APW_RESTORE_DATA1187__">#REF!,#REF!,#REF!,#REF!,#REF!,#REF!,#REF!,#REF!,#REF!,#REF!,#REF!,#REF!,#REF!,#REF!,#REF!,#REF!</definedName>
    <definedName name="__APW_RESTORE_DATA1188__">#REF!,#REF!,#REF!,#REF!,#REF!,#REF!,#REF!,#REF!,#REF!,#REF!,#REF!,#REF!,#REF!,#REF!,#REF!,#REF!</definedName>
    <definedName name="__APW_RESTORE_DATA1189__">#REF!,#REF!,#REF!,#REF!,#REF!,#REF!,#REF!,#REF!,#REF!,#REF!,#REF!,#REF!,#REF!,#REF!,#REF!,#REF!</definedName>
    <definedName name="__APW_RESTORE_DATA119__">#REF!,#REF!,#REF!,#REF!,#REF!,#REF!,#REF!,#REF!,#REF!,#REF!,#REF!,#REF!,#REF!,#REF!,#REF!</definedName>
    <definedName name="__APW_RESTORE_DATA1190__">#REF!,#REF!,#REF!,#REF!,#REF!,#REF!,#REF!,#REF!,#REF!,#REF!,#REF!,#REF!,#REF!,#REF!,#REF!,#REF!</definedName>
    <definedName name="__APW_RESTORE_DATA1191__">#REF!,#REF!,#REF!,#REF!,#REF!,#REF!,#REF!,#REF!,#REF!,#REF!,#REF!,#REF!,#REF!,#REF!,#REF!,#REF!</definedName>
    <definedName name="__APW_RESTORE_DATA1192__">#REF!,#REF!,#REF!,#REF!,#REF!,#REF!,#REF!,#REF!,#REF!,#REF!,#REF!,#REF!,#REF!,#REF!,#REF!,#REF!</definedName>
    <definedName name="__APW_RESTORE_DATA1193__">#REF!,#REF!,#REF!,#REF!,#REF!,#REF!,#REF!,#REF!,#REF!,#REF!,#REF!,#REF!,#REF!,#REF!,#REF!</definedName>
    <definedName name="__APW_RESTORE_DATA1194__">#REF!,#REF!,#REF!,#REF!,#REF!,#REF!,#REF!,#REF!,#REF!,#REF!,#REF!,#REF!,#REF!,#REF!,#REF!</definedName>
    <definedName name="__APW_RESTORE_DATA1195__">#REF!,#REF!,#REF!,#REF!,#REF!,#REF!,#REF!,#REF!,#REF!,#REF!,#REF!,#REF!,#REF!,#REF!,#REF!</definedName>
    <definedName name="__APW_RESTORE_DATA1196__">#REF!,#REF!,#REF!,#REF!,#REF!,#REF!,#REF!,#REF!,#REF!,#REF!,#REF!,#REF!,#REF!,#REF!,#REF!</definedName>
    <definedName name="__APW_RESTORE_DATA1197__">#REF!,#REF!,#REF!,#REF!,#REF!,#REF!,#REF!,#REF!,#REF!,#REF!,#REF!,#REF!,#REF!,#REF!,#REF!</definedName>
    <definedName name="__APW_RESTORE_DATA1198__">#REF!,#REF!,#REF!,#REF!,#REF!,#REF!,#REF!,#REF!,#REF!,#REF!,#REF!,#REF!,#REF!,#REF!,#REF!</definedName>
    <definedName name="__APW_RESTORE_DATA1199__">#REF!,#REF!,#REF!,#REF!,#REF!,#REF!,#REF!,#REF!,#REF!,#REF!,#REF!,#REF!,#REF!,#REF!,#REF!</definedName>
    <definedName name="__APW_RESTORE_DATA12__">#REF!,#REF!,#REF!,#REF!,#REF!,#REF!,#REF!,#REF!,#REF!,#REF!,#REF!,#REF!,#REF!,#REF!,#REF!,#REF!</definedName>
    <definedName name="__APW_RESTORE_DATA120__">#REF!,#REF!,#REF!,#REF!,#REF!,#REF!,#REF!,#REF!,#REF!,#REF!,#REF!,#REF!,#REF!,#REF!,#REF!</definedName>
    <definedName name="__APW_RESTORE_DATA1200__">#REF!,#REF!,#REF!,#REF!,#REF!,#REF!,#REF!,#REF!,#REF!,#REF!,#REF!,#REF!,#REF!,#REF!,#REF!</definedName>
    <definedName name="__APW_RESTORE_DATA1201__">#REF!,#REF!,#REF!,#REF!,#REF!,#REF!,#REF!,#REF!,#REF!,#REF!,#REF!,#REF!,#REF!,#REF!,#REF!</definedName>
    <definedName name="__APW_RESTORE_DATA1202__">#REF!,#REF!,#REF!,#REF!,#REF!,#REF!,#REF!,#REF!,#REF!,#REF!,#REF!,#REF!,#REF!,#REF!,#REF!</definedName>
    <definedName name="__APW_RESTORE_DATA1203__">#REF!,#REF!,#REF!,#REF!,#REF!,#REF!,#REF!,#REF!,#REF!,#REF!,#REF!,#REF!,#REF!,#REF!,#REF!</definedName>
    <definedName name="__APW_RESTORE_DATA1204__">#REF!,#REF!,#REF!,#REF!,#REF!,#REF!,#REF!,#REF!,#REF!,#REF!,#REF!,#REF!,#REF!,#REF!,#REF!</definedName>
    <definedName name="__APW_RESTORE_DATA1205__">#REF!,#REF!,#REF!,#REF!,#REF!,#REF!,#REF!,#REF!,#REF!,#REF!,#REF!,#REF!,#REF!,#REF!,#REF!</definedName>
    <definedName name="__APW_RESTORE_DATA1206__">#REF!,#REF!,#REF!,#REF!,#REF!,#REF!,#REF!,#REF!,#REF!,#REF!,#REF!,#REF!,#REF!,#REF!,#REF!</definedName>
    <definedName name="__APW_RESTORE_DATA1207__">#REF!,#REF!,#REF!,#REF!,#REF!,#REF!,#REF!,#REF!,#REF!,#REF!,#REF!,#REF!,#REF!,#REF!,#REF!</definedName>
    <definedName name="__APW_RESTORE_DATA1208__">#REF!,#REF!,#REF!,#REF!,#REF!,#REF!,#REF!,#REF!,#REF!,#REF!,#REF!,#REF!,#REF!,#REF!,#REF!</definedName>
    <definedName name="__APW_RESTORE_DATA1209__">#REF!,#REF!,#REF!,#REF!,#REF!,#REF!,#REF!,#REF!,#REF!,#REF!,#REF!,#REF!,#REF!,#REF!,#REF!</definedName>
    <definedName name="__APW_RESTORE_DATA121__">#REF!,#REF!,#REF!,#REF!,#REF!,#REF!,#REF!,#REF!,#REF!,#REF!,#REF!,#REF!,#REF!,#REF!,#REF!</definedName>
    <definedName name="__APW_RESTORE_DATA1210__">#REF!,#REF!,#REF!,#REF!,#REF!,#REF!,#REF!,#REF!,#REF!,#REF!,#REF!,#REF!,#REF!,#REF!,#REF!</definedName>
    <definedName name="__APW_RESTORE_DATA1211__">#REF!,#REF!,#REF!,#REF!,#REF!,#REF!,#REF!,#REF!,#REF!,#REF!,#REF!,#REF!,#REF!,#REF!,#REF!</definedName>
    <definedName name="__APW_RESTORE_DATA1212__">#REF!,#REF!,#REF!,#REF!,#REF!,#REF!,#REF!,#REF!,#REF!,#REF!,#REF!,#REF!,#REF!,#REF!,#REF!</definedName>
    <definedName name="__APW_RESTORE_DATA1213__">#REF!,#REF!,#REF!,#REF!,#REF!,#REF!,#REF!,#REF!,#REF!,#REF!,#REF!,#REF!,#REF!,#REF!,#REF!</definedName>
    <definedName name="__APW_RESTORE_DATA1214__">#REF!,#REF!,#REF!,#REF!,#REF!,#REF!,#REF!,#REF!,#REF!,#REF!,#REF!,#REF!,#REF!,#REF!,#REF!</definedName>
    <definedName name="__APW_RESTORE_DATA1215__">#REF!,#REF!,#REF!,#REF!,#REF!,#REF!,#REF!,#REF!,#REF!,#REF!,#REF!,#REF!,#REF!,#REF!,#REF!</definedName>
    <definedName name="__APW_RESTORE_DATA1216__">#REF!,#REF!,#REF!,#REF!,#REF!,#REF!,#REF!,#REF!,#REF!,#REF!,#REF!,#REF!,#REF!,#REF!,#REF!</definedName>
    <definedName name="__APW_RESTORE_DATA1217__">#REF!,#REF!,#REF!,#REF!,#REF!,#REF!,#REF!,#REF!,#REF!,#REF!,#REF!,#REF!,#REF!,#REF!,#REF!</definedName>
    <definedName name="__APW_RESTORE_DATA1218__">#REF!,#REF!,#REF!,#REF!,#REF!,#REF!,#REF!,#REF!,#REF!,#REF!,#REF!,#REF!,#REF!,#REF!,#REF!</definedName>
    <definedName name="__APW_RESTORE_DATA1219__">#REF!,#REF!,#REF!,#REF!,#REF!,#REF!,#REF!,#REF!,#REF!,#REF!,#REF!,#REF!,#REF!,#REF!,#REF!</definedName>
    <definedName name="__APW_RESTORE_DATA122__">#REF!,#REF!,#REF!,#REF!,#REF!,#REF!,#REF!,#REF!,#REF!,#REF!,#REF!,#REF!,#REF!,#REF!,#REF!</definedName>
    <definedName name="__APW_RESTORE_DATA1220__">#REF!,#REF!,#REF!,#REF!,#REF!,#REF!,#REF!,#REF!,#REF!,#REF!,#REF!,#REF!,#REF!,#REF!,#REF!</definedName>
    <definedName name="__APW_RESTORE_DATA1221__">#REF!,#REF!,#REF!,#REF!,#REF!,#REF!</definedName>
    <definedName name="__APW_RESTORE_DATA1222__">#REF!,#REF!,#REF!,#REF!,#REF!,#REF!,#REF!,#REF!,#REF!,#REF!,#REF!,#REF!,#REF!,#REF!,#REF!,#REF!</definedName>
    <definedName name="__APW_RESTORE_DATA1223__">#REF!,#REF!,#REF!,#REF!,#REF!,#REF!,#REF!,#REF!,#REF!,#REF!,#REF!,#REF!,#REF!,#REF!,#REF!,#REF!</definedName>
    <definedName name="__APW_RESTORE_DATA1224__">#REF!,#REF!,#REF!,#REF!,#REF!,#REF!,#REF!,#REF!,#REF!,#REF!,#REF!,#REF!,#REF!,#REF!,#REF!,#REF!</definedName>
    <definedName name="__APW_RESTORE_DATA1225__">#REF!,#REF!,#REF!,#REF!,#REF!,#REF!,#REF!,#REF!,#REF!,#REF!,#REF!,#REF!,#REF!,#REF!,#REF!,#REF!</definedName>
    <definedName name="__APW_RESTORE_DATA1226__">#REF!,#REF!,#REF!,#REF!,#REF!,#REF!,#REF!,#REF!,#REF!,#REF!,#REF!,#REF!,#REF!,#REF!,#REF!,#REF!</definedName>
    <definedName name="__APW_RESTORE_DATA1227__">#REF!,#REF!,#REF!,#REF!,#REF!,#REF!,#REF!,#REF!,#REF!,#REF!,#REF!,#REF!,#REF!,#REF!,#REF!,#REF!</definedName>
    <definedName name="__APW_RESTORE_DATA1228__">#REF!,#REF!,#REF!,#REF!,#REF!,#REF!,#REF!,#REF!,#REF!,#REF!,#REF!,#REF!,#REF!,#REF!,#REF!</definedName>
    <definedName name="__APW_RESTORE_DATA1229__">#REF!,#REF!,#REF!,#REF!,#REF!,#REF!,#REF!,#REF!,#REF!,#REF!,#REF!,#REF!,#REF!,#REF!,#REF!</definedName>
    <definedName name="__APW_RESTORE_DATA123__">#REF!,#REF!,#REF!,#REF!,#REF!,#REF!,#REF!,#REF!,#REF!,#REF!,#REF!,#REF!,#REF!,#REF!,#REF!</definedName>
    <definedName name="__APW_RESTORE_DATA1230__">#REF!,#REF!,#REF!,#REF!,#REF!,#REF!,#REF!,#REF!,#REF!,#REF!,#REF!,#REF!,#REF!,#REF!,#REF!</definedName>
    <definedName name="__APW_RESTORE_DATA1231__">#REF!,#REF!,#REF!,#REF!,#REF!,#REF!,#REF!,#REF!,#REF!,#REF!,#REF!,#REF!,#REF!,#REF!,#REF!</definedName>
    <definedName name="__APW_RESTORE_DATA1232__">#REF!,#REF!,#REF!,#REF!,#REF!,#REF!,#REF!,#REF!,#REF!,#REF!,#REF!,#REF!,#REF!,#REF!,#REF!</definedName>
    <definedName name="__APW_RESTORE_DATA1233__">#REF!,#REF!,#REF!,#REF!,#REF!,#REF!,#REF!,#REF!,#REF!,#REF!,#REF!,#REF!,#REF!,#REF!,#REF!</definedName>
    <definedName name="__APW_RESTORE_DATA1234__">#REF!,#REF!,#REF!,#REF!,#REF!,#REF!,#REF!,#REF!,#REF!,#REF!,#REF!,#REF!,#REF!,#REF!,#REF!</definedName>
    <definedName name="__APW_RESTORE_DATA1235__">#REF!,#REF!,#REF!,#REF!,#REF!,#REF!,#REF!,#REF!,#REF!,#REF!,#REF!,#REF!,#REF!,#REF!,#REF!</definedName>
    <definedName name="__APW_RESTORE_DATA1236__">#REF!,#REF!,#REF!,#REF!,#REF!,#REF!,#REF!,#REF!,#REF!,#REF!,#REF!,#REF!,#REF!,#REF!,#REF!</definedName>
    <definedName name="__APW_RESTORE_DATA1237__">#REF!,#REF!,#REF!,#REF!,#REF!,#REF!,#REF!,#REF!,#REF!,#REF!,#REF!,#REF!,#REF!,#REF!,#REF!</definedName>
    <definedName name="__APW_RESTORE_DATA1238__">#REF!,#REF!,#REF!,#REF!,#REF!,#REF!,#REF!,#REF!,#REF!,#REF!,#REF!,#REF!,#REF!,#REF!,#REF!</definedName>
    <definedName name="__APW_RESTORE_DATA1239__">#REF!,#REF!,#REF!,#REF!,#REF!,#REF!,#REF!,#REF!,#REF!,#REF!,#REF!,#REF!,#REF!,#REF!,#REF!</definedName>
    <definedName name="__APW_RESTORE_DATA124__">#REF!,#REF!,#REF!,#REF!,#REF!,#REF!,#REF!,#REF!,#REF!,#REF!,#REF!,#REF!,#REF!,#REF!,#REF!</definedName>
    <definedName name="__APW_RESTORE_DATA1240__">#REF!,#REF!,#REF!,#REF!,#REF!,#REF!,#REF!,#REF!,#REF!,#REF!,#REF!,#REF!,#REF!,#REF!,#REF!</definedName>
    <definedName name="__APW_RESTORE_DATA1241__">#REF!,#REF!,#REF!,#REF!,#REF!,#REF!,#REF!,#REF!,#REF!,#REF!,#REF!,#REF!,#REF!,#REF!,#REF!</definedName>
    <definedName name="__APW_RESTORE_DATA1242__">#REF!,#REF!,#REF!,#REF!,#REF!,#REF!,#REF!,#REF!,#REF!,#REF!,#REF!,#REF!,#REF!,#REF!,#REF!</definedName>
    <definedName name="__APW_RESTORE_DATA1243__">#REF!,#REF!,#REF!,#REF!,#REF!,#REF!,#REF!,#REF!,#REF!,#REF!,#REF!,#REF!,#REF!,#REF!,#REF!</definedName>
    <definedName name="__APW_RESTORE_DATA1244__">#REF!,#REF!,#REF!,#REF!,#REF!,#REF!,#REF!,#REF!,#REF!,#REF!,#REF!,#REF!,#REF!,#REF!,#REF!</definedName>
    <definedName name="__APW_RESTORE_DATA1245__">#REF!,#REF!,#REF!,#REF!,#REF!,#REF!,#REF!,#REF!,#REF!,#REF!,#REF!,#REF!,#REF!,#REF!,#REF!</definedName>
    <definedName name="__APW_RESTORE_DATA1246__">#REF!,#REF!,#REF!,#REF!,#REF!,#REF!,#REF!,#REF!,#REF!,#REF!,#REF!,#REF!,#REF!,#REF!,#REF!</definedName>
    <definedName name="__APW_RESTORE_DATA1247__">#REF!,#REF!,#REF!,#REF!,#REF!,#REF!,#REF!,#REF!,#REF!,#REF!,#REF!,#REF!,#REF!,#REF!,#REF!</definedName>
    <definedName name="__APW_RESTORE_DATA1248__">#REF!,#REF!,#REF!,#REF!,#REF!,#REF!,#REF!,#REF!,#REF!,#REF!,#REF!,#REF!,#REF!,#REF!,#REF!</definedName>
    <definedName name="__APW_RESTORE_DATA1249__">#REF!,#REF!,#REF!,#REF!,#REF!,#REF!,#REF!,#REF!,#REF!,#REF!,#REF!,#REF!,#REF!,#REF!,#REF!</definedName>
    <definedName name="__APW_RESTORE_DATA125__">#REF!,#REF!,#REF!,#REF!,#REF!,#REF!,#REF!,#REF!,#REF!,#REF!,#REF!,#REF!,#REF!,#REF!,#REF!</definedName>
    <definedName name="__APW_RESTORE_DATA1250__">#REF!,#REF!,#REF!,#REF!,#REF!,#REF!,#REF!,#REF!,#REF!,#REF!,#REF!,#REF!,#REF!,#REF!,#REF!</definedName>
    <definedName name="__APW_RESTORE_DATA1251__">#REF!,#REF!,#REF!,#REF!,#REF!,#REF!,#REF!,#REF!,#REF!,#REF!,#REF!,#REF!,#REF!,#REF!,#REF!</definedName>
    <definedName name="__APW_RESTORE_DATA1252__">#REF!,#REF!,#REF!,#REF!,#REF!,#REF!,#REF!,#REF!,#REF!,#REF!,#REF!,#REF!,#REF!,#REF!,#REF!</definedName>
    <definedName name="__APW_RESTORE_DATA1253__">#REF!,#REF!,#REF!,#REF!,#REF!,#REF!,#REF!,#REF!,#REF!,#REF!,#REF!,#REF!,#REF!,#REF!,#REF!</definedName>
    <definedName name="__APW_RESTORE_DATA1254__">#REF!,#REF!,#REF!,#REF!,#REF!,#REF!,#REF!,#REF!,#REF!,#REF!,#REF!,#REF!,#REF!,#REF!,#REF!</definedName>
    <definedName name="__APW_RESTORE_DATA1255__">#REF!,#REF!,#REF!,#REF!,#REF!,#REF!,#REF!,#REF!,#REF!,#REF!,#REF!,#REF!,#REF!,#REF!,#REF!</definedName>
    <definedName name="__APW_RESTORE_DATA1256__">#REF!,#REF!,#REF!,#REF!,#REF!,#REF!</definedName>
    <definedName name="__APW_RESTORE_DATA1257__">#REF!,#REF!,#REF!,#REF!,#REF!,#REF!,#REF!,#REF!,#REF!,#REF!,#REF!,#REF!,#REF!,#REF!,#REF!,#REF!</definedName>
    <definedName name="__APW_RESTORE_DATA1258__">#REF!,#REF!,#REF!,#REF!,#REF!,#REF!,#REF!,#REF!,#REF!,#REF!,#REF!,#REF!,#REF!,#REF!,#REF!,#REF!</definedName>
    <definedName name="__APW_RESTORE_DATA1259__">#REF!,#REF!,#REF!,#REF!,#REF!,#REF!,#REF!,#REF!,#REF!,#REF!,#REF!,#REF!,#REF!,#REF!,#REF!,#REF!</definedName>
    <definedName name="__APW_RESTORE_DATA126__">#REF!,#REF!,#REF!,#REF!,#REF!,#REF!,#REF!,#REF!,#REF!,#REF!,#REF!,#REF!,#REF!,#REF!,#REF!</definedName>
    <definedName name="__APW_RESTORE_DATA1260__">#REF!,#REF!,#REF!,#REF!,#REF!,#REF!,#REF!,#REF!,#REF!,#REF!,#REF!,#REF!,#REF!,#REF!,#REF!,#REF!</definedName>
    <definedName name="__APW_RESTORE_DATA1261__">#REF!,#REF!,#REF!,#REF!,#REF!,#REF!,#REF!,#REF!,#REF!,#REF!,#REF!,#REF!,#REF!,#REF!,#REF!,#REF!</definedName>
    <definedName name="__APW_RESTORE_DATA1262__">#REF!,#REF!,#REF!,#REF!,#REF!,#REF!,#REF!,#REF!,#REF!,#REF!,#REF!,#REF!,#REF!,#REF!,#REF!,#REF!</definedName>
    <definedName name="__APW_RESTORE_DATA1263__">#REF!,#REF!,#REF!,#REF!,#REF!,#REF!,#REF!,#REF!,#REF!,#REF!,#REF!,#REF!,#REF!,#REF!,#REF!</definedName>
    <definedName name="__APW_RESTORE_DATA1264__">#REF!,#REF!,#REF!,#REF!,#REF!,#REF!,#REF!,#REF!,#REF!,#REF!,#REF!,#REF!,#REF!,#REF!,#REF!</definedName>
    <definedName name="__APW_RESTORE_DATA1265__">#REF!,#REF!,#REF!,#REF!,#REF!,#REF!,#REF!,#REF!,#REF!,#REF!,#REF!,#REF!,#REF!,#REF!,#REF!</definedName>
    <definedName name="__APW_RESTORE_DATA1266__">#REF!,#REF!,#REF!,#REF!,#REF!,#REF!,#REF!,#REF!,#REF!,#REF!,#REF!,#REF!,#REF!,#REF!,#REF!</definedName>
    <definedName name="__APW_RESTORE_DATA1267__">#REF!,#REF!,#REF!,#REF!,#REF!,#REF!,#REF!,#REF!,#REF!,#REF!,#REF!,#REF!,#REF!,#REF!,#REF!</definedName>
    <definedName name="__APW_RESTORE_DATA1268__">#REF!,#REF!,#REF!,#REF!,#REF!,#REF!,#REF!,#REF!,#REF!,#REF!,#REF!,#REF!,#REF!,#REF!,#REF!</definedName>
    <definedName name="__APW_RESTORE_DATA1269__">#REF!,#REF!,#REF!,#REF!,#REF!,#REF!,#REF!,#REF!,#REF!,#REF!,#REF!,#REF!,#REF!,#REF!,#REF!</definedName>
    <definedName name="__APW_RESTORE_DATA127__">#REF!,#REF!,#REF!,#REF!,#REF!,#REF!,#REF!,#REF!,#REF!,#REF!,#REF!,#REF!,#REF!,#REF!,#REF!</definedName>
    <definedName name="__APW_RESTORE_DATA1270__">#REF!,#REF!,#REF!,#REF!,#REF!,#REF!,#REF!,#REF!,#REF!,#REF!,#REF!,#REF!,#REF!,#REF!,#REF!</definedName>
    <definedName name="__APW_RESTORE_DATA1271__">#REF!,#REF!,#REF!,#REF!,#REF!,#REF!,#REF!,#REF!,#REF!,#REF!,#REF!,#REF!,#REF!,#REF!,#REF!</definedName>
    <definedName name="__APW_RESTORE_DATA1272__">#REF!,#REF!,#REF!,#REF!,#REF!,#REF!,#REF!,#REF!,#REF!,#REF!,#REF!,#REF!,#REF!,#REF!,#REF!</definedName>
    <definedName name="__APW_RESTORE_DATA1273__">#REF!,#REF!,#REF!,#REF!,#REF!,#REF!,#REF!,#REF!,#REF!,#REF!,#REF!,#REF!,#REF!,#REF!,#REF!</definedName>
    <definedName name="__APW_RESTORE_DATA1274__">#REF!,#REF!,#REF!,#REF!,#REF!,#REF!,#REF!,#REF!,#REF!,#REF!,#REF!,#REF!,#REF!,#REF!,#REF!</definedName>
    <definedName name="__APW_RESTORE_DATA1275__">#REF!,#REF!,#REF!,#REF!,#REF!,#REF!,#REF!,#REF!,#REF!,#REF!,#REF!,#REF!,#REF!,#REF!,#REF!</definedName>
    <definedName name="__APW_RESTORE_DATA1276__">#REF!,#REF!,#REF!,#REF!,#REF!,#REF!,#REF!,#REF!,#REF!,#REF!,#REF!,#REF!,#REF!,#REF!,#REF!</definedName>
    <definedName name="__APW_RESTORE_DATA1277__">#REF!,#REF!,#REF!,#REF!,#REF!,#REF!,#REF!,#REF!,#REF!,#REF!,#REF!,#REF!,#REF!,#REF!,#REF!</definedName>
    <definedName name="__APW_RESTORE_DATA1278__">#REF!,#REF!,#REF!,#REF!,#REF!,#REF!,#REF!,#REF!,#REF!,#REF!,#REF!,#REF!,#REF!,#REF!,#REF!</definedName>
    <definedName name="__APW_RESTORE_DATA1279__">#REF!,#REF!,#REF!,#REF!,#REF!,#REF!,#REF!,#REF!,#REF!,#REF!,#REF!,#REF!,#REF!,#REF!,#REF!</definedName>
    <definedName name="__APW_RESTORE_DATA128__">#REF!,#REF!,#REF!,#REF!,#REF!,#REF!,#REF!,#REF!,#REF!,#REF!,#REF!,#REF!,#REF!,#REF!,#REF!</definedName>
    <definedName name="__APW_RESTORE_DATA1280__">#REF!,#REF!,#REF!,#REF!,#REF!,#REF!,#REF!,#REF!,#REF!,#REF!,#REF!,#REF!,#REF!,#REF!,#REF!</definedName>
    <definedName name="__APW_RESTORE_DATA1281__">#REF!,#REF!,#REF!,#REF!,#REF!,#REF!,#REF!,#REF!,#REF!,#REF!,#REF!,#REF!,#REF!,#REF!,#REF!</definedName>
    <definedName name="__APW_RESTORE_DATA1282__">#REF!,#REF!,#REF!,#REF!,#REF!,#REF!,#REF!,#REF!,#REF!,#REF!,#REF!,#REF!,#REF!,#REF!,#REF!</definedName>
    <definedName name="__APW_RESTORE_DATA1283__">#REF!,#REF!,#REF!,#REF!,#REF!,#REF!,#REF!,#REF!,#REF!,#REF!,#REF!,#REF!,#REF!,#REF!,#REF!</definedName>
    <definedName name="__APW_RESTORE_DATA1284__">#REF!,#REF!,#REF!,#REF!,#REF!,#REF!,#REF!,#REF!,#REF!,#REF!,#REF!,#REF!,#REF!,#REF!,#REF!</definedName>
    <definedName name="__APW_RESTORE_DATA1285__">#REF!,#REF!,#REF!,#REF!,#REF!,#REF!,#REF!,#REF!,#REF!,#REF!,#REF!,#REF!,#REF!,#REF!,#REF!</definedName>
    <definedName name="__APW_RESTORE_DATA1286__">#REF!,#REF!,#REF!,#REF!,#REF!,#REF!,#REF!,#REF!,#REF!,#REF!,#REF!,#REF!,#REF!,#REF!,#REF!</definedName>
    <definedName name="__APW_RESTORE_DATA1287__">#REF!,#REF!,#REF!,#REF!,#REF!,#REF!,#REF!,#REF!,#REF!,#REF!,#REF!,#REF!,#REF!,#REF!,#REF!</definedName>
    <definedName name="__APW_RESTORE_DATA1288__">#REF!,#REF!,#REF!,#REF!,#REF!,#REF!,#REF!,#REF!,#REF!,#REF!,#REF!,#REF!,#REF!,#REF!,#REF!</definedName>
    <definedName name="__APW_RESTORE_DATA1289__">#REF!,#REF!,#REF!,#REF!,#REF!,#REF!,#REF!,#REF!,#REF!,#REF!,#REF!,#REF!,#REF!,#REF!,#REF!</definedName>
    <definedName name="__APW_RESTORE_DATA129__">#REF!,#REF!</definedName>
    <definedName name="__APW_RESTORE_DATA1290__">#REF!,#REF!,#REF!,#REF!,#REF!,#REF!,#REF!,#REF!,#REF!,#REF!,#REF!,#REF!,#REF!,#REF!,#REF!</definedName>
    <definedName name="__APW_RESTORE_DATA1291__">#REF!,#REF!,#REF!,#REF!,#REF!,#REF!</definedName>
    <definedName name="__APW_RESTORE_DATA1292__">#REF!</definedName>
    <definedName name="__APW_RESTORE_DATA1293__">#REF!</definedName>
    <definedName name="__APW_RESTORE_DATA1294__">#REF!</definedName>
    <definedName name="__APW_RESTORE_DATA1296__">#REF!</definedName>
    <definedName name="__APW_RESTORE_DATA1297__">#REF!,#REF!,#REF!,#REF!,#REF!,#REF!,#REF!,#REF!,#REF!,#REF!,#REF!,#REF!,#REF!,#REF!,#REF!,#REF!</definedName>
    <definedName name="__APW_RESTORE_DATA1298__">#REF!,#REF!,#REF!,#REF!,#REF!,#REF!,#REF!,#REF!,#REF!,#REF!,#REF!,#REF!,#REF!,#REF!,#REF!,#REF!</definedName>
    <definedName name="__APW_RESTORE_DATA1299__">#REF!,#REF!,#REF!,#REF!,#REF!,#REF!,#REF!,#REF!,#REF!,#REF!,#REF!,#REF!,#REF!,#REF!,#REF!,#REF!</definedName>
    <definedName name="__APW_RESTORE_DATA13__">#REF!,#REF!,#REF!,#REF!,#REF!,#REF!,#REF!,#REF!,#REF!,#REF!,#REF!,#REF!,#REF!,#REF!,#REF!</definedName>
    <definedName name="__APW_RESTORE_DATA130__">#REF!,#REF!,#REF!,#REF!,#REF!,#REF!,#REF!,#REF!,#REF!,#REF!,#REF!,#REF!,#REF!,#REF!,#REF!</definedName>
    <definedName name="__APW_RESTORE_DATA1300__">#REF!,#REF!,#REF!,#REF!,#REF!,#REF!,#REF!,#REF!,#REF!,#REF!,#REF!,#REF!,#REF!,#REF!,#REF!,#REF!</definedName>
    <definedName name="__APW_RESTORE_DATA1301__">#REF!,#REF!,#REF!,#REF!,#REF!,#REF!,#REF!,#REF!,#REF!,#REF!,#REF!,#REF!,#REF!,#REF!,#REF!,#REF!</definedName>
    <definedName name="__APW_RESTORE_DATA1302__">#REF!,#REF!,#REF!,#REF!,#REF!,#REF!,#REF!,#REF!,#REF!,#REF!,#REF!,#REF!,#REF!,#REF!,#REF!,#REF!</definedName>
    <definedName name="__APW_RESTORE_DATA1303__">#REF!,#REF!,#REF!,#REF!,#REF!,#REF!,#REF!,#REF!,#REF!,#REF!,#REF!,#REF!,#REF!,#REF!,#REF!</definedName>
    <definedName name="__APW_RESTORE_DATA1304__">#REF!,#REF!,#REF!,#REF!,#REF!,#REF!,#REF!,#REF!,#REF!,#REF!,#REF!,#REF!,#REF!,#REF!,#REF!</definedName>
    <definedName name="__APW_RESTORE_DATA1305__">#REF!,#REF!,#REF!,#REF!,#REF!,#REF!,#REF!,#REF!,#REF!,#REF!,#REF!,#REF!,#REF!,#REF!,#REF!</definedName>
    <definedName name="__APW_RESTORE_DATA1306__">#REF!,#REF!,#REF!,#REF!,#REF!,#REF!,#REF!,#REF!,#REF!,#REF!,#REF!,#REF!,#REF!,#REF!,#REF!</definedName>
    <definedName name="__APW_RESTORE_DATA1307__">#REF!,#REF!,#REF!,#REF!,#REF!,#REF!,#REF!,#REF!,#REF!,#REF!,#REF!,#REF!,#REF!,#REF!,#REF!</definedName>
    <definedName name="__APW_RESTORE_DATA1308__">#REF!,#REF!,#REF!,#REF!,#REF!,#REF!,#REF!,#REF!,#REF!,#REF!,#REF!,#REF!,#REF!,#REF!,#REF!</definedName>
    <definedName name="__APW_RESTORE_DATA1309__">#REF!,#REF!,#REF!,#REF!,#REF!,#REF!,#REF!,#REF!,#REF!,#REF!,#REF!,#REF!,#REF!,#REF!,#REF!</definedName>
    <definedName name="__APW_RESTORE_DATA131__">#REF!,#REF!,#REF!,#REF!,#REF!,#REF!,#REF!,#REF!,#REF!,#REF!,#REF!,#REF!,#REF!,#REF!,#REF!</definedName>
    <definedName name="__APW_RESTORE_DATA1310__">#REF!,#REF!,#REF!,#REF!,#REF!,#REF!,#REF!,#REF!,#REF!,#REF!,#REF!,#REF!,#REF!,#REF!,#REF!</definedName>
    <definedName name="__APW_RESTORE_DATA1311__">#REF!,#REF!,#REF!,#REF!,#REF!,#REF!,#REF!,#REF!,#REF!,#REF!,#REF!,#REF!,#REF!,#REF!,#REF!</definedName>
    <definedName name="__APW_RESTORE_DATA1312__">#REF!,#REF!,#REF!,#REF!,#REF!,#REF!,#REF!,#REF!,#REF!,#REF!,#REF!,#REF!,#REF!,#REF!,#REF!</definedName>
    <definedName name="__APW_RESTORE_DATA1313__">#REF!,#REF!,#REF!,#REF!,#REF!,#REF!,#REF!,#REF!,#REF!,#REF!,#REF!,#REF!,#REF!,#REF!,#REF!</definedName>
    <definedName name="__APW_RESTORE_DATA1314__">#REF!,#REF!,#REF!,#REF!,#REF!,#REF!,#REF!,#REF!,#REF!,#REF!,#REF!,#REF!,#REF!,#REF!,#REF!</definedName>
    <definedName name="__APW_RESTORE_DATA1315__">#REF!,#REF!,#REF!,#REF!,#REF!,#REF!,#REF!,#REF!,#REF!,#REF!,#REF!,#REF!,#REF!,#REF!,#REF!</definedName>
    <definedName name="__APW_RESTORE_DATA1316__">#REF!,#REF!,#REF!,#REF!,#REF!,#REF!,#REF!,#REF!,#REF!,#REF!,#REF!,#REF!,#REF!,#REF!,#REF!</definedName>
    <definedName name="__APW_RESTORE_DATA1317__">#REF!,#REF!,#REF!,#REF!,#REF!,#REF!,#REF!,#REF!,#REF!,#REF!,#REF!,#REF!,#REF!,#REF!,#REF!</definedName>
    <definedName name="__APW_RESTORE_DATA1318__">#REF!,#REF!,#REF!,#REF!,#REF!,#REF!,#REF!,#REF!,#REF!,#REF!,#REF!,#REF!,#REF!,#REF!,#REF!</definedName>
    <definedName name="__APW_RESTORE_DATA1319__">#REF!,#REF!,#REF!,#REF!,#REF!,#REF!,#REF!,#REF!,#REF!,#REF!,#REF!,#REF!,#REF!,#REF!,#REF!</definedName>
    <definedName name="__APW_RESTORE_DATA132__">#REF!,#REF!,#REF!,#REF!,#REF!,#REF!,#REF!,#REF!,#REF!,#REF!,#REF!,#REF!,#REF!,#REF!,#REF!</definedName>
    <definedName name="__APW_RESTORE_DATA1320__">#REF!,#REF!,#REF!,#REF!,#REF!,#REF!,#REF!,#REF!,#REF!,#REF!,#REF!,#REF!,#REF!,#REF!,#REF!</definedName>
    <definedName name="__APW_RESTORE_DATA1321__">#REF!,#REF!,#REF!,#REF!,#REF!,#REF!,#REF!,#REF!,#REF!,#REF!,#REF!,#REF!,#REF!,#REF!,#REF!</definedName>
    <definedName name="__APW_RESTORE_DATA1322__">#REF!,#REF!,#REF!,#REF!,#REF!,#REF!,#REF!,#REF!,#REF!,#REF!,#REF!,#REF!,#REF!,#REF!,#REF!</definedName>
    <definedName name="__APW_RESTORE_DATA1323__">#REF!,#REF!,#REF!,#REF!,#REF!,#REF!,#REF!,#REF!,#REF!,#REF!,#REF!,#REF!,#REF!,#REF!,#REF!</definedName>
    <definedName name="__APW_RESTORE_DATA1324__">#REF!,#REF!,#REF!,#REF!,#REF!,#REF!,#REF!,#REF!,#REF!,#REF!,#REF!,#REF!,#REF!,#REF!,#REF!</definedName>
    <definedName name="__APW_RESTORE_DATA1325__">#REF!,#REF!,#REF!,#REF!,#REF!,#REF!,#REF!,#REF!,#REF!,#REF!,#REF!,#REF!,#REF!,#REF!,#REF!</definedName>
    <definedName name="__APW_RESTORE_DATA1326__">#REF!,#REF!,#REF!,#REF!,#REF!,#REF!,#REF!,#REF!,#REF!,#REF!,#REF!,#REF!,#REF!,#REF!,#REF!</definedName>
    <definedName name="__APW_RESTORE_DATA1327__">#REF!,#REF!,#REF!,#REF!,#REF!,#REF!,#REF!,#REF!,#REF!,#REF!,#REF!,#REF!,#REF!,#REF!,#REF!</definedName>
    <definedName name="__APW_RESTORE_DATA1328__">#REF!,#REF!,#REF!,#REF!,#REF!,#REF!,#REF!,#REF!,#REF!,#REF!,#REF!,#REF!,#REF!,#REF!,#REF!</definedName>
    <definedName name="__APW_RESTORE_DATA1329__">#REF!,#REF!,#REF!,#REF!,#REF!,#REF!,#REF!,#REF!,#REF!,#REF!,#REF!,#REF!,#REF!,#REF!,#REF!</definedName>
    <definedName name="__APW_RESTORE_DATA133__">#REF!,#REF!,#REF!,#REF!,#REF!,#REF!,#REF!,#REF!,#REF!,#REF!,#REF!,#REF!,#REF!,#REF!,#REF!</definedName>
    <definedName name="__APW_RESTORE_DATA1330__">#REF!,#REF!,#REF!,#REF!,#REF!,#REF!,#REF!,#REF!,#REF!,#REF!,#REF!,#REF!,#REF!,#REF!,#REF!</definedName>
    <definedName name="__APW_RESTORE_DATA1331__">#REF!,#REF!,#REF!,#REF!,#REF!,#REF!</definedName>
    <definedName name="__APW_RESTORE_DATA1332__">#REF!,#REF!,#REF!,#REF!,#REF!,#REF!,#REF!,#REF!,#REF!,#REF!,#REF!,#REF!,#REF!,#REF!,#REF!,#REF!</definedName>
    <definedName name="__APW_RESTORE_DATA1333__">#REF!,#REF!,#REF!,#REF!,#REF!,#REF!,#REF!,#REF!,#REF!,#REF!,#REF!,#REF!,#REF!,#REF!,#REF!,#REF!</definedName>
    <definedName name="__APW_RESTORE_DATA1334__">#REF!,#REF!,#REF!,#REF!,#REF!,#REF!,#REF!,#REF!,#REF!,#REF!,#REF!,#REF!,#REF!,#REF!,#REF!,#REF!</definedName>
    <definedName name="__APW_RESTORE_DATA1335__">#REF!,#REF!,#REF!,#REF!,#REF!,#REF!,#REF!,#REF!,#REF!,#REF!,#REF!,#REF!,#REF!,#REF!,#REF!,#REF!</definedName>
    <definedName name="__APW_RESTORE_DATA1336__">#REF!,#REF!,#REF!,#REF!,#REF!,#REF!,#REF!,#REF!,#REF!,#REF!,#REF!,#REF!,#REF!,#REF!,#REF!,#REF!</definedName>
    <definedName name="__APW_RESTORE_DATA1337__">#REF!,#REF!,#REF!,#REF!,#REF!,#REF!,#REF!,#REF!,#REF!,#REF!,#REF!,#REF!,#REF!,#REF!,#REF!,#REF!</definedName>
    <definedName name="__APW_RESTORE_DATA1338__">#REF!,#REF!,#REF!,#REF!,#REF!,#REF!,#REF!,#REF!,#REF!,#REF!,#REF!,#REF!,#REF!,#REF!,#REF!</definedName>
    <definedName name="__APW_RESTORE_DATA1339__">#REF!,#REF!,#REF!,#REF!,#REF!,#REF!,#REF!,#REF!,#REF!,#REF!,#REF!,#REF!,#REF!,#REF!,#REF!</definedName>
    <definedName name="__APW_RESTORE_DATA134__">#REF!,#REF!</definedName>
    <definedName name="__APW_RESTORE_DATA1340__">#REF!,#REF!,#REF!,#REF!,#REF!,#REF!,#REF!,#REF!,#REF!,#REF!,#REF!,#REF!,#REF!,#REF!,#REF!</definedName>
    <definedName name="__APW_RESTORE_DATA1341__">#REF!,#REF!,#REF!,#REF!,#REF!,#REF!,#REF!,#REF!,#REF!,#REF!,#REF!,#REF!,#REF!,#REF!,#REF!</definedName>
    <definedName name="__APW_RESTORE_DATA1342__">#REF!,#REF!,#REF!,#REF!,#REF!,#REF!,#REF!,#REF!,#REF!,#REF!,#REF!,#REF!,#REF!,#REF!,#REF!</definedName>
    <definedName name="__APW_RESTORE_DATA1343__">#REF!,#REF!,#REF!,#REF!,#REF!,#REF!,#REF!,#REF!,#REF!,#REF!,#REF!,#REF!,#REF!,#REF!,#REF!</definedName>
    <definedName name="__APW_RESTORE_DATA1344__">#REF!,#REF!,#REF!,#REF!,#REF!,#REF!,#REF!,#REF!,#REF!,#REF!,#REF!,#REF!,#REF!,#REF!,#REF!</definedName>
    <definedName name="__APW_RESTORE_DATA1345__">#REF!,#REF!,#REF!,#REF!,#REF!,#REF!,#REF!,#REF!,#REF!,#REF!,#REF!,#REF!,#REF!,#REF!,#REF!</definedName>
    <definedName name="__APW_RESTORE_DATA1346__">#REF!,#REF!,#REF!,#REF!,#REF!,#REF!,#REF!,#REF!,#REF!,#REF!,#REF!,#REF!,#REF!,#REF!,#REF!</definedName>
    <definedName name="__APW_RESTORE_DATA1347__">#REF!,#REF!,#REF!,#REF!,#REF!,#REF!,#REF!,#REF!,#REF!,#REF!,#REF!,#REF!,#REF!,#REF!,#REF!</definedName>
    <definedName name="__APW_RESTORE_DATA1348__">#REF!,#REF!,#REF!,#REF!,#REF!,#REF!,#REF!,#REF!,#REF!,#REF!,#REF!,#REF!,#REF!,#REF!,#REF!</definedName>
    <definedName name="__APW_RESTORE_DATA1349__">#REF!,#REF!,#REF!,#REF!,#REF!,#REF!,#REF!,#REF!,#REF!,#REF!,#REF!,#REF!,#REF!,#REF!,#REF!</definedName>
    <definedName name="__APW_RESTORE_DATA135__">#REF!,#REF!,#REF!,#REF!,#REF!,#REF!,#REF!,#REF!,#REF!,#REF!,#REF!,#REF!,#REF!,#REF!,#REF!</definedName>
    <definedName name="__APW_RESTORE_DATA1350__">#REF!,#REF!,#REF!,#REF!,#REF!,#REF!,#REF!,#REF!,#REF!,#REF!,#REF!,#REF!,#REF!,#REF!,#REF!</definedName>
    <definedName name="__APW_RESTORE_DATA1351__">#REF!,#REF!,#REF!,#REF!,#REF!,#REF!,#REF!,#REF!,#REF!,#REF!,#REF!,#REF!,#REF!,#REF!,#REF!</definedName>
    <definedName name="__APW_RESTORE_DATA1352__">#REF!,#REF!,#REF!,#REF!,#REF!,#REF!,#REF!,#REF!,#REF!,#REF!,#REF!,#REF!,#REF!,#REF!,#REF!</definedName>
    <definedName name="__APW_RESTORE_DATA1353__">#REF!,#REF!,#REF!,#REF!,#REF!,#REF!,#REF!,#REF!,#REF!,#REF!,#REF!,#REF!,#REF!,#REF!,#REF!</definedName>
    <definedName name="__APW_RESTORE_DATA1354__">#REF!,#REF!,#REF!,#REF!,#REF!,#REF!,#REF!,#REF!,#REF!,#REF!,#REF!,#REF!,#REF!,#REF!,#REF!</definedName>
    <definedName name="__APW_RESTORE_DATA1355__">#REF!,#REF!,#REF!,#REF!,#REF!,#REF!,#REF!,#REF!,#REF!,#REF!,#REF!,#REF!,#REF!,#REF!,#REF!</definedName>
    <definedName name="__APW_RESTORE_DATA1356__">#REF!,#REF!,#REF!,#REF!,#REF!,#REF!,#REF!,#REF!,#REF!,#REF!,#REF!,#REF!,#REF!,#REF!,#REF!</definedName>
    <definedName name="__APW_RESTORE_DATA1357__">#REF!,#REF!,#REF!,#REF!,#REF!,#REF!,#REF!,#REF!,#REF!,#REF!,#REF!,#REF!,#REF!,#REF!,#REF!</definedName>
    <definedName name="__APW_RESTORE_DATA1358__">#REF!,#REF!,#REF!,#REF!,#REF!,#REF!,#REF!,#REF!,#REF!,#REF!,#REF!,#REF!,#REF!,#REF!,#REF!</definedName>
    <definedName name="__APW_RESTORE_DATA1359__">#REF!,#REF!,#REF!,#REF!,#REF!,#REF!,#REF!,#REF!,#REF!,#REF!,#REF!,#REF!,#REF!,#REF!,#REF!</definedName>
    <definedName name="__APW_RESTORE_DATA136__">#REF!,#REF!,#REF!,#REF!,#REF!,#REF!,#REF!,#REF!,#REF!,#REF!,#REF!,#REF!,#REF!,#REF!,#REF!</definedName>
    <definedName name="__APW_RESTORE_DATA1360__">#REF!,#REF!,#REF!,#REF!,#REF!,#REF!,#REF!,#REF!,#REF!,#REF!,#REF!,#REF!,#REF!,#REF!,#REF!</definedName>
    <definedName name="__APW_RESTORE_DATA1361__">#REF!,#REF!,#REF!,#REF!,#REF!,#REF!,#REF!,#REF!,#REF!,#REF!,#REF!,#REF!,#REF!,#REF!,#REF!</definedName>
    <definedName name="__APW_RESTORE_DATA1362__">#REF!,#REF!,#REF!,#REF!,#REF!,#REF!,#REF!,#REF!,#REF!,#REF!,#REF!,#REF!,#REF!,#REF!,#REF!</definedName>
    <definedName name="__APW_RESTORE_DATA1363__">#REF!,#REF!,#REF!,#REF!,#REF!,#REF!,#REF!,#REF!,#REF!,#REF!,#REF!,#REF!,#REF!,#REF!,#REF!</definedName>
    <definedName name="__APW_RESTORE_DATA1364__">#REF!,#REF!,#REF!,#REF!,#REF!,#REF!,#REF!,#REF!,#REF!,#REF!,#REF!,#REF!,#REF!,#REF!,#REF!</definedName>
    <definedName name="__APW_RESTORE_DATA1365__">#REF!,#REF!,#REF!,#REF!,#REF!,#REF!,#REF!,#REF!,#REF!,#REF!,#REF!,#REF!,#REF!,#REF!,#REF!</definedName>
    <definedName name="__APW_RESTORE_DATA1366__">#REF!,#REF!,#REF!,#REF!,#REF!,#REF!</definedName>
    <definedName name="__APW_RESTORE_DATA1367__">#REF!,#REF!,#REF!,#REF!,#REF!,#REF!,#REF!,#REF!,#REF!,#REF!,#REF!,#REF!,#REF!,#REF!,#REF!,#REF!</definedName>
    <definedName name="__APW_RESTORE_DATA1368__">#REF!,#REF!,#REF!,#REF!,#REF!,#REF!,#REF!,#REF!,#REF!,#REF!,#REF!,#REF!,#REF!,#REF!,#REF!,#REF!</definedName>
    <definedName name="__APW_RESTORE_DATA1369__">#REF!,#REF!,#REF!,#REF!,#REF!,#REF!,#REF!,#REF!,#REF!,#REF!,#REF!,#REF!,#REF!,#REF!,#REF!,#REF!</definedName>
    <definedName name="__APW_RESTORE_DATA137__">#REF!,#REF!,#REF!,#REF!,#REF!,#REF!,#REF!,#REF!,#REF!,#REF!,#REF!,#REF!,#REF!,#REF!,#REF!</definedName>
    <definedName name="__APW_RESTORE_DATA1370__">#REF!,#REF!,#REF!,#REF!,#REF!,#REF!,#REF!,#REF!,#REF!,#REF!,#REF!,#REF!,#REF!,#REF!,#REF!,#REF!</definedName>
    <definedName name="__APW_RESTORE_DATA1371__">#REF!,#REF!,#REF!,#REF!,#REF!,#REF!,#REF!,#REF!,#REF!,#REF!,#REF!,#REF!,#REF!,#REF!,#REF!,#REF!</definedName>
    <definedName name="__APW_RESTORE_DATA1372__">#REF!,#REF!,#REF!,#REF!,#REF!,#REF!,#REF!,#REF!,#REF!,#REF!,#REF!,#REF!,#REF!,#REF!,#REF!,#REF!</definedName>
    <definedName name="__APW_RESTORE_DATA1373__">#REF!,#REF!,#REF!,#REF!,#REF!,#REF!,#REF!,#REF!,#REF!,#REF!,#REF!,#REF!,#REF!,#REF!,#REF!</definedName>
    <definedName name="__APW_RESTORE_DATA1374__">#REF!,#REF!,#REF!,#REF!,#REF!,#REF!,#REF!,#REF!,#REF!,#REF!,#REF!,#REF!,#REF!,#REF!,#REF!</definedName>
    <definedName name="__APW_RESTORE_DATA1375__">#REF!,#REF!,#REF!,#REF!,#REF!,#REF!,#REF!,#REF!,#REF!,#REF!,#REF!,#REF!,#REF!,#REF!,#REF!</definedName>
    <definedName name="__APW_RESTORE_DATA1376__">#REF!,#REF!,#REF!,#REF!,#REF!,#REF!,#REF!,#REF!,#REF!,#REF!,#REF!,#REF!,#REF!,#REF!,#REF!</definedName>
    <definedName name="__APW_RESTORE_DATA1377__">#REF!,#REF!,#REF!,#REF!,#REF!,#REF!,#REF!,#REF!,#REF!,#REF!,#REF!,#REF!,#REF!,#REF!,#REF!</definedName>
    <definedName name="__APW_RESTORE_DATA1378__">#REF!,#REF!,#REF!,#REF!,#REF!,#REF!,#REF!,#REF!,#REF!,#REF!,#REF!,#REF!,#REF!,#REF!,#REF!</definedName>
    <definedName name="__APW_RESTORE_DATA1379__">#REF!,#REF!,#REF!,#REF!,#REF!,#REF!,#REF!,#REF!,#REF!,#REF!,#REF!,#REF!,#REF!,#REF!,#REF!</definedName>
    <definedName name="__APW_RESTORE_DATA138__">#REF!,#REF!,#REF!,#REF!,#REF!,#REF!,#REF!,#REF!,#REF!,#REF!,#REF!,#REF!,#REF!,#REF!,#REF!</definedName>
    <definedName name="__APW_RESTORE_DATA1380__">#REF!,#REF!,#REF!,#REF!,#REF!,#REF!,#REF!,#REF!,#REF!,#REF!,#REF!,#REF!,#REF!,#REF!,#REF!</definedName>
    <definedName name="__APW_RESTORE_DATA1381__">#REF!,#REF!,#REF!,#REF!,#REF!,#REF!,#REF!,#REF!,#REF!,#REF!,#REF!,#REF!,#REF!,#REF!,#REF!</definedName>
    <definedName name="__APW_RESTORE_DATA1382__">#REF!,#REF!,#REF!,#REF!,#REF!,#REF!,#REF!,#REF!,#REF!,#REF!,#REF!,#REF!,#REF!,#REF!,#REF!</definedName>
    <definedName name="__APW_RESTORE_DATA1383__">#REF!,#REF!,#REF!,#REF!,#REF!,#REF!,#REF!,#REF!,#REF!,#REF!,#REF!,#REF!,#REF!,#REF!,#REF!</definedName>
    <definedName name="__APW_RESTORE_DATA1384__">#REF!,#REF!,#REF!,#REF!,#REF!,#REF!,#REF!,#REF!,#REF!,#REF!,#REF!,#REF!,#REF!,#REF!,#REF!</definedName>
    <definedName name="__APW_RESTORE_DATA1385__">#REF!,#REF!,#REF!,#REF!,#REF!,#REF!,#REF!,#REF!,#REF!,#REF!,#REF!,#REF!,#REF!,#REF!,#REF!</definedName>
    <definedName name="__APW_RESTORE_DATA1386__">#REF!,#REF!,#REF!,#REF!,#REF!,#REF!,#REF!,#REF!,#REF!,#REF!,#REF!,#REF!,#REF!,#REF!,#REF!</definedName>
    <definedName name="__APW_RESTORE_DATA1387__">#REF!,#REF!,#REF!,#REF!,#REF!,#REF!,#REF!,#REF!,#REF!,#REF!,#REF!,#REF!,#REF!,#REF!,#REF!</definedName>
    <definedName name="__APW_RESTORE_DATA1388__">#REF!,#REF!,#REF!,#REF!,#REF!,#REF!,#REF!,#REF!,#REF!,#REF!,#REF!,#REF!,#REF!,#REF!,#REF!</definedName>
    <definedName name="__APW_RESTORE_DATA1389__">#REF!,#REF!,#REF!,#REF!,#REF!,#REF!,#REF!,#REF!,#REF!,#REF!,#REF!,#REF!,#REF!,#REF!,#REF!</definedName>
    <definedName name="__APW_RESTORE_DATA139__">#REF!,#REF!</definedName>
    <definedName name="__APW_RESTORE_DATA1390__">#REF!,#REF!,#REF!,#REF!,#REF!,#REF!,#REF!,#REF!,#REF!,#REF!,#REF!,#REF!,#REF!,#REF!,#REF!</definedName>
    <definedName name="__APW_RESTORE_DATA1391__">#REF!,#REF!,#REF!,#REF!,#REF!,#REF!,#REF!,#REF!,#REF!,#REF!,#REF!,#REF!,#REF!,#REF!,#REF!</definedName>
    <definedName name="__APW_RESTORE_DATA1392__">#REF!,#REF!,#REF!,#REF!,#REF!,#REF!,#REF!,#REF!,#REF!,#REF!,#REF!,#REF!,#REF!,#REF!,#REF!</definedName>
    <definedName name="__APW_RESTORE_DATA1393__">#REF!,#REF!,#REF!,#REF!,#REF!,#REF!,#REF!,#REF!,#REF!,#REF!,#REF!,#REF!,#REF!,#REF!,#REF!</definedName>
    <definedName name="__APW_RESTORE_DATA1394__">#REF!,#REF!,#REF!,#REF!,#REF!,#REF!,#REF!,#REF!,#REF!,#REF!,#REF!,#REF!,#REF!,#REF!,#REF!</definedName>
    <definedName name="__APW_RESTORE_DATA1395__">#REF!,#REF!,#REF!,#REF!,#REF!,#REF!,#REF!,#REF!,#REF!,#REF!,#REF!,#REF!,#REF!,#REF!,#REF!</definedName>
    <definedName name="__APW_RESTORE_DATA1396__">#REF!,#REF!,#REF!,#REF!,#REF!,#REF!,#REF!,#REF!,#REF!,#REF!,#REF!,#REF!,#REF!,#REF!,#REF!</definedName>
    <definedName name="__APW_RESTORE_DATA1397__">#REF!,#REF!,#REF!,#REF!,#REF!,#REF!,#REF!,#REF!,#REF!,#REF!,#REF!,#REF!,#REF!,#REF!,#REF!</definedName>
    <definedName name="__APW_RESTORE_DATA1398__">#REF!,#REF!,#REF!,#REF!,#REF!,#REF!,#REF!,#REF!,#REF!,#REF!,#REF!,#REF!,#REF!,#REF!,#REF!</definedName>
    <definedName name="__APW_RESTORE_DATA1399__">#REF!,#REF!,#REF!,#REF!,#REF!,#REF!,#REF!,#REF!,#REF!,#REF!,#REF!,#REF!,#REF!,#REF!,#REF!</definedName>
    <definedName name="__APW_RESTORE_DATA14__">#REF!</definedName>
    <definedName name="__APW_RESTORE_DATA140__">#REF!,#REF!,#REF!,#REF!,#REF!,#REF!,#REF!,#REF!,#REF!,#REF!,#REF!,#REF!,#REF!,#REF!,#REF!</definedName>
    <definedName name="__APW_RESTORE_DATA1400__">#REF!,#REF!,#REF!,#REF!,#REF!,#REF!,#REF!,#REF!,#REF!,#REF!,#REF!,#REF!,#REF!,#REF!,#REF!</definedName>
    <definedName name="__APW_RESTORE_DATA1401__">#REF!,#REF!,#REF!,#REF!,#REF!,#REF!</definedName>
    <definedName name="__APW_RESTORE_DATA1402__">#REF!,#REF!,#REF!,#REF!,#REF!,#REF!,#REF!,#REF!,#REF!,#REF!,#REF!,#REF!,#REF!,#REF!,#REF!,#REF!</definedName>
    <definedName name="__APW_RESTORE_DATA1403__">#REF!,#REF!,#REF!,#REF!,#REF!,#REF!,#REF!,#REF!,#REF!,#REF!,#REF!,#REF!,#REF!,#REF!,#REF!,#REF!</definedName>
    <definedName name="__APW_RESTORE_DATA1404__">#REF!,#REF!,#REF!,#REF!,#REF!,#REF!,#REF!,#REF!,#REF!,#REF!,#REF!,#REF!,#REF!,#REF!,#REF!,#REF!</definedName>
    <definedName name="__APW_RESTORE_DATA1405__">#REF!,#REF!,#REF!,#REF!,#REF!,#REF!,#REF!,#REF!,#REF!,#REF!,#REF!,#REF!,#REF!,#REF!,#REF!,#REF!</definedName>
    <definedName name="__APW_RESTORE_DATA1406__">#REF!,#REF!,#REF!,#REF!,#REF!,#REF!,#REF!,#REF!,#REF!,#REF!,#REF!,#REF!,#REF!,#REF!,#REF!,#REF!</definedName>
    <definedName name="__APW_RESTORE_DATA1407__">#REF!,#REF!,#REF!,#REF!,#REF!,#REF!,#REF!,#REF!,#REF!,#REF!,#REF!,#REF!,#REF!,#REF!,#REF!,#REF!</definedName>
    <definedName name="__APW_RESTORE_DATA1408__">#REF!,#REF!,#REF!,#REF!,#REF!,#REF!,#REF!,#REF!,#REF!,#REF!,#REF!,#REF!,#REF!,#REF!,#REF!</definedName>
    <definedName name="__APW_RESTORE_DATA1409__">#REF!,#REF!,#REF!,#REF!,#REF!,#REF!,#REF!,#REF!,#REF!,#REF!,#REF!,#REF!,#REF!,#REF!,#REF!</definedName>
    <definedName name="__APW_RESTORE_DATA141__">#REF!,#REF!,#REF!,#REF!,#REF!,#REF!,#REF!,#REF!,#REF!,#REF!,#REF!,#REF!,#REF!,#REF!,#REF!</definedName>
    <definedName name="__APW_RESTORE_DATA1410__">#REF!,#REF!,#REF!,#REF!,#REF!,#REF!,#REF!,#REF!,#REF!,#REF!,#REF!,#REF!,#REF!,#REF!,#REF!</definedName>
    <definedName name="__APW_RESTORE_DATA1411__">#REF!,#REF!,#REF!,#REF!,#REF!,#REF!,#REF!,#REF!,#REF!,#REF!,#REF!,#REF!,#REF!,#REF!,#REF!</definedName>
    <definedName name="__APW_RESTORE_DATA1412__">#REF!,#REF!,#REF!,#REF!,#REF!,#REF!,#REF!,#REF!,#REF!,#REF!,#REF!,#REF!,#REF!,#REF!,#REF!</definedName>
    <definedName name="__APW_RESTORE_DATA1413__">#REF!,#REF!,#REF!,#REF!,#REF!,#REF!,#REF!,#REF!,#REF!,#REF!,#REF!,#REF!,#REF!,#REF!,#REF!</definedName>
    <definedName name="__APW_RESTORE_DATA1414__">#REF!,#REF!,#REF!,#REF!,#REF!,#REF!,#REF!,#REF!,#REF!,#REF!,#REF!,#REF!,#REF!,#REF!,#REF!</definedName>
    <definedName name="__APW_RESTORE_DATA1415__">#REF!,#REF!,#REF!,#REF!,#REF!,#REF!,#REF!,#REF!,#REF!,#REF!,#REF!,#REF!,#REF!,#REF!,#REF!</definedName>
    <definedName name="__APW_RESTORE_DATA1416__">#REF!,#REF!,#REF!,#REF!,#REF!,#REF!,#REF!,#REF!,#REF!,#REF!,#REF!,#REF!,#REF!,#REF!,#REF!</definedName>
    <definedName name="__APW_RESTORE_DATA1417__">#REF!,#REF!,#REF!,#REF!,#REF!,#REF!,#REF!,#REF!,#REF!,#REF!,#REF!,#REF!,#REF!,#REF!,#REF!</definedName>
    <definedName name="__APW_RESTORE_DATA1418__">#REF!,#REF!,#REF!,#REF!,#REF!,#REF!,#REF!,#REF!,#REF!,#REF!,#REF!,#REF!,#REF!,#REF!,#REF!</definedName>
    <definedName name="__APW_RESTORE_DATA1419__">#REF!,#REF!,#REF!,#REF!,#REF!,#REF!,#REF!,#REF!,#REF!,#REF!,#REF!,#REF!,#REF!,#REF!,#REF!</definedName>
    <definedName name="__APW_RESTORE_DATA142__">#REF!,#REF!,#REF!,#REF!,#REF!,#REF!,#REF!,#REF!,#REF!,#REF!,#REF!,#REF!,#REF!,#REF!,#REF!</definedName>
    <definedName name="__APW_RESTORE_DATA1420__">#REF!,#REF!,#REF!,#REF!,#REF!,#REF!,#REF!,#REF!,#REF!,#REF!,#REF!,#REF!,#REF!,#REF!,#REF!</definedName>
    <definedName name="__APW_RESTORE_DATA1421__">#REF!,#REF!,#REF!,#REF!,#REF!,#REF!,#REF!,#REF!,#REF!,#REF!,#REF!,#REF!,#REF!,#REF!,#REF!</definedName>
    <definedName name="__APW_RESTORE_DATA1422__">#REF!,#REF!,#REF!,#REF!,#REF!,#REF!,#REF!,#REF!,#REF!,#REF!,#REF!,#REF!,#REF!,#REF!,#REF!</definedName>
    <definedName name="__APW_RESTORE_DATA1423__">#REF!,#REF!,#REF!,#REF!,#REF!,#REF!,#REF!,#REF!,#REF!,#REF!,#REF!,#REF!,#REF!,#REF!,#REF!</definedName>
    <definedName name="__APW_RESTORE_DATA1424__">#REF!,#REF!,#REF!,#REF!,#REF!,#REF!,#REF!,#REF!,#REF!,#REF!,#REF!,#REF!,#REF!,#REF!,#REF!</definedName>
    <definedName name="__APW_RESTORE_DATA1425__">#REF!,#REF!,#REF!,#REF!,#REF!,#REF!,#REF!,#REF!,#REF!,#REF!,#REF!,#REF!,#REF!,#REF!,#REF!</definedName>
    <definedName name="__APW_RESTORE_DATA1426__">#REF!,#REF!,#REF!,#REF!,#REF!,#REF!,#REF!,#REF!,#REF!,#REF!,#REF!,#REF!,#REF!,#REF!,#REF!</definedName>
    <definedName name="__APW_RESTORE_DATA1427__">#REF!,#REF!,#REF!,#REF!,#REF!,#REF!,#REF!,#REF!,#REF!,#REF!,#REF!,#REF!,#REF!,#REF!,#REF!</definedName>
    <definedName name="__APW_RESTORE_DATA1428__">#REF!,#REF!,#REF!,#REF!,#REF!,#REF!,#REF!,#REF!,#REF!,#REF!,#REF!,#REF!,#REF!,#REF!,#REF!</definedName>
    <definedName name="__APW_RESTORE_DATA1429__">#REF!,#REF!,#REF!,#REF!,#REF!,#REF!,#REF!,#REF!,#REF!,#REF!,#REF!,#REF!,#REF!,#REF!,#REF!</definedName>
    <definedName name="__APW_RESTORE_DATA143__">#REF!,#REF!,#REF!,#REF!,#REF!,#REF!,#REF!,#REF!,#REF!,#REF!,#REF!,#REF!,#REF!,#REF!,#REF!</definedName>
    <definedName name="__APW_RESTORE_DATA1430__">#REF!,#REF!,#REF!,#REF!,#REF!,#REF!,#REF!,#REF!,#REF!,#REF!,#REF!,#REF!,#REF!,#REF!,#REF!</definedName>
    <definedName name="__APW_RESTORE_DATA1431__">#REF!,#REF!,#REF!,#REF!,#REF!,#REF!,#REF!,#REF!,#REF!,#REF!,#REF!,#REF!,#REF!,#REF!,#REF!</definedName>
    <definedName name="__APW_RESTORE_DATA1432__">#REF!,#REF!,#REF!,#REF!,#REF!,#REF!,#REF!,#REF!,#REF!,#REF!,#REF!,#REF!,#REF!,#REF!,#REF!</definedName>
    <definedName name="__APW_RESTORE_DATA1433__">#REF!,#REF!,#REF!,#REF!,#REF!,#REF!,#REF!,#REF!,#REF!,#REF!,#REF!,#REF!,#REF!,#REF!,#REF!</definedName>
    <definedName name="__APW_RESTORE_DATA1434__">#REF!,#REF!,#REF!,#REF!,#REF!,#REF!,#REF!,#REF!,#REF!,#REF!,#REF!,#REF!,#REF!,#REF!,#REF!</definedName>
    <definedName name="__APW_RESTORE_DATA1435__">#REF!,#REF!,#REF!,#REF!,#REF!,#REF!,#REF!,#REF!,#REF!,#REF!,#REF!,#REF!,#REF!,#REF!,#REF!</definedName>
    <definedName name="__APW_RESTORE_DATA1436__">#REF!,#REF!,#REF!,#REF!,#REF!,#REF!</definedName>
    <definedName name="__APW_RESTORE_DATA1437__">#REF!</definedName>
    <definedName name="__APW_RESTORE_DATA1438__">#REF!</definedName>
    <definedName name="__APW_RESTORE_DATA1439__">#REF!</definedName>
    <definedName name="__APW_RESTORE_DATA144__">#REF!,#REF!,#REF!,#REF!,#REF!,#REF!,#REF!</definedName>
    <definedName name="__APW_RESTORE_DATA1441__">#REF!</definedName>
    <definedName name="__APW_RESTORE_DATA1442__">#REF!,#REF!,#REF!,#REF!,#REF!,#REF!,#REF!,#REF!,#REF!,#REF!,#REF!,#REF!,#REF!,#REF!,#REF!,#REF!</definedName>
    <definedName name="__APW_RESTORE_DATA1443__">#REF!,#REF!,#REF!,#REF!,#REF!,#REF!,#REF!,#REF!,#REF!,#REF!,#REF!,#REF!,#REF!,#REF!,#REF!,#REF!</definedName>
    <definedName name="__APW_RESTORE_DATA1444__">#REF!,#REF!,#REF!,#REF!,#REF!,#REF!,#REF!,#REF!,#REF!,#REF!,#REF!,#REF!,#REF!,#REF!,#REF!,#REF!</definedName>
    <definedName name="__APW_RESTORE_DATA1445__">#REF!,#REF!,#REF!,#REF!,#REF!,#REF!,#REF!,#REF!,#REF!,#REF!,#REF!,#REF!,#REF!,#REF!,#REF!,#REF!</definedName>
    <definedName name="__APW_RESTORE_DATA1446__">#REF!,#REF!,#REF!,#REF!,#REF!,#REF!,#REF!,#REF!,#REF!,#REF!,#REF!,#REF!,#REF!,#REF!,#REF!,#REF!</definedName>
    <definedName name="__APW_RESTORE_DATA1447__">#REF!,#REF!,#REF!,#REF!,#REF!,#REF!,#REF!,#REF!,#REF!,#REF!,#REF!,#REF!,#REF!,#REF!,#REF!,#REF!</definedName>
    <definedName name="__APW_RESTORE_DATA1448__">#REF!,#REF!,#REF!,#REF!,#REF!,#REF!,#REF!,#REF!,#REF!,#REF!,#REF!,#REF!,#REF!,#REF!,#REF!</definedName>
    <definedName name="__APW_RESTORE_DATA1449__">#REF!,#REF!,#REF!,#REF!,#REF!,#REF!,#REF!,#REF!,#REF!,#REF!,#REF!,#REF!,#REF!,#REF!,#REF!</definedName>
    <definedName name="__APW_RESTORE_DATA145__">#REF!</definedName>
    <definedName name="__APW_RESTORE_DATA1450__">#REF!,#REF!,#REF!,#REF!,#REF!,#REF!,#REF!,#REF!,#REF!,#REF!,#REF!,#REF!,#REF!,#REF!,#REF!</definedName>
    <definedName name="__APW_RESTORE_DATA1451__">#REF!,#REF!,#REF!,#REF!,#REF!,#REF!,#REF!,#REF!,#REF!,#REF!,#REF!,#REF!,#REF!,#REF!,#REF!</definedName>
    <definedName name="__APW_RESTORE_DATA1452__">#REF!,#REF!,#REF!,#REF!,#REF!,#REF!,#REF!,#REF!,#REF!,#REF!,#REF!,#REF!,#REF!,#REF!,#REF!</definedName>
    <definedName name="__APW_RESTORE_DATA1453__">#REF!,#REF!,#REF!,#REF!,#REF!,#REF!,#REF!,#REF!,#REF!,#REF!,#REF!,#REF!,#REF!,#REF!,#REF!</definedName>
    <definedName name="__APW_RESTORE_DATA1454__">#REF!,#REF!,#REF!,#REF!,#REF!,#REF!,#REF!,#REF!,#REF!,#REF!,#REF!,#REF!,#REF!,#REF!,#REF!</definedName>
    <definedName name="__APW_RESTORE_DATA1455__">#REF!,#REF!,#REF!,#REF!,#REF!,#REF!,#REF!,#REF!,#REF!,#REF!,#REF!,#REF!,#REF!,#REF!,#REF!</definedName>
    <definedName name="__APW_RESTORE_DATA1456__">#REF!,#REF!,#REF!,#REF!,#REF!,#REF!,#REF!,#REF!,#REF!,#REF!,#REF!,#REF!,#REF!,#REF!,#REF!</definedName>
    <definedName name="__APW_RESTORE_DATA1457__">#REF!,#REF!,#REF!,#REF!,#REF!,#REF!,#REF!,#REF!,#REF!,#REF!,#REF!,#REF!,#REF!,#REF!,#REF!</definedName>
    <definedName name="__APW_RESTORE_DATA1458__">#REF!,#REF!,#REF!,#REF!,#REF!,#REF!,#REF!,#REF!,#REF!,#REF!,#REF!,#REF!,#REF!,#REF!,#REF!</definedName>
    <definedName name="__APW_RESTORE_DATA1459__">#REF!,#REF!,#REF!,#REF!,#REF!,#REF!,#REF!,#REF!,#REF!,#REF!,#REF!,#REF!,#REF!,#REF!,#REF!</definedName>
    <definedName name="__APW_RESTORE_DATA146__">#REF!</definedName>
    <definedName name="__APW_RESTORE_DATA1460__">#REF!,#REF!,#REF!,#REF!,#REF!,#REF!,#REF!,#REF!,#REF!,#REF!,#REF!,#REF!,#REF!,#REF!,#REF!</definedName>
    <definedName name="__APW_RESTORE_DATA1461__">#REF!,#REF!,#REF!,#REF!,#REF!,#REF!,#REF!,#REF!,#REF!,#REF!,#REF!,#REF!,#REF!,#REF!,#REF!</definedName>
    <definedName name="__APW_RESTORE_DATA1462__">#REF!,#REF!,#REF!,#REF!,#REF!,#REF!,#REF!,#REF!,#REF!,#REF!,#REF!,#REF!,#REF!,#REF!,#REF!</definedName>
    <definedName name="__APW_RESTORE_DATA1463__">#REF!,#REF!,#REF!,#REF!,#REF!,#REF!,#REF!,#REF!,#REF!,#REF!,#REF!,#REF!,#REF!,#REF!,#REF!</definedName>
    <definedName name="__APW_RESTORE_DATA1464__">#REF!,#REF!,#REF!,#REF!,#REF!,#REF!,#REF!,#REF!,#REF!,#REF!,#REF!,#REF!,#REF!,#REF!,#REF!</definedName>
    <definedName name="__APW_RESTORE_DATA1465__">#REF!,#REF!,#REF!,#REF!,#REF!,#REF!,#REF!,#REF!,#REF!,#REF!,#REF!,#REF!,#REF!,#REF!,#REF!</definedName>
    <definedName name="__APW_RESTORE_DATA1466__">#REF!,#REF!,#REF!,#REF!,#REF!,#REF!,#REF!,#REF!,#REF!,#REF!,#REF!,#REF!,#REF!,#REF!,#REF!</definedName>
    <definedName name="__APW_RESTORE_DATA1467__">#REF!,#REF!,#REF!,#REF!,#REF!,#REF!,#REF!,#REF!,#REF!,#REF!,#REF!,#REF!,#REF!,#REF!,#REF!</definedName>
    <definedName name="__APW_RESTORE_DATA1468__">#REF!,#REF!,#REF!,#REF!,#REF!,#REF!,#REF!,#REF!,#REF!,#REF!,#REF!,#REF!,#REF!,#REF!,#REF!</definedName>
    <definedName name="__APW_RESTORE_DATA1469__">#REF!,#REF!,#REF!,#REF!,#REF!,#REF!,#REF!,#REF!,#REF!,#REF!,#REF!,#REF!,#REF!,#REF!,#REF!</definedName>
    <definedName name="__APW_RESTORE_DATA147__">#REF!,#REF!,#REF!,#REF!,#REF!,#REF!,#REF!,#REF!,#REF!,#REF!,#REF!,#REF!,#REF!,#REF!,#REF!,#REF!</definedName>
    <definedName name="__APW_RESTORE_DATA1470__">#REF!,#REF!,#REF!,#REF!,#REF!,#REF!,#REF!,#REF!,#REF!,#REF!,#REF!,#REF!,#REF!,#REF!,#REF!</definedName>
    <definedName name="__APW_RESTORE_DATA1471__">#REF!,#REF!,#REF!,#REF!,#REF!,#REF!,#REF!,#REF!,#REF!,#REF!,#REF!,#REF!,#REF!,#REF!,#REF!</definedName>
    <definedName name="__APW_RESTORE_DATA1472__">#REF!,#REF!,#REF!,#REF!,#REF!,#REF!,#REF!,#REF!,#REF!,#REF!,#REF!,#REF!,#REF!,#REF!,#REF!</definedName>
    <definedName name="__APW_RESTORE_DATA1473__">#REF!,#REF!,#REF!,#REF!,#REF!,#REF!,#REF!,#REF!,#REF!,#REF!,#REF!,#REF!,#REF!,#REF!,#REF!</definedName>
    <definedName name="__APW_RESTORE_DATA1474__">#REF!,#REF!,#REF!,#REF!,#REF!,#REF!,#REF!,#REF!,#REF!,#REF!,#REF!,#REF!,#REF!,#REF!,#REF!</definedName>
    <definedName name="__APW_RESTORE_DATA1475__">#REF!,#REF!,#REF!,#REF!,#REF!,#REF!,#REF!,#REF!,#REF!,#REF!,#REF!,#REF!,#REF!,#REF!,#REF!</definedName>
    <definedName name="__APW_RESTORE_DATA1476__">#REF!,#REF!,#REF!,#REF!,#REF!,#REF!</definedName>
    <definedName name="__APW_RESTORE_DATA1477__">#REF!,#REF!,#REF!,#REF!,#REF!,#REF!,#REF!,#REF!,#REF!,#REF!,#REF!,#REF!,#REF!,#REF!,#REF!,#REF!</definedName>
    <definedName name="__APW_RESTORE_DATA1478__">#REF!,#REF!,#REF!,#REF!,#REF!,#REF!,#REF!,#REF!,#REF!,#REF!,#REF!,#REF!,#REF!,#REF!,#REF!,#REF!</definedName>
    <definedName name="__APW_RESTORE_DATA1479__">#REF!,#REF!,#REF!,#REF!,#REF!,#REF!,#REF!,#REF!,#REF!,#REF!,#REF!,#REF!,#REF!,#REF!,#REF!,#REF!</definedName>
    <definedName name="__APW_RESTORE_DATA148__">#REF!,#REF!,#REF!,#REF!,#REF!,#REF!,#REF!,#REF!,#REF!,#REF!,#REF!,#REF!,#REF!,#REF!,#REF!,#REF!</definedName>
    <definedName name="__APW_RESTORE_DATA1480__">#REF!,#REF!,#REF!,#REF!,#REF!,#REF!,#REF!,#REF!,#REF!,#REF!,#REF!,#REF!,#REF!,#REF!,#REF!,#REF!</definedName>
    <definedName name="__APW_RESTORE_DATA1481__">#REF!,#REF!,#REF!,#REF!,#REF!,#REF!,#REF!,#REF!,#REF!,#REF!,#REF!,#REF!,#REF!,#REF!,#REF!,#REF!</definedName>
    <definedName name="__APW_RESTORE_DATA1482__">#REF!,#REF!,#REF!,#REF!,#REF!,#REF!,#REF!,#REF!,#REF!,#REF!,#REF!,#REF!,#REF!,#REF!,#REF!,#REF!</definedName>
    <definedName name="__APW_RESTORE_DATA1483__">#REF!,#REF!,#REF!,#REF!,#REF!,#REF!,#REF!,#REF!,#REF!,#REF!,#REF!,#REF!,#REF!,#REF!,#REF!</definedName>
    <definedName name="__APW_RESTORE_DATA1484__">#REF!,#REF!,#REF!,#REF!,#REF!,#REF!,#REF!,#REF!,#REF!,#REF!,#REF!,#REF!,#REF!,#REF!,#REF!</definedName>
    <definedName name="__APW_RESTORE_DATA1485__">#REF!,#REF!,#REF!,#REF!,#REF!,#REF!,#REF!,#REF!,#REF!,#REF!,#REF!,#REF!,#REF!,#REF!,#REF!</definedName>
    <definedName name="__APW_RESTORE_DATA1486__">#REF!,#REF!,#REF!,#REF!,#REF!,#REF!,#REF!,#REF!,#REF!,#REF!,#REF!,#REF!,#REF!,#REF!,#REF!</definedName>
    <definedName name="__APW_RESTORE_DATA1487__">#REF!,#REF!,#REF!,#REF!,#REF!,#REF!,#REF!,#REF!,#REF!,#REF!,#REF!,#REF!,#REF!,#REF!,#REF!</definedName>
    <definedName name="__APW_RESTORE_DATA1488__">#REF!,#REF!,#REF!,#REF!,#REF!,#REF!,#REF!,#REF!,#REF!,#REF!,#REF!,#REF!,#REF!,#REF!,#REF!</definedName>
    <definedName name="__APW_RESTORE_DATA1489__">#REF!,#REF!,#REF!,#REF!,#REF!,#REF!,#REF!,#REF!,#REF!,#REF!,#REF!,#REF!,#REF!,#REF!,#REF!</definedName>
    <definedName name="__APW_RESTORE_DATA149__">#REF!,#REF!,#REF!,#REF!,#REF!,#REF!,#REF!,#REF!,#REF!,#REF!,#REF!,#REF!,#REF!,#REF!,#REF!,#REF!</definedName>
    <definedName name="__APW_RESTORE_DATA1490__">#REF!,#REF!,#REF!,#REF!,#REF!,#REF!,#REF!,#REF!,#REF!,#REF!,#REF!,#REF!,#REF!,#REF!,#REF!</definedName>
    <definedName name="__APW_RESTORE_DATA1491__">#REF!,#REF!,#REF!,#REF!,#REF!,#REF!,#REF!,#REF!,#REF!,#REF!,#REF!,#REF!,#REF!,#REF!,#REF!</definedName>
    <definedName name="__APW_RESTORE_DATA1492__">#REF!,#REF!,#REF!,#REF!,#REF!,#REF!,#REF!,#REF!,#REF!,#REF!,#REF!,#REF!,#REF!,#REF!,#REF!</definedName>
    <definedName name="__APW_RESTORE_DATA1493__">#REF!,#REF!,#REF!,#REF!,#REF!,#REF!,#REF!,#REF!,#REF!,#REF!,#REF!,#REF!,#REF!,#REF!,#REF!</definedName>
    <definedName name="__APW_RESTORE_DATA1494__">#REF!,#REF!,#REF!,#REF!,#REF!,#REF!,#REF!,#REF!,#REF!,#REF!,#REF!,#REF!,#REF!,#REF!,#REF!</definedName>
    <definedName name="__APW_RESTORE_DATA1495__">#REF!,#REF!,#REF!,#REF!,#REF!,#REF!,#REF!,#REF!,#REF!,#REF!,#REF!,#REF!,#REF!,#REF!,#REF!</definedName>
    <definedName name="__APW_RESTORE_DATA1496__">#REF!,#REF!,#REF!,#REF!,#REF!,#REF!,#REF!,#REF!,#REF!,#REF!,#REF!,#REF!,#REF!,#REF!,#REF!</definedName>
    <definedName name="__APW_RESTORE_DATA1497__">#REF!,#REF!,#REF!,#REF!,#REF!,#REF!,#REF!,#REF!,#REF!,#REF!,#REF!,#REF!,#REF!,#REF!,#REF!</definedName>
    <definedName name="__APW_RESTORE_DATA1498__">#REF!,#REF!,#REF!,#REF!,#REF!,#REF!,#REF!,#REF!,#REF!,#REF!,#REF!,#REF!,#REF!,#REF!,#REF!</definedName>
    <definedName name="__APW_RESTORE_DATA1499__">#REF!,#REF!,#REF!,#REF!,#REF!,#REF!,#REF!,#REF!,#REF!,#REF!,#REF!,#REF!,#REF!,#REF!,#REF!</definedName>
    <definedName name="__APW_RESTORE_DATA15__">#REF!</definedName>
    <definedName name="__APW_RESTORE_DATA150__">#REF!,#REF!,#REF!,#REF!,#REF!,#REF!,#REF!,#REF!,#REF!,#REF!,#REF!,#REF!,#REF!,#REF!,#REF!,#REF!</definedName>
    <definedName name="__APW_RESTORE_DATA1500__">#REF!,#REF!,#REF!,#REF!,#REF!,#REF!,#REF!,#REF!,#REF!,#REF!,#REF!,#REF!,#REF!,#REF!,#REF!</definedName>
    <definedName name="__APW_RESTORE_DATA1501__">#REF!,#REF!,#REF!,#REF!,#REF!,#REF!,#REF!,#REF!,#REF!,#REF!,#REF!,#REF!,#REF!,#REF!,#REF!</definedName>
    <definedName name="__APW_RESTORE_DATA1502__">#REF!,#REF!,#REF!,#REF!,#REF!,#REF!,#REF!,#REF!,#REF!,#REF!,#REF!,#REF!,#REF!,#REF!,#REF!</definedName>
    <definedName name="__APW_RESTORE_DATA1503__">#REF!,#REF!,#REF!,#REF!,#REF!,#REF!,#REF!,#REF!,#REF!,#REF!,#REF!,#REF!,#REF!,#REF!,#REF!</definedName>
    <definedName name="__APW_RESTORE_DATA1504__">#REF!,#REF!,#REF!,#REF!,#REF!,#REF!,#REF!,#REF!,#REF!,#REF!,#REF!,#REF!,#REF!,#REF!,#REF!</definedName>
    <definedName name="__APW_RESTORE_DATA1505__">#REF!,#REF!,#REF!,#REF!,#REF!,#REF!,#REF!,#REF!,#REF!,#REF!,#REF!,#REF!,#REF!,#REF!,#REF!</definedName>
    <definedName name="__APW_RESTORE_DATA1506__">#REF!,#REF!,#REF!,#REF!,#REF!,#REF!,#REF!,#REF!,#REF!,#REF!,#REF!,#REF!,#REF!,#REF!,#REF!</definedName>
    <definedName name="__APW_RESTORE_DATA1507__">#REF!,#REF!,#REF!,#REF!,#REF!,#REF!,#REF!,#REF!,#REF!,#REF!,#REF!,#REF!,#REF!,#REF!,#REF!</definedName>
    <definedName name="__APW_RESTORE_DATA1508__">#REF!,#REF!,#REF!,#REF!,#REF!,#REF!,#REF!,#REF!,#REF!,#REF!,#REF!,#REF!,#REF!,#REF!,#REF!</definedName>
    <definedName name="__APW_RESTORE_DATA1509__">#REF!,#REF!,#REF!,#REF!,#REF!,#REF!,#REF!,#REF!,#REF!,#REF!,#REF!,#REF!,#REF!,#REF!,#REF!</definedName>
    <definedName name="__APW_RESTORE_DATA151__">#REF!,#REF!,#REF!,#REF!,#REF!,#REF!,#REF!,#REF!,#REF!,#REF!,#REF!,#REF!,#REF!,#REF!,#REF!,#REF!</definedName>
    <definedName name="__APW_RESTORE_DATA1510__">#REF!,#REF!,#REF!,#REF!,#REF!,#REF!,#REF!,#REF!,#REF!,#REF!,#REF!,#REF!,#REF!,#REF!,#REF!</definedName>
    <definedName name="__APW_RESTORE_DATA1511__">#REF!,#REF!,#REF!,#REF!,#REF!,#REF!</definedName>
    <definedName name="__APW_RESTORE_DATA1512__">#REF!,#REF!,#REF!,#REF!,#REF!,#REF!,#REF!,#REF!,#REF!,#REF!,#REF!,#REF!,#REF!,#REF!,#REF!,#REF!</definedName>
    <definedName name="__APW_RESTORE_DATA1513__">#REF!,#REF!,#REF!,#REF!,#REF!,#REF!,#REF!,#REF!,#REF!,#REF!,#REF!,#REF!,#REF!,#REF!,#REF!,#REF!</definedName>
    <definedName name="__APW_RESTORE_DATA1514__">#REF!,#REF!,#REF!,#REF!,#REF!,#REF!,#REF!,#REF!,#REF!,#REF!,#REF!,#REF!,#REF!,#REF!,#REF!,#REF!</definedName>
    <definedName name="__APW_RESTORE_DATA1515__">#REF!,#REF!,#REF!,#REF!,#REF!,#REF!,#REF!,#REF!,#REF!,#REF!,#REF!,#REF!,#REF!,#REF!,#REF!,#REF!</definedName>
    <definedName name="__APW_RESTORE_DATA1516__">#REF!,#REF!,#REF!,#REF!,#REF!,#REF!,#REF!,#REF!,#REF!,#REF!,#REF!,#REF!,#REF!,#REF!,#REF!,#REF!</definedName>
    <definedName name="__APW_RESTORE_DATA1517__">#REF!,#REF!,#REF!,#REF!,#REF!,#REF!,#REF!,#REF!,#REF!,#REF!,#REF!,#REF!,#REF!,#REF!,#REF!,#REF!</definedName>
    <definedName name="__APW_RESTORE_DATA1518__">#REF!,#REF!,#REF!,#REF!,#REF!,#REF!,#REF!,#REF!,#REF!,#REF!,#REF!,#REF!,#REF!,#REF!,#REF!</definedName>
    <definedName name="__APW_RESTORE_DATA1519__">#REF!,#REF!,#REF!,#REF!,#REF!,#REF!,#REF!,#REF!,#REF!,#REF!,#REF!,#REF!,#REF!,#REF!,#REF!</definedName>
    <definedName name="__APW_RESTORE_DATA152__">#REF!,#REF!,#REF!,#REF!,#REF!,#REF!,#REF!,#REF!,#REF!,#REF!,#REF!,#REF!,#REF!,#REF!,#REF!,#REF!</definedName>
    <definedName name="__APW_RESTORE_DATA1520__">#REF!,#REF!,#REF!,#REF!,#REF!,#REF!,#REF!,#REF!,#REF!,#REF!,#REF!,#REF!,#REF!,#REF!,#REF!</definedName>
    <definedName name="__APW_RESTORE_DATA1521__">#REF!,#REF!,#REF!,#REF!,#REF!,#REF!,#REF!,#REF!,#REF!,#REF!,#REF!,#REF!,#REF!,#REF!,#REF!</definedName>
    <definedName name="__APW_RESTORE_DATA1522__">#REF!,#REF!,#REF!,#REF!,#REF!,#REF!,#REF!,#REF!,#REF!,#REF!,#REF!,#REF!,#REF!,#REF!,#REF!</definedName>
    <definedName name="__APW_RESTORE_DATA1523__">#REF!,#REF!,#REF!,#REF!,#REF!,#REF!,#REF!,#REF!,#REF!,#REF!,#REF!,#REF!,#REF!,#REF!,#REF!</definedName>
    <definedName name="__APW_RESTORE_DATA1524__">#REF!,#REF!,#REF!,#REF!,#REF!,#REF!,#REF!,#REF!,#REF!,#REF!,#REF!,#REF!,#REF!,#REF!,#REF!</definedName>
    <definedName name="__APW_RESTORE_DATA1525__">#REF!,#REF!,#REF!,#REF!,#REF!,#REF!,#REF!,#REF!,#REF!,#REF!,#REF!,#REF!,#REF!,#REF!,#REF!</definedName>
    <definedName name="__APW_RESTORE_DATA1526__">#REF!,#REF!,#REF!,#REF!,#REF!,#REF!,#REF!,#REF!,#REF!,#REF!,#REF!,#REF!,#REF!,#REF!,#REF!</definedName>
    <definedName name="__APW_RESTORE_DATA1527__">#REF!,#REF!,#REF!,#REF!,#REF!,#REF!,#REF!,#REF!,#REF!,#REF!,#REF!,#REF!,#REF!,#REF!,#REF!</definedName>
    <definedName name="__APW_RESTORE_DATA1528__">#REF!,#REF!,#REF!,#REF!,#REF!,#REF!,#REF!,#REF!,#REF!,#REF!,#REF!,#REF!,#REF!,#REF!,#REF!</definedName>
    <definedName name="__APW_RESTORE_DATA1529__">#REF!,#REF!,#REF!,#REF!,#REF!,#REF!,#REF!,#REF!,#REF!,#REF!,#REF!,#REF!,#REF!,#REF!,#REF!</definedName>
    <definedName name="__APW_RESTORE_DATA153__">#REF!,#REF!,#REF!,#REF!,#REF!,#REF!,#REF!,#REF!,#REF!,#REF!,#REF!,#REF!,#REF!,#REF!,#REF!</definedName>
    <definedName name="__APW_RESTORE_DATA1530__">#REF!,#REF!,#REF!,#REF!,#REF!,#REF!,#REF!,#REF!,#REF!,#REF!,#REF!,#REF!,#REF!,#REF!,#REF!</definedName>
    <definedName name="__APW_RESTORE_DATA1531__">#REF!,#REF!,#REF!,#REF!,#REF!,#REF!,#REF!,#REF!,#REF!,#REF!,#REF!,#REF!,#REF!,#REF!,#REF!</definedName>
    <definedName name="__APW_RESTORE_DATA1532__">#REF!,#REF!,#REF!,#REF!,#REF!,#REF!,#REF!,#REF!,#REF!,#REF!,#REF!,#REF!,#REF!,#REF!,#REF!</definedName>
    <definedName name="__APW_RESTORE_DATA1533__">#REF!,#REF!,#REF!,#REF!,#REF!,#REF!,#REF!,#REF!,#REF!,#REF!,#REF!,#REF!,#REF!,#REF!,#REF!</definedName>
    <definedName name="__APW_RESTORE_DATA1534__">#REF!,#REF!,#REF!,#REF!,#REF!,#REF!,#REF!,#REF!,#REF!,#REF!,#REF!,#REF!,#REF!,#REF!,#REF!</definedName>
    <definedName name="__APW_RESTORE_DATA1535__">#REF!,#REF!,#REF!,#REF!,#REF!,#REF!,#REF!,#REF!,#REF!,#REF!,#REF!,#REF!,#REF!,#REF!,#REF!</definedName>
    <definedName name="__APW_RESTORE_DATA1536__">#REF!,#REF!,#REF!,#REF!,#REF!,#REF!,#REF!,#REF!,#REF!,#REF!,#REF!,#REF!,#REF!,#REF!,#REF!</definedName>
    <definedName name="__APW_RESTORE_DATA1537__">#REF!,#REF!,#REF!,#REF!,#REF!,#REF!,#REF!,#REF!,#REF!,#REF!,#REF!,#REF!,#REF!,#REF!,#REF!</definedName>
    <definedName name="__APW_RESTORE_DATA1538__">#REF!,#REF!,#REF!,#REF!,#REF!,#REF!,#REF!,#REF!,#REF!,#REF!,#REF!,#REF!,#REF!,#REF!,#REF!</definedName>
    <definedName name="__APW_RESTORE_DATA1539__">#REF!,#REF!,#REF!,#REF!,#REF!,#REF!,#REF!,#REF!,#REF!,#REF!,#REF!,#REF!,#REF!,#REF!,#REF!</definedName>
    <definedName name="__APW_RESTORE_DATA154__">#REF!,#REF!</definedName>
    <definedName name="__APW_RESTORE_DATA1540__">#REF!,#REF!,#REF!,#REF!,#REF!,#REF!,#REF!,#REF!,#REF!,#REF!,#REF!,#REF!,#REF!,#REF!,#REF!</definedName>
    <definedName name="__APW_RESTORE_DATA1541__">#REF!,#REF!,#REF!,#REF!,#REF!,#REF!,#REF!,#REF!,#REF!,#REF!,#REF!,#REF!,#REF!,#REF!,#REF!</definedName>
    <definedName name="__APW_RESTORE_DATA1542__">#REF!,#REF!,#REF!,#REF!,#REF!,#REF!,#REF!,#REF!,#REF!,#REF!,#REF!,#REF!,#REF!,#REF!,#REF!</definedName>
    <definedName name="__APW_RESTORE_DATA1543__">#REF!,#REF!,#REF!,#REF!,#REF!,#REF!,#REF!,#REF!,#REF!,#REF!,#REF!,#REF!,#REF!,#REF!,#REF!</definedName>
    <definedName name="__APW_RESTORE_DATA1544__">#REF!,#REF!,#REF!,#REF!,#REF!,#REF!,#REF!,#REF!,#REF!,#REF!,#REF!,#REF!,#REF!,#REF!,#REF!</definedName>
    <definedName name="__APW_RESTORE_DATA1545__">#REF!,#REF!,#REF!,#REF!,#REF!,#REF!,#REF!,#REF!,#REF!,#REF!,#REF!,#REF!,#REF!,#REF!,#REF!</definedName>
    <definedName name="__APW_RESTORE_DATA1546__">#REF!,#REF!,#REF!,#REF!,#REF!,#REF!</definedName>
    <definedName name="__APW_RESTORE_DATA1547__">#REF!,#REF!,#REF!,#REF!,#REF!,#REF!,#REF!,#REF!,#REF!,#REF!,#REF!,#REF!,#REF!,#REF!,#REF!,#REF!</definedName>
    <definedName name="__APW_RESTORE_DATA1548__">#REF!,#REF!,#REF!,#REF!,#REF!,#REF!,#REF!,#REF!,#REF!,#REF!,#REF!,#REF!,#REF!,#REF!,#REF!,#REF!</definedName>
    <definedName name="__APW_RESTORE_DATA1549__">#REF!,#REF!,#REF!,#REF!,#REF!,#REF!,#REF!,#REF!,#REF!,#REF!,#REF!,#REF!,#REF!,#REF!,#REF!,#REF!</definedName>
    <definedName name="__APW_RESTORE_DATA155__">#REF!,#REF!</definedName>
    <definedName name="__APW_RESTORE_DATA1550__">#REF!,#REF!,#REF!,#REF!,#REF!,#REF!,#REF!,#REF!,#REF!,#REF!,#REF!,#REF!,#REF!,#REF!,#REF!,#REF!</definedName>
    <definedName name="__APW_RESTORE_DATA1551__">#REF!,#REF!,#REF!,#REF!,#REF!,#REF!,#REF!,#REF!,#REF!,#REF!,#REF!,#REF!,#REF!,#REF!,#REF!,#REF!</definedName>
    <definedName name="__APW_RESTORE_DATA1552__">#REF!,#REF!,#REF!,#REF!,#REF!,#REF!,#REF!,#REF!,#REF!,#REF!,#REF!,#REF!,#REF!,#REF!,#REF!,#REF!</definedName>
    <definedName name="__APW_RESTORE_DATA1553__">#REF!,#REF!,#REF!,#REF!,#REF!,#REF!,#REF!,#REF!,#REF!,#REF!,#REF!,#REF!,#REF!,#REF!,#REF!</definedName>
    <definedName name="__APW_RESTORE_DATA1554__">#REF!,#REF!,#REF!,#REF!,#REF!,#REF!,#REF!,#REF!,#REF!,#REF!,#REF!,#REF!,#REF!,#REF!,#REF!</definedName>
    <definedName name="__APW_RESTORE_DATA1555__">#REF!,#REF!,#REF!,#REF!,#REF!,#REF!,#REF!,#REF!,#REF!,#REF!,#REF!,#REF!,#REF!,#REF!,#REF!</definedName>
    <definedName name="__APW_RESTORE_DATA1556__">#REF!,#REF!,#REF!,#REF!,#REF!,#REF!,#REF!,#REF!,#REF!,#REF!,#REF!,#REF!,#REF!,#REF!,#REF!</definedName>
    <definedName name="__APW_RESTORE_DATA1557__">#REF!,#REF!,#REF!,#REF!,#REF!,#REF!,#REF!,#REF!,#REF!,#REF!,#REF!,#REF!,#REF!,#REF!,#REF!</definedName>
    <definedName name="__APW_RESTORE_DATA1558__">#REF!,#REF!,#REF!,#REF!,#REF!,#REF!,#REF!,#REF!,#REF!,#REF!,#REF!,#REF!,#REF!,#REF!,#REF!</definedName>
    <definedName name="__APW_RESTORE_DATA1559__">#REF!,#REF!,#REF!,#REF!,#REF!,#REF!,#REF!,#REF!,#REF!,#REF!,#REF!,#REF!,#REF!,#REF!,#REF!</definedName>
    <definedName name="__APW_RESTORE_DATA156__">#REF!,#REF!,#REF!,#REF!,#REF!,#REF!,#REF!,#REF!,#REF!,#REF!,#REF!,#REF!,#REF!,#REF!,#REF!</definedName>
    <definedName name="__APW_RESTORE_DATA1560__">#REF!,#REF!,#REF!,#REF!,#REF!,#REF!,#REF!,#REF!,#REF!,#REF!,#REF!,#REF!,#REF!,#REF!,#REF!</definedName>
    <definedName name="__APW_RESTORE_DATA1561__">#REF!,#REF!,#REF!,#REF!,#REF!,#REF!,#REF!,#REF!,#REF!,#REF!,#REF!,#REF!,#REF!,#REF!,#REF!</definedName>
    <definedName name="__APW_RESTORE_DATA1562__">#REF!,#REF!,#REF!,#REF!,#REF!,#REF!,#REF!,#REF!,#REF!,#REF!,#REF!,#REF!,#REF!,#REF!,#REF!</definedName>
    <definedName name="__APW_RESTORE_DATA1563__">#REF!,#REF!,#REF!,#REF!,#REF!,#REF!,#REF!,#REF!,#REF!,#REF!,#REF!,#REF!,#REF!,#REF!,#REF!</definedName>
    <definedName name="__APW_RESTORE_DATA1564__">#REF!,#REF!,#REF!,#REF!,#REF!,#REF!,#REF!,#REF!,#REF!,#REF!,#REF!,#REF!,#REF!,#REF!,#REF!</definedName>
    <definedName name="__APW_RESTORE_DATA1565__">#REF!,#REF!,#REF!,#REF!,#REF!,#REF!,#REF!,#REF!,#REF!,#REF!,#REF!,#REF!,#REF!,#REF!,#REF!</definedName>
    <definedName name="__APW_RESTORE_DATA1566__">#REF!,#REF!,#REF!,#REF!,#REF!,#REF!,#REF!,#REF!,#REF!,#REF!,#REF!,#REF!,#REF!,#REF!,#REF!</definedName>
    <definedName name="__APW_RESTORE_DATA1567__">#REF!,#REF!,#REF!,#REF!,#REF!,#REF!,#REF!,#REF!,#REF!,#REF!,#REF!,#REF!,#REF!,#REF!,#REF!</definedName>
    <definedName name="__APW_RESTORE_DATA1568__">#REF!,#REF!,#REF!,#REF!,#REF!,#REF!,#REF!,#REF!,#REF!,#REF!,#REF!,#REF!,#REF!,#REF!,#REF!</definedName>
    <definedName name="__APW_RESTORE_DATA1569__">#REF!,#REF!,#REF!,#REF!,#REF!,#REF!,#REF!,#REF!,#REF!,#REF!,#REF!,#REF!,#REF!,#REF!,#REF!</definedName>
    <definedName name="__APW_RESTORE_DATA157__">#REF!,#REF!,#REF!,#REF!,#REF!,#REF!,#REF!,#REF!,#REF!,#REF!,#REF!,#REF!,#REF!,#REF!,#REF!</definedName>
    <definedName name="__APW_RESTORE_DATA1570__">#REF!,#REF!,#REF!,#REF!,#REF!,#REF!,#REF!,#REF!,#REF!,#REF!,#REF!,#REF!,#REF!,#REF!,#REF!</definedName>
    <definedName name="__APW_RESTORE_DATA1571__">#REF!,#REF!,#REF!,#REF!,#REF!,#REF!,#REF!,#REF!,#REF!,#REF!,#REF!,#REF!,#REF!,#REF!,#REF!</definedName>
    <definedName name="__APW_RESTORE_DATA1572__">#REF!,#REF!,#REF!,#REF!,#REF!,#REF!,#REF!,#REF!,#REF!,#REF!,#REF!,#REF!,#REF!,#REF!,#REF!</definedName>
    <definedName name="__APW_RESTORE_DATA1573__">#REF!,#REF!,#REF!,#REF!,#REF!,#REF!,#REF!,#REF!,#REF!,#REF!,#REF!,#REF!,#REF!,#REF!,#REF!</definedName>
    <definedName name="__APW_RESTORE_DATA1574__">#REF!,#REF!,#REF!,#REF!,#REF!,#REF!,#REF!,#REF!,#REF!,#REF!,#REF!,#REF!,#REF!,#REF!,#REF!</definedName>
    <definedName name="__APW_RESTORE_DATA1575__">#REF!,#REF!,#REF!,#REF!,#REF!,#REF!,#REF!,#REF!,#REF!,#REF!,#REF!,#REF!,#REF!,#REF!,#REF!</definedName>
    <definedName name="__APW_RESTORE_DATA1576__">#REF!,#REF!,#REF!,#REF!,#REF!,#REF!,#REF!,#REF!,#REF!,#REF!,#REF!,#REF!,#REF!,#REF!,#REF!</definedName>
    <definedName name="__APW_RESTORE_DATA1577__">#REF!,#REF!,#REF!,#REF!,#REF!,#REF!,#REF!,#REF!,#REF!,#REF!,#REF!,#REF!,#REF!,#REF!,#REF!</definedName>
    <definedName name="__APW_RESTORE_DATA1578__">#REF!,#REF!,#REF!,#REF!,#REF!,#REF!,#REF!,#REF!,#REF!,#REF!,#REF!,#REF!,#REF!,#REF!,#REF!</definedName>
    <definedName name="__APW_RESTORE_DATA1579__">#REF!,#REF!,#REF!,#REF!,#REF!,#REF!,#REF!,#REF!,#REF!,#REF!,#REF!,#REF!,#REF!,#REF!,#REF!</definedName>
    <definedName name="__APW_RESTORE_DATA158__">#REF!,#REF!,#REF!,#REF!,#REF!,#REF!,#REF!,#REF!,#REF!,#REF!,#REF!,#REF!,#REF!,#REF!,#REF!</definedName>
    <definedName name="__APW_RESTORE_DATA1580__">#REF!,#REF!,#REF!,#REF!,#REF!,#REF!,#REF!,#REF!,#REF!,#REF!,#REF!,#REF!,#REF!,#REF!,#REF!</definedName>
    <definedName name="__APW_RESTORE_DATA1581__">#REF!,#REF!,#REF!,#REF!,#REF!,#REF!</definedName>
    <definedName name="__APW_RESTORE_DATA1582__">#REF!</definedName>
    <definedName name="__APW_RESTORE_DATA1583__">#REF!</definedName>
    <definedName name="__APW_RESTORE_DATA1585__">#REF!</definedName>
    <definedName name="__APW_RESTORE_DATA1586__">#REF!</definedName>
    <definedName name="__APW_RESTORE_DATA1587__">#REF!,#REF!,#REF!,#REF!,#REF!,#REF!,#REF!,#REF!,#REF!,#REF!,#REF!,#REF!,#REF!,#REF!,#REF!,#REF!</definedName>
    <definedName name="__APW_RESTORE_DATA1588__">#REF!,#REF!,#REF!,#REF!,#REF!,#REF!,#REF!,#REF!,#REF!,#REF!,#REF!,#REF!,#REF!,#REF!,#REF!,#REF!</definedName>
    <definedName name="__APW_RESTORE_DATA1589__">#REF!,#REF!,#REF!,#REF!,#REF!,#REF!,#REF!,#REF!,#REF!,#REF!,#REF!,#REF!,#REF!,#REF!,#REF!,#REF!</definedName>
    <definedName name="__APW_RESTORE_DATA159__">#REF!,#REF!,#REF!,#REF!,#REF!,#REF!,#REF!,#REF!,#REF!,#REF!,#REF!,#REF!,#REF!,#REF!,#REF!</definedName>
    <definedName name="__APW_RESTORE_DATA1590__">#REF!,#REF!,#REF!,#REF!,#REF!,#REF!,#REF!,#REF!,#REF!,#REF!,#REF!,#REF!,#REF!,#REF!,#REF!,#REF!</definedName>
    <definedName name="__APW_RESTORE_DATA1591__">#REF!,#REF!,#REF!,#REF!,#REF!,#REF!,#REF!,#REF!,#REF!,#REF!,#REF!,#REF!,#REF!,#REF!,#REF!,#REF!</definedName>
    <definedName name="__APW_RESTORE_DATA1592__">#REF!,#REF!,#REF!,#REF!,#REF!,#REF!,#REF!,#REF!,#REF!,#REF!,#REF!,#REF!,#REF!,#REF!,#REF!,#REF!</definedName>
    <definedName name="__APW_RESTORE_DATA1593__">#REF!,#REF!,#REF!,#REF!,#REF!,#REF!,#REF!,#REF!,#REF!,#REF!,#REF!,#REF!,#REF!,#REF!,#REF!</definedName>
    <definedName name="__APW_RESTORE_DATA1594__">#REF!,#REF!,#REF!,#REF!,#REF!,#REF!,#REF!,#REF!,#REF!,#REF!,#REF!,#REF!,#REF!,#REF!,#REF!</definedName>
    <definedName name="__APW_RESTORE_DATA1595__">#REF!,#REF!,#REF!,#REF!,#REF!,#REF!,#REF!,#REF!,#REF!,#REF!,#REF!,#REF!,#REF!,#REF!,#REF!</definedName>
    <definedName name="__APW_RESTORE_DATA1596__">#REF!,#REF!,#REF!,#REF!,#REF!,#REF!,#REF!,#REF!,#REF!,#REF!,#REF!,#REF!,#REF!,#REF!,#REF!</definedName>
    <definedName name="__APW_RESTORE_DATA1597__">#REF!,#REF!,#REF!,#REF!,#REF!,#REF!,#REF!,#REF!,#REF!,#REF!,#REF!,#REF!,#REF!,#REF!,#REF!</definedName>
    <definedName name="__APW_RESTORE_DATA1598__">#REF!,#REF!,#REF!,#REF!,#REF!,#REF!,#REF!,#REF!,#REF!,#REF!,#REF!,#REF!,#REF!,#REF!,#REF!</definedName>
    <definedName name="__APW_RESTORE_DATA1599__">#REF!,#REF!,#REF!,#REF!,#REF!,#REF!,#REF!,#REF!,#REF!,#REF!,#REF!,#REF!,#REF!,#REF!,#REF!</definedName>
    <definedName name="__APW_RESTORE_DATA16__">#REF!,#REF!,#REF!,#REF!,#REF!,#REF!,#REF!,#REF!,#REF!,#REF!,#REF!,#REF!,#REF!,#REF!,#REF!,#REF!</definedName>
    <definedName name="__APW_RESTORE_DATA160__">#REF!,#REF!,#REF!,#REF!,#REF!,#REF!,#REF!,#REF!,#REF!,#REF!,#REF!,#REF!,#REF!,#REF!,#REF!</definedName>
    <definedName name="__APW_RESTORE_DATA1600__">#REF!,#REF!,#REF!,#REF!,#REF!,#REF!,#REF!,#REF!,#REF!,#REF!,#REF!,#REF!,#REF!,#REF!,#REF!</definedName>
    <definedName name="__APW_RESTORE_DATA1601__">#REF!,#REF!,#REF!,#REF!,#REF!,#REF!,#REF!,#REF!,#REF!,#REF!,#REF!,#REF!,#REF!,#REF!,#REF!</definedName>
    <definedName name="__APW_RESTORE_DATA1602__">#REF!,#REF!,#REF!,#REF!,#REF!,#REF!,#REF!,#REF!,#REF!,#REF!,#REF!,#REF!,#REF!,#REF!,#REF!</definedName>
    <definedName name="__APW_RESTORE_DATA1603__">#REF!,#REF!,#REF!,#REF!,#REF!,#REF!,#REF!,#REF!,#REF!,#REF!,#REF!,#REF!,#REF!,#REF!,#REF!</definedName>
    <definedName name="__APW_RESTORE_DATA1604__">#REF!,#REF!,#REF!,#REF!,#REF!,#REF!,#REF!,#REF!,#REF!,#REF!,#REF!,#REF!,#REF!,#REF!,#REF!</definedName>
    <definedName name="__APW_RESTORE_DATA1605__">#REF!,#REF!,#REF!,#REF!,#REF!,#REF!,#REF!,#REF!,#REF!,#REF!,#REF!,#REF!,#REF!,#REF!,#REF!</definedName>
    <definedName name="__APW_RESTORE_DATA1606__">#REF!,#REF!,#REF!,#REF!,#REF!,#REF!,#REF!,#REF!,#REF!,#REF!,#REF!,#REF!,#REF!,#REF!,#REF!</definedName>
    <definedName name="__APW_RESTORE_DATA1607__">#REF!,#REF!,#REF!,#REF!,#REF!,#REF!,#REF!,#REF!,#REF!,#REF!,#REF!,#REF!,#REF!,#REF!,#REF!</definedName>
    <definedName name="__APW_RESTORE_DATA1608__">#REF!,#REF!,#REF!,#REF!,#REF!,#REF!,#REF!,#REF!,#REF!,#REF!,#REF!,#REF!,#REF!,#REF!,#REF!</definedName>
    <definedName name="__APW_RESTORE_DATA1609__">#REF!,#REF!,#REF!,#REF!,#REF!,#REF!,#REF!,#REF!,#REF!,#REF!,#REF!,#REF!,#REF!,#REF!,#REF!</definedName>
    <definedName name="__APW_RESTORE_DATA161__">#REF!,#REF!,#REF!,#REF!,#REF!,#REF!,#REF!,#REF!,#REF!,#REF!,#REF!,#REF!,#REF!,#REF!,#REF!</definedName>
    <definedName name="__APW_RESTORE_DATA1610__">#REF!,#REF!,#REF!,#REF!,#REF!,#REF!,#REF!,#REF!,#REF!,#REF!,#REF!,#REF!,#REF!,#REF!,#REF!</definedName>
    <definedName name="__APW_RESTORE_DATA1611__">#REF!,#REF!,#REF!,#REF!,#REF!,#REF!,#REF!,#REF!,#REF!,#REF!,#REF!,#REF!,#REF!,#REF!,#REF!</definedName>
    <definedName name="__APW_RESTORE_DATA1612__">#REF!,#REF!,#REF!,#REF!,#REF!,#REF!,#REF!,#REF!,#REF!,#REF!,#REF!,#REF!,#REF!,#REF!,#REF!</definedName>
    <definedName name="__APW_RESTORE_DATA1613__">#REF!,#REF!,#REF!,#REF!,#REF!,#REF!,#REF!,#REF!,#REF!,#REF!,#REF!,#REF!,#REF!,#REF!,#REF!</definedName>
    <definedName name="__APW_RESTORE_DATA1614__">#REF!,#REF!,#REF!,#REF!,#REF!,#REF!,#REF!,#REF!,#REF!,#REF!,#REF!,#REF!,#REF!,#REF!,#REF!</definedName>
    <definedName name="__APW_RESTORE_DATA1615__">#REF!,#REF!,#REF!,#REF!,#REF!,#REF!,#REF!,#REF!,#REF!,#REF!,#REF!,#REF!,#REF!,#REF!,#REF!</definedName>
    <definedName name="__APW_RESTORE_DATA1616__">#REF!,#REF!,#REF!,#REF!,#REF!,#REF!,#REF!,#REF!,#REF!,#REF!,#REF!,#REF!,#REF!,#REF!,#REF!</definedName>
    <definedName name="__APW_RESTORE_DATA1617__">#REF!,#REF!,#REF!,#REF!,#REF!,#REF!,#REF!,#REF!,#REF!,#REF!,#REF!,#REF!,#REF!,#REF!,#REF!</definedName>
    <definedName name="__APW_RESTORE_DATA1618__">#REF!,#REF!,#REF!,#REF!,#REF!,#REF!,#REF!,#REF!,#REF!,#REF!,#REF!,#REF!,#REF!,#REF!,#REF!</definedName>
    <definedName name="__APW_RESTORE_DATA1619__">#REF!,#REF!,#REF!,#REF!,#REF!,#REF!,#REF!,#REF!,#REF!,#REF!,#REF!,#REF!,#REF!,#REF!,#REF!</definedName>
    <definedName name="__APW_RESTORE_DATA162__">#REF!,#REF!,#REF!,#REF!,#REF!,#REF!,#REF!,#REF!,#REF!,#REF!,#REF!,#REF!,#REF!,#REF!,#REF!</definedName>
    <definedName name="__APW_RESTORE_DATA1620__">#REF!,#REF!,#REF!,#REF!,#REF!,#REF!,#REF!,#REF!,#REF!,#REF!,#REF!,#REF!,#REF!,#REF!,#REF!</definedName>
    <definedName name="__APW_RESTORE_DATA1621__">#REF!,#REF!,#REF!,#REF!,#REF!,#REF!</definedName>
    <definedName name="__APW_RESTORE_DATA1622__">#REF!,#REF!,#REF!,#REF!,#REF!,#REF!,#REF!,#REF!,#REF!,#REF!,#REF!,#REF!,#REF!,#REF!,#REF!,#REF!</definedName>
    <definedName name="__APW_RESTORE_DATA1623__">#REF!,#REF!,#REF!,#REF!,#REF!,#REF!,#REF!,#REF!,#REF!,#REF!,#REF!,#REF!,#REF!,#REF!,#REF!,#REF!</definedName>
    <definedName name="__APW_RESTORE_DATA1624__">#REF!,#REF!,#REF!,#REF!,#REF!,#REF!,#REF!,#REF!,#REF!,#REF!,#REF!,#REF!,#REF!,#REF!,#REF!,#REF!</definedName>
    <definedName name="__APW_RESTORE_DATA1625__">#REF!,#REF!,#REF!,#REF!,#REF!,#REF!,#REF!,#REF!,#REF!,#REF!,#REF!,#REF!,#REF!,#REF!,#REF!,#REF!</definedName>
    <definedName name="__APW_RESTORE_DATA1626__">#REF!,#REF!,#REF!,#REF!,#REF!,#REF!,#REF!,#REF!,#REF!,#REF!,#REF!,#REF!,#REF!,#REF!,#REF!,#REF!</definedName>
    <definedName name="__APW_RESTORE_DATA1627__">#REF!,#REF!,#REF!,#REF!,#REF!,#REF!,#REF!,#REF!,#REF!,#REF!,#REF!,#REF!,#REF!,#REF!,#REF!,#REF!</definedName>
    <definedName name="__APW_RESTORE_DATA1628__">#REF!,#REF!,#REF!,#REF!,#REF!,#REF!,#REF!,#REF!,#REF!,#REF!,#REF!,#REF!,#REF!,#REF!,#REF!</definedName>
    <definedName name="__APW_RESTORE_DATA1629__">#REF!,#REF!,#REF!,#REF!,#REF!,#REF!,#REF!,#REF!,#REF!,#REF!,#REF!,#REF!,#REF!,#REF!,#REF!</definedName>
    <definedName name="__APW_RESTORE_DATA163__">#REF!,#REF!,#REF!,#REF!,#REF!,#REF!,#REF!,#REF!,#REF!,#REF!,#REF!,#REF!,#REF!,#REF!,#REF!</definedName>
    <definedName name="__APW_RESTORE_DATA1630__">#REF!,#REF!,#REF!,#REF!,#REF!,#REF!,#REF!,#REF!,#REF!,#REF!,#REF!,#REF!,#REF!,#REF!,#REF!</definedName>
    <definedName name="__APW_RESTORE_DATA1631__">#REF!,#REF!,#REF!,#REF!,#REF!,#REF!,#REF!,#REF!,#REF!,#REF!,#REF!,#REF!,#REF!,#REF!,#REF!</definedName>
    <definedName name="__APW_RESTORE_DATA1632__">#REF!,#REF!,#REF!,#REF!,#REF!,#REF!,#REF!,#REF!,#REF!,#REF!,#REF!,#REF!,#REF!,#REF!,#REF!</definedName>
    <definedName name="__APW_RESTORE_DATA1633__">#REF!,#REF!,#REF!,#REF!,#REF!,#REF!,#REF!,#REF!,#REF!,#REF!,#REF!,#REF!,#REF!,#REF!,#REF!</definedName>
    <definedName name="__APW_RESTORE_DATA1634__">#REF!,#REF!,#REF!,#REF!,#REF!,#REF!,#REF!,#REF!,#REF!,#REF!,#REF!,#REF!,#REF!,#REF!,#REF!</definedName>
    <definedName name="__APW_RESTORE_DATA1635__">#REF!,#REF!,#REF!,#REF!,#REF!,#REF!,#REF!,#REF!,#REF!,#REF!,#REF!,#REF!,#REF!,#REF!,#REF!</definedName>
    <definedName name="__APW_RESTORE_DATA1636__">#REF!,#REF!,#REF!,#REF!,#REF!,#REF!,#REF!,#REF!,#REF!,#REF!,#REF!,#REF!,#REF!,#REF!,#REF!</definedName>
    <definedName name="__APW_RESTORE_DATA1637__">#REF!,#REF!,#REF!,#REF!,#REF!,#REF!,#REF!,#REF!,#REF!,#REF!,#REF!,#REF!,#REF!,#REF!,#REF!</definedName>
    <definedName name="__APW_RESTORE_DATA1638__">#REF!,#REF!,#REF!,#REF!,#REF!,#REF!,#REF!,#REF!,#REF!,#REF!,#REF!,#REF!,#REF!,#REF!,#REF!</definedName>
    <definedName name="__APW_RESTORE_DATA1639__">#REF!,#REF!,#REF!,#REF!,#REF!,#REF!,#REF!,#REF!,#REF!,#REF!,#REF!,#REF!,#REF!,#REF!,#REF!</definedName>
    <definedName name="__APW_RESTORE_DATA164__">#REF!,#REF!,#REF!,#REF!,#REF!,#REF!,#REF!,#REF!,#REF!,#REF!,#REF!,#REF!,#REF!,#REF!,#REF!</definedName>
    <definedName name="__APW_RESTORE_DATA1640__">#REF!,#REF!,#REF!,#REF!,#REF!,#REF!,#REF!,#REF!,#REF!,#REF!,#REF!,#REF!,#REF!,#REF!,#REF!</definedName>
    <definedName name="__APW_RESTORE_DATA1641__">#REF!,#REF!,#REF!,#REF!,#REF!,#REF!,#REF!,#REF!,#REF!,#REF!,#REF!,#REF!,#REF!,#REF!,#REF!</definedName>
    <definedName name="__APW_RESTORE_DATA1642__">#REF!,#REF!,#REF!,#REF!,#REF!,#REF!,#REF!,#REF!,#REF!,#REF!,#REF!,#REF!,#REF!,#REF!,#REF!</definedName>
    <definedName name="__APW_RESTORE_DATA1643__">#REF!,#REF!,#REF!,#REF!,#REF!,#REF!,#REF!,#REF!,#REF!,#REF!,#REF!,#REF!,#REF!,#REF!,#REF!</definedName>
    <definedName name="__APW_RESTORE_DATA1644__">#REF!,#REF!,#REF!,#REF!,#REF!,#REF!,#REF!,#REF!,#REF!,#REF!,#REF!,#REF!,#REF!,#REF!,#REF!</definedName>
    <definedName name="__APW_RESTORE_DATA1645__">#REF!,#REF!,#REF!,#REF!,#REF!,#REF!,#REF!,#REF!,#REF!,#REF!,#REF!,#REF!,#REF!,#REF!,#REF!</definedName>
    <definedName name="__APW_RESTORE_DATA1646__">#REF!,#REF!,#REF!,#REF!,#REF!,#REF!,#REF!,#REF!,#REF!,#REF!,#REF!,#REF!,#REF!,#REF!,#REF!</definedName>
    <definedName name="__APW_RESTORE_DATA1647__">#REF!,#REF!,#REF!,#REF!,#REF!,#REF!,#REF!,#REF!,#REF!,#REF!,#REF!,#REF!,#REF!,#REF!,#REF!</definedName>
    <definedName name="__APW_RESTORE_DATA1648__">#REF!,#REF!,#REF!,#REF!,#REF!,#REF!,#REF!,#REF!,#REF!,#REF!,#REF!,#REF!,#REF!,#REF!,#REF!</definedName>
    <definedName name="__APW_RESTORE_DATA1649__">#REF!,#REF!,#REF!,#REF!,#REF!,#REF!,#REF!,#REF!,#REF!,#REF!,#REF!,#REF!,#REF!,#REF!,#REF!</definedName>
    <definedName name="__APW_RESTORE_DATA165__">#REF!,#REF!,#REF!,#REF!,#REF!,#REF!,#REF!,#REF!,#REF!,#REF!,#REF!,#REF!,#REF!,#REF!,#REF!</definedName>
    <definedName name="__APW_RESTORE_DATA1650__">#REF!,#REF!,#REF!,#REF!,#REF!,#REF!,#REF!,#REF!,#REF!,#REF!,#REF!,#REF!,#REF!,#REF!,#REF!</definedName>
    <definedName name="__APW_RESTORE_DATA1651__">#REF!,#REF!,#REF!,#REF!,#REF!,#REF!,#REF!,#REF!,#REF!,#REF!,#REF!,#REF!,#REF!,#REF!,#REF!</definedName>
    <definedName name="__APW_RESTORE_DATA1652__">#REF!,#REF!,#REF!,#REF!,#REF!,#REF!,#REF!,#REF!,#REF!,#REF!,#REF!,#REF!,#REF!,#REF!,#REF!</definedName>
    <definedName name="__APW_RESTORE_DATA1653__">#REF!,#REF!,#REF!,#REF!,#REF!,#REF!,#REF!,#REF!,#REF!,#REF!,#REF!,#REF!,#REF!,#REF!,#REF!</definedName>
    <definedName name="__APW_RESTORE_DATA1654__">#REF!,#REF!,#REF!,#REF!,#REF!,#REF!,#REF!,#REF!,#REF!,#REF!,#REF!,#REF!,#REF!,#REF!,#REF!</definedName>
    <definedName name="__APW_RESTORE_DATA1655__">#REF!,#REF!,#REF!,#REF!,#REF!,#REF!,#REF!,#REF!,#REF!,#REF!,#REF!,#REF!,#REF!,#REF!,#REF!</definedName>
    <definedName name="__APW_RESTORE_DATA1656__">#REF!,#REF!,#REF!,#REF!,#REF!,#REF!</definedName>
    <definedName name="__APW_RESTORE_DATA1657__">#REF!,#REF!,#REF!,#REF!,#REF!,#REF!,#REF!,#REF!,#REF!,#REF!,#REF!,#REF!,#REF!,#REF!,#REF!,#REF!</definedName>
    <definedName name="__APW_RESTORE_DATA1658__">#REF!,#REF!,#REF!,#REF!,#REF!,#REF!,#REF!,#REF!,#REF!,#REF!,#REF!,#REF!,#REF!,#REF!,#REF!,#REF!</definedName>
    <definedName name="__APW_RESTORE_DATA1659__">#REF!,#REF!,#REF!,#REF!,#REF!,#REF!,#REF!,#REF!,#REF!,#REF!,#REF!,#REF!,#REF!,#REF!,#REF!,#REF!</definedName>
    <definedName name="__APW_RESTORE_DATA166__">#REF!,#REF!,#REF!,#REF!,#REF!,#REF!,#REF!,#REF!,#REF!,#REF!,#REF!,#REF!,#REF!,#REF!,#REF!</definedName>
    <definedName name="__APW_RESTORE_DATA1660__">#REF!,#REF!,#REF!,#REF!,#REF!,#REF!,#REF!,#REF!,#REF!,#REF!,#REF!,#REF!,#REF!,#REF!,#REF!,#REF!</definedName>
    <definedName name="__APW_RESTORE_DATA1661__">#REF!,#REF!,#REF!,#REF!,#REF!,#REF!,#REF!,#REF!,#REF!,#REF!,#REF!,#REF!,#REF!,#REF!,#REF!,#REF!</definedName>
    <definedName name="__APW_RESTORE_DATA1662__">#REF!,#REF!,#REF!,#REF!,#REF!,#REF!,#REF!,#REF!,#REF!,#REF!,#REF!,#REF!,#REF!,#REF!,#REF!,#REF!</definedName>
    <definedName name="__APW_RESTORE_DATA1663__">#REF!,#REF!,#REF!,#REF!,#REF!,#REF!,#REF!,#REF!,#REF!,#REF!,#REF!,#REF!,#REF!,#REF!,#REF!</definedName>
    <definedName name="__APW_RESTORE_DATA1664__">#REF!,#REF!,#REF!,#REF!,#REF!,#REF!,#REF!,#REF!,#REF!,#REF!,#REF!,#REF!,#REF!,#REF!,#REF!</definedName>
    <definedName name="__APW_RESTORE_DATA1665__">#REF!,#REF!,#REF!,#REF!,#REF!,#REF!,#REF!,#REF!,#REF!,#REF!,#REF!,#REF!,#REF!,#REF!,#REF!</definedName>
    <definedName name="__APW_RESTORE_DATA1666__">#REF!,#REF!,#REF!,#REF!,#REF!,#REF!,#REF!,#REF!,#REF!,#REF!,#REF!,#REF!,#REF!,#REF!,#REF!</definedName>
    <definedName name="__APW_RESTORE_DATA1667__">#REF!,#REF!,#REF!,#REF!,#REF!,#REF!,#REF!,#REF!,#REF!,#REF!,#REF!,#REF!,#REF!,#REF!,#REF!</definedName>
    <definedName name="__APW_RESTORE_DATA1668__">#REF!,#REF!,#REF!,#REF!,#REF!,#REF!,#REF!,#REF!,#REF!,#REF!,#REF!,#REF!,#REF!,#REF!,#REF!</definedName>
    <definedName name="__APW_RESTORE_DATA1669__">#REF!,#REF!,#REF!,#REF!,#REF!,#REF!,#REF!,#REF!,#REF!,#REF!,#REF!,#REF!,#REF!,#REF!,#REF!</definedName>
    <definedName name="__APW_RESTORE_DATA167__">#REF!,#REF!,#REF!,#REF!,#REF!,#REF!,#REF!,#REF!,#REF!,#REF!,#REF!,#REF!,#REF!,#REF!,#REF!</definedName>
    <definedName name="__APW_RESTORE_DATA1670__">#REF!,#REF!,#REF!,#REF!,#REF!,#REF!,#REF!,#REF!,#REF!,#REF!,#REF!,#REF!,#REF!,#REF!,#REF!</definedName>
    <definedName name="__APW_RESTORE_DATA1671__">#REF!,#REF!,#REF!,#REF!,#REF!,#REF!,#REF!,#REF!,#REF!,#REF!,#REF!,#REF!,#REF!,#REF!,#REF!</definedName>
    <definedName name="__APW_RESTORE_DATA1672__">#REF!,#REF!,#REF!,#REF!,#REF!,#REF!,#REF!,#REF!,#REF!,#REF!,#REF!,#REF!,#REF!,#REF!,#REF!</definedName>
    <definedName name="__APW_RESTORE_DATA1673__">#REF!,#REF!,#REF!,#REF!,#REF!,#REF!,#REF!,#REF!,#REF!,#REF!,#REF!,#REF!,#REF!,#REF!,#REF!</definedName>
    <definedName name="__APW_RESTORE_DATA1674__">#REF!,#REF!,#REF!,#REF!,#REF!,#REF!,#REF!,#REF!,#REF!,#REF!,#REF!,#REF!,#REF!,#REF!,#REF!</definedName>
    <definedName name="__APW_RESTORE_DATA1675__">#REF!,#REF!,#REF!,#REF!,#REF!,#REF!,#REF!,#REF!,#REF!,#REF!,#REF!,#REF!,#REF!,#REF!,#REF!</definedName>
    <definedName name="__APW_RESTORE_DATA1676__">#REF!,#REF!,#REF!,#REF!,#REF!,#REF!,#REF!,#REF!,#REF!,#REF!,#REF!,#REF!,#REF!,#REF!,#REF!</definedName>
    <definedName name="__APW_RESTORE_DATA1677__">#REF!,#REF!,#REF!,#REF!,#REF!,#REF!,#REF!,#REF!,#REF!,#REF!,#REF!,#REF!,#REF!,#REF!,#REF!</definedName>
    <definedName name="__APW_RESTORE_DATA1678__">#REF!,#REF!,#REF!,#REF!,#REF!,#REF!,#REF!,#REF!,#REF!,#REF!,#REF!,#REF!,#REF!,#REF!,#REF!</definedName>
    <definedName name="__APW_RESTORE_DATA1679__">#REF!,#REF!,#REF!,#REF!,#REF!,#REF!,#REF!,#REF!,#REF!,#REF!,#REF!,#REF!,#REF!,#REF!,#REF!</definedName>
    <definedName name="__APW_RESTORE_DATA168__">#REF!,#REF!</definedName>
    <definedName name="__APW_RESTORE_DATA1680__">#REF!,#REF!,#REF!,#REF!,#REF!,#REF!,#REF!,#REF!,#REF!,#REF!,#REF!,#REF!,#REF!,#REF!,#REF!</definedName>
    <definedName name="__APW_RESTORE_DATA1681__">#REF!,#REF!,#REF!,#REF!,#REF!,#REF!,#REF!,#REF!,#REF!,#REF!,#REF!,#REF!,#REF!,#REF!,#REF!</definedName>
    <definedName name="__APW_RESTORE_DATA1682__">#REF!,#REF!,#REF!,#REF!,#REF!,#REF!,#REF!,#REF!,#REF!,#REF!,#REF!,#REF!,#REF!,#REF!,#REF!</definedName>
    <definedName name="__APW_RESTORE_DATA1683__">#REF!,#REF!,#REF!,#REF!,#REF!,#REF!,#REF!,#REF!,#REF!,#REF!,#REF!,#REF!,#REF!,#REF!,#REF!</definedName>
    <definedName name="__APW_RESTORE_DATA1684__">#REF!,#REF!,#REF!,#REF!,#REF!,#REF!,#REF!,#REF!,#REF!,#REF!,#REF!,#REF!,#REF!,#REF!,#REF!</definedName>
    <definedName name="__APW_RESTORE_DATA1685__">#REF!,#REF!,#REF!,#REF!,#REF!,#REF!,#REF!,#REF!,#REF!,#REF!,#REF!,#REF!,#REF!,#REF!,#REF!</definedName>
    <definedName name="__APW_RESTORE_DATA1686__">#REF!,#REF!,#REF!,#REF!,#REF!,#REF!,#REF!,#REF!,#REF!,#REF!,#REF!,#REF!,#REF!,#REF!,#REF!</definedName>
    <definedName name="__APW_RESTORE_DATA1687__">#REF!,#REF!,#REF!,#REF!,#REF!,#REF!,#REF!,#REF!,#REF!,#REF!,#REF!,#REF!,#REF!,#REF!,#REF!</definedName>
    <definedName name="__APW_RESTORE_DATA1688__">#REF!,#REF!,#REF!,#REF!,#REF!,#REF!,#REF!,#REF!,#REF!,#REF!,#REF!,#REF!,#REF!,#REF!,#REF!</definedName>
    <definedName name="__APW_RESTORE_DATA1689__">#REF!,#REF!,#REF!,#REF!,#REF!,#REF!,#REF!,#REF!,#REF!,#REF!,#REF!,#REF!,#REF!,#REF!,#REF!</definedName>
    <definedName name="__APW_RESTORE_DATA169__">#REF!,#REF!,#REF!,#REF!,#REF!,#REF!,#REF!,#REF!,#REF!,#REF!,#REF!,#REF!,#REF!,#REF!,#REF!</definedName>
    <definedName name="__APW_RESTORE_DATA1690__">#REF!,#REF!,#REF!,#REF!,#REF!,#REF!,#REF!,#REF!,#REF!,#REF!,#REF!,#REF!,#REF!,#REF!,#REF!</definedName>
    <definedName name="__APW_RESTORE_DATA1691__">#REF!,#REF!,#REF!,#REF!,#REF!,#REF!</definedName>
    <definedName name="__APW_RESTORE_DATA1692__">#REF!,#REF!,#REF!,#REF!,#REF!,#REF!,#REF!,#REF!,#REF!,#REF!,#REF!,#REF!,#REF!,#REF!,#REF!,#REF!</definedName>
    <definedName name="__APW_RESTORE_DATA1693__">#REF!,#REF!,#REF!,#REF!,#REF!,#REF!,#REF!,#REF!,#REF!,#REF!,#REF!,#REF!,#REF!,#REF!,#REF!,#REF!</definedName>
    <definedName name="__APW_RESTORE_DATA1694__">#REF!,#REF!,#REF!,#REF!,#REF!,#REF!,#REF!,#REF!,#REF!,#REF!,#REF!,#REF!,#REF!,#REF!,#REF!,#REF!</definedName>
    <definedName name="__APW_RESTORE_DATA1695__">#REF!,#REF!,#REF!,#REF!,#REF!,#REF!,#REF!,#REF!,#REF!,#REF!,#REF!,#REF!,#REF!,#REF!,#REF!,#REF!</definedName>
    <definedName name="__APW_RESTORE_DATA1696__">#REF!,#REF!,#REF!,#REF!,#REF!,#REF!,#REF!,#REF!,#REF!,#REF!,#REF!,#REF!,#REF!,#REF!,#REF!,#REF!</definedName>
    <definedName name="__APW_RESTORE_DATA1697__">#REF!,#REF!,#REF!,#REF!,#REF!,#REF!,#REF!,#REF!,#REF!,#REF!,#REF!,#REF!,#REF!,#REF!,#REF!,#REF!</definedName>
    <definedName name="__APW_RESTORE_DATA1698__">#REF!,#REF!,#REF!,#REF!,#REF!,#REF!,#REF!,#REF!,#REF!,#REF!,#REF!,#REF!,#REF!,#REF!,#REF!</definedName>
    <definedName name="__APW_RESTORE_DATA1699__">#REF!,#REF!,#REF!,#REF!,#REF!,#REF!,#REF!,#REF!,#REF!,#REF!,#REF!,#REF!,#REF!,#REF!,#REF!</definedName>
    <definedName name="__APW_RESTORE_DATA17__">#REF!,#REF!,#REF!,#REF!,#REF!,#REF!,#REF!,#REF!,#REF!,#REF!,#REF!,#REF!,#REF!,#REF!,#REF!</definedName>
    <definedName name="__APW_RESTORE_DATA170__">#REF!,#REF!,#REF!,#REF!,#REF!,#REF!,#REF!,#REF!,#REF!,#REF!,#REF!,#REF!,#REF!,#REF!,#REF!</definedName>
    <definedName name="__APW_RESTORE_DATA1700__">#REF!,#REF!,#REF!,#REF!,#REF!,#REF!,#REF!,#REF!,#REF!,#REF!,#REF!,#REF!,#REF!,#REF!,#REF!</definedName>
    <definedName name="__APW_RESTORE_DATA1701__">#REF!,#REF!,#REF!,#REF!,#REF!,#REF!,#REF!,#REF!,#REF!,#REF!,#REF!,#REF!,#REF!,#REF!,#REF!</definedName>
    <definedName name="__APW_RESTORE_DATA1702__">#REF!,#REF!,#REF!,#REF!,#REF!,#REF!,#REF!,#REF!,#REF!,#REF!,#REF!,#REF!,#REF!,#REF!,#REF!</definedName>
    <definedName name="__APW_RESTORE_DATA1703__">#REF!,#REF!,#REF!,#REF!,#REF!,#REF!,#REF!,#REF!,#REF!,#REF!,#REF!,#REF!,#REF!,#REF!,#REF!</definedName>
    <definedName name="__APW_RESTORE_DATA1704__">#REF!,#REF!,#REF!,#REF!,#REF!,#REF!,#REF!,#REF!,#REF!,#REF!,#REF!,#REF!,#REF!,#REF!,#REF!</definedName>
    <definedName name="__APW_RESTORE_DATA1705__">#REF!,#REF!,#REF!,#REF!,#REF!,#REF!,#REF!,#REF!,#REF!,#REF!,#REF!,#REF!,#REF!,#REF!,#REF!</definedName>
    <definedName name="__APW_RESTORE_DATA1706__">#REF!,#REF!,#REF!,#REF!,#REF!,#REF!,#REF!,#REF!,#REF!,#REF!,#REF!,#REF!,#REF!,#REF!,#REF!</definedName>
    <definedName name="__APW_RESTORE_DATA1707__">#REF!,#REF!,#REF!,#REF!,#REF!,#REF!,#REF!,#REF!,#REF!,#REF!,#REF!,#REF!,#REF!,#REF!,#REF!</definedName>
    <definedName name="__APW_RESTORE_DATA1708__">#REF!,#REF!,#REF!,#REF!,#REF!,#REF!,#REF!,#REF!,#REF!,#REF!,#REF!,#REF!,#REF!,#REF!,#REF!</definedName>
    <definedName name="__APW_RESTORE_DATA1709__">#REF!,#REF!,#REF!,#REF!,#REF!,#REF!,#REF!,#REF!,#REF!,#REF!,#REF!,#REF!,#REF!,#REF!,#REF!</definedName>
    <definedName name="__APW_RESTORE_DATA171__">#REF!,#REF!,#REF!,#REF!,#REF!,#REF!,#REF!,#REF!,#REF!,#REF!,#REF!,#REF!,#REF!,#REF!,#REF!</definedName>
    <definedName name="__APW_RESTORE_DATA1710__">#REF!,#REF!,#REF!,#REF!,#REF!,#REF!,#REF!,#REF!,#REF!,#REF!,#REF!,#REF!,#REF!,#REF!,#REF!</definedName>
    <definedName name="__APW_RESTORE_DATA1711__">#REF!,#REF!,#REF!,#REF!,#REF!,#REF!,#REF!,#REF!,#REF!,#REF!,#REF!,#REF!,#REF!,#REF!,#REF!</definedName>
    <definedName name="__APW_RESTORE_DATA1712__">#REF!,#REF!,#REF!,#REF!,#REF!,#REF!,#REF!,#REF!,#REF!,#REF!,#REF!,#REF!,#REF!,#REF!,#REF!</definedName>
    <definedName name="__APW_RESTORE_DATA1713__">#REF!,#REF!,#REF!,#REF!,#REF!,#REF!,#REF!,#REF!,#REF!,#REF!,#REF!,#REF!,#REF!,#REF!,#REF!</definedName>
    <definedName name="__APW_RESTORE_DATA1714__">#REF!,#REF!,#REF!,#REF!,#REF!,#REF!,#REF!,#REF!,#REF!,#REF!,#REF!,#REF!,#REF!,#REF!,#REF!</definedName>
    <definedName name="__APW_RESTORE_DATA1715__">#REF!,#REF!,#REF!,#REF!,#REF!,#REF!,#REF!,#REF!,#REF!,#REF!,#REF!,#REF!,#REF!,#REF!,#REF!</definedName>
    <definedName name="__APW_RESTORE_DATA1716__">#REF!,#REF!,#REF!,#REF!,#REF!,#REF!,#REF!,#REF!,#REF!,#REF!,#REF!,#REF!,#REF!,#REF!,#REF!</definedName>
    <definedName name="__APW_RESTORE_DATA1717__">#REF!,#REF!,#REF!,#REF!,#REF!,#REF!,#REF!,#REF!,#REF!,#REF!,#REF!,#REF!,#REF!,#REF!,#REF!</definedName>
    <definedName name="__APW_RESTORE_DATA1718__">#REF!,#REF!,#REF!,#REF!,#REF!,#REF!,#REF!,#REF!,#REF!,#REF!,#REF!,#REF!,#REF!,#REF!,#REF!</definedName>
    <definedName name="__APW_RESTORE_DATA1719__">#REF!,#REF!,#REF!,#REF!,#REF!,#REF!,#REF!,#REF!,#REF!,#REF!,#REF!,#REF!,#REF!,#REF!,#REF!</definedName>
    <definedName name="__APW_RESTORE_DATA172__">#REF!,#REF!,#REF!,#REF!,#REF!,#REF!,#REF!,#REF!,#REF!,#REF!,#REF!,#REF!,#REF!,#REF!,#REF!</definedName>
    <definedName name="__APW_RESTORE_DATA1720__">#REF!,#REF!,#REF!,#REF!,#REF!,#REF!,#REF!,#REF!,#REF!,#REF!,#REF!,#REF!,#REF!,#REF!,#REF!</definedName>
    <definedName name="__APW_RESTORE_DATA1721__">#REF!,#REF!,#REF!,#REF!,#REF!,#REF!,#REF!,#REF!,#REF!,#REF!,#REF!,#REF!,#REF!,#REF!,#REF!</definedName>
    <definedName name="__APW_RESTORE_DATA1722__">#REF!,#REF!,#REF!,#REF!,#REF!,#REF!,#REF!,#REF!,#REF!,#REF!,#REF!,#REF!,#REF!,#REF!,#REF!</definedName>
    <definedName name="__APW_RESTORE_DATA1723__">#REF!,#REF!,#REF!,#REF!,#REF!,#REF!,#REF!,#REF!,#REF!,#REF!,#REF!,#REF!,#REF!,#REF!,#REF!</definedName>
    <definedName name="__APW_RESTORE_DATA1724__">#REF!,#REF!,#REF!,#REF!,#REF!,#REF!,#REF!,#REF!,#REF!,#REF!,#REF!,#REF!,#REF!,#REF!,#REF!</definedName>
    <definedName name="__APW_RESTORE_DATA1725__">#REF!,#REF!,#REF!,#REF!,#REF!,#REF!,#REF!,#REF!,#REF!,#REF!,#REF!,#REF!,#REF!,#REF!,#REF!</definedName>
    <definedName name="__APW_RESTORE_DATA1726__">#REF!,#REF!,#REF!,#REF!,#REF!,#REF!</definedName>
    <definedName name="__APW_RESTORE_DATA1727__">#REF!</definedName>
    <definedName name="__APW_RESTORE_DATA1728__">#REF!</definedName>
    <definedName name="__APW_RESTORE_DATA173__">#REF!,#REF!</definedName>
    <definedName name="__APW_RESTORE_DATA1730__">#REF!</definedName>
    <definedName name="__APW_RESTORE_DATA1731__">#REF!,#REF!,#REF!,#REF!,#REF!,#REF!,#REF!,#REF!,#REF!,#REF!,#REF!,#REF!,#REF!,#REF!,#REF!,#REF!</definedName>
    <definedName name="__APW_RESTORE_DATA1732__">#REF!,#REF!,#REF!,#REF!,#REF!,#REF!,#REF!,#REF!,#REF!,#REF!,#REF!,#REF!,#REF!,#REF!,#REF!,#REF!</definedName>
    <definedName name="__APW_RESTORE_DATA1733__">#REF!,#REF!,#REF!,#REF!,#REF!,#REF!,#REF!,#REF!,#REF!,#REF!,#REF!,#REF!,#REF!,#REF!,#REF!,#REF!</definedName>
    <definedName name="__APW_RESTORE_DATA1734__">#REF!,#REF!,#REF!,#REF!,#REF!,#REF!,#REF!,#REF!,#REF!,#REF!,#REF!,#REF!,#REF!,#REF!,#REF!,#REF!</definedName>
    <definedName name="__APW_RESTORE_DATA1735__">#REF!,#REF!,#REF!,#REF!,#REF!,#REF!,#REF!,#REF!,#REF!,#REF!,#REF!,#REF!,#REF!,#REF!,#REF!,#REF!</definedName>
    <definedName name="__APW_RESTORE_DATA1736__">#REF!,#REF!,#REF!,#REF!,#REF!,#REF!,#REF!,#REF!,#REF!,#REF!,#REF!,#REF!,#REF!,#REF!,#REF!,#REF!</definedName>
    <definedName name="__APW_RESTORE_DATA1737__">#REF!,#REF!,#REF!,#REF!,#REF!,#REF!,#REF!,#REF!,#REF!,#REF!,#REF!,#REF!,#REF!,#REF!,#REF!</definedName>
    <definedName name="__APW_RESTORE_DATA1738__">#REF!,#REF!,#REF!,#REF!,#REF!,#REF!,#REF!,#REF!,#REF!,#REF!,#REF!,#REF!,#REF!,#REF!,#REF!</definedName>
    <definedName name="__APW_RESTORE_DATA1739__">#REF!,#REF!,#REF!,#REF!,#REF!,#REF!,#REF!,#REF!,#REF!,#REF!,#REF!,#REF!,#REF!,#REF!,#REF!</definedName>
    <definedName name="__APW_RESTORE_DATA174__">#REF!,#REF!,#REF!,#REF!,#REF!,#REF!,#REF!,#REF!,#REF!,#REF!,#REF!,#REF!,#REF!,#REF!,#REF!</definedName>
    <definedName name="__APW_RESTORE_DATA1740__">#REF!,#REF!,#REF!,#REF!,#REF!,#REF!,#REF!,#REF!,#REF!,#REF!,#REF!,#REF!,#REF!,#REF!,#REF!</definedName>
    <definedName name="__APW_RESTORE_DATA1741__">#REF!,#REF!,#REF!,#REF!,#REF!,#REF!,#REF!,#REF!,#REF!,#REF!,#REF!,#REF!,#REF!,#REF!,#REF!</definedName>
    <definedName name="__APW_RESTORE_DATA1742__">#REF!,#REF!,#REF!,#REF!,#REF!,#REF!,#REF!,#REF!,#REF!,#REF!,#REF!,#REF!,#REF!,#REF!,#REF!</definedName>
    <definedName name="__APW_RESTORE_DATA1743__">#REF!,#REF!,#REF!,#REF!,#REF!,#REF!,#REF!,#REF!,#REF!,#REF!,#REF!,#REF!,#REF!,#REF!,#REF!</definedName>
    <definedName name="__APW_RESTORE_DATA1744__">#REF!,#REF!,#REF!,#REF!,#REF!,#REF!,#REF!,#REF!,#REF!,#REF!,#REF!,#REF!,#REF!,#REF!,#REF!</definedName>
    <definedName name="__APW_RESTORE_DATA1745__">#REF!,#REF!,#REF!,#REF!,#REF!,#REF!,#REF!,#REF!,#REF!,#REF!,#REF!,#REF!,#REF!,#REF!,#REF!</definedName>
    <definedName name="__APW_RESTORE_DATA1746__">#REF!,#REF!,#REF!,#REF!,#REF!,#REF!,#REF!,#REF!,#REF!,#REF!,#REF!,#REF!,#REF!,#REF!,#REF!</definedName>
    <definedName name="__APW_RESTORE_DATA1747__">#REF!,#REF!,#REF!,#REF!,#REF!,#REF!,#REF!,#REF!,#REF!,#REF!,#REF!,#REF!,#REF!,#REF!,#REF!</definedName>
    <definedName name="__APW_RESTORE_DATA1748__">#REF!,#REF!,#REF!,#REF!,#REF!,#REF!,#REF!,#REF!,#REF!,#REF!,#REF!,#REF!,#REF!,#REF!,#REF!</definedName>
    <definedName name="__APW_RESTORE_DATA1749__">#REF!,#REF!,#REF!,#REF!,#REF!,#REF!,#REF!,#REF!,#REF!,#REF!,#REF!,#REF!,#REF!,#REF!,#REF!</definedName>
    <definedName name="__APW_RESTORE_DATA175__">#REF!,#REF!,#REF!,#REF!,#REF!,#REF!,#REF!,#REF!,#REF!,#REF!,#REF!,#REF!,#REF!,#REF!,#REF!</definedName>
    <definedName name="__APW_RESTORE_DATA1750__">#REF!,#REF!,#REF!,#REF!,#REF!,#REF!,#REF!,#REF!,#REF!,#REF!,#REF!,#REF!,#REF!,#REF!,#REF!</definedName>
    <definedName name="__APW_RESTORE_DATA1751__">#REF!,#REF!,#REF!,#REF!,#REF!,#REF!,#REF!,#REF!,#REF!,#REF!,#REF!,#REF!,#REF!,#REF!,#REF!</definedName>
    <definedName name="__APW_RESTORE_DATA1752__">#REF!,#REF!,#REF!,#REF!,#REF!,#REF!,#REF!,#REF!,#REF!,#REF!,#REF!,#REF!,#REF!,#REF!,#REF!</definedName>
    <definedName name="__APW_RESTORE_DATA1753__">#REF!,#REF!,#REF!,#REF!,#REF!,#REF!,#REF!,#REF!,#REF!,#REF!,#REF!,#REF!,#REF!,#REF!,#REF!</definedName>
    <definedName name="__APW_RESTORE_DATA1754__">#REF!,#REF!,#REF!,#REF!,#REF!,#REF!,#REF!,#REF!,#REF!,#REF!,#REF!,#REF!,#REF!,#REF!,#REF!</definedName>
    <definedName name="__APW_RESTORE_DATA1755__">#REF!,#REF!,#REF!,#REF!,#REF!,#REF!,#REF!,#REF!,#REF!,#REF!,#REF!,#REF!,#REF!,#REF!,#REF!</definedName>
    <definedName name="__APW_RESTORE_DATA1756__">#REF!,#REF!,#REF!,#REF!,#REF!,#REF!,#REF!,#REF!,#REF!,#REF!,#REF!,#REF!,#REF!,#REF!,#REF!</definedName>
    <definedName name="__APW_RESTORE_DATA1757__">#REF!,#REF!,#REF!,#REF!,#REF!,#REF!,#REF!,#REF!,#REF!,#REF!,#REF!,#REF!,#REF!,#REF!,#REF!</definedName>
    <definedName name="__APW_RESTORE_DATA1758__">#REF!,#REF!,#REF!,#REF!,#REF!,#REF!,#REF!,#REF!,#REF!,#REF!,#REF!,#REF!,#REF!,#REF!,#REF!</definedName>
    <definedName name="__APW_RESTORE_DATA1759__">#REF!,#REF!,#REF!,#REF!,#REF!,#REF!,#REF!,#REF!,#REF!,#REF!,#REF!,#REF!,#REF!,#REF!,#REF!</definedName>
    <definedName name="__APW_RESTORE_DATA176__">#REF!,#REF!,#REF!,#REF!,#REF!,#REF!,#REF!,#REF!,#REF!,#REF!,#REF!,#REF!,#REF!,#REF!,#REF!</definedName>
    <definedName name="__APW_RESTORE_DATA1760__">#REF!,#REF!,#REF!,#REF!,#REF!,#REF!,#REF!,#REF!,#REF!,#REF!,#REF!,#REF!,#REF!,#REF!,#REF!</definedName>
    <definedName name="__APW_RESTORE_DATA1761__">#REF!,#REF!,#REF!,#REF!,#REF!,#REF!,#REF!,#REF!,#REF!,#REF!,#REF!,#REF!,#REF!,#REF!,#REF!</definedName>
    <definedName name="__APW_RESTORE_DATA1762__">#REF!,#REF!,#REF!,#REF!,#REF!,#REF!,#REF!,#REF!,#REF!,#REF!,#REF!,#REF!,#REF!,#REF!,#REF!</definedName>
    <definedName name="__APW_RESTORE_DATA1763__">#REF!,#REF!,#REF!,#REF!,#REF!,#REF!,#REF!,#REF!,#REF!,#REF!,#REF!,#REF!,#REF!,#REF!,#REF!</definedName>
    <definedName name="__APW_RESTORE_DATA1764__">#REF!,#REF!,#REF!,#REF!,#REF!,#REF!,#REF!,#REF!,#REF!,#REF!,#REF!,#REF!,#REF!,#REF!,#REF!</definedName>
    <definedName name="__APW_RESTORE_DATA1765__">#REF!,#REF!,#REF!,#REF!,#REF!,#REF!</definedName>
    <definedName name="__APW_RESTORE_DATA1766__">#REF!,#REF!,#REF!,#REF!,#REF!,#REF!,#REF!,#REF!,#REF!,#REF!,#REF!,#REF!,#REF!,#REF!,#REF!,#REF!</definedName>
    <definedName name="__APW_RESTORE_DATA1767__">#REF!,#REF!,#REF!,#REF!,#REF!,#REF!,#REF!,#REF!,#REF!,#REF!,#REF!,#REF!,#REF!,#REF!,#REF!,#REF!</definedName>
    <definedName name="__APW_RESTORE_DATA1768__">#REF!,#REF!,#REF!,#REF!,#REF!,#REF!,#REF!,#REF!,#REF!,#REF!,#REF!,#REF!,#REF!,#REF!,#REF!,#REF!</definedName>
    <definedName name="__APW_RESTORE_DATA1769__">#REF!,#REF!,#REF!,#REF!,#REF!,#REF!,#REF!,#REF!,#REF!,#REF!,#REF!,#REF!,#REF!,#REF!,#REF!,#REF!</definedName>
    <definedName name="__APW_RESTORE_DATA177__">#REF!,#REF!,#REF!,#REF!,#REF!,#REF!,#REF!,#REF!,#REF!,#REF!,#REF!,#REF!,#REF!,#REF!,#REF!</definedName>
    <definedName name="__APW_RESTORE_DATA1770__">#REF!,#REF!,#REF!,#REF!,#REF!,#REF!,#REF!,#REF!,#REF!,#REF!,#REF!,#REF!,#REF!,#REF!,#REF!,#REF!</definedName>
    <definedName name="__APW_RESTORE_DATA1771__">#REF!,#REF!,#REF!,#REF!,#REF!,#REF!,#REF!,#REF!,#REF!,#REF!,#REF!,#REF!,#REF!,#REF!,#REF!,#REF!</definedName>
    <definedName name="__APW_RESTORE_DATA1772__">#REF!,#REF!,#REF!,#REF!,#REF!,#REF!,#REF!,#REF!,#REF!,#REF!,#REF!,#REF!,#REF!,#REF!,#REF!</definedName>
    <definedName name="__APW_RESTORE_DATA1773__">#REF!,#REF!,#REF!,#REF!,#REF!,#REF!,#REF!,#REF!,#REF!,#REF!,#REF!,#REF!,#REF!,#REF!,#REF!</definedName>
    <definedName name="__APW_RESTORE_DATA1774__">#REF!,#REF!,#REF!,#REF!,#REF!,#REF!,#REF!,#REF!,#REF!,#REF!,#REF!,#REF!,#REF!,#REF!,#REF!</definedName>
    <definedName name="__APW_RESTORE_DATA1775__">#REF!,#REF!,#REF!,#REF!,#REF!,#REF!,#REF!,#REF!,#REF!,#REF!,#REF!,#REF!,#REF!,#REF!,#REF!</definedName>
    <definedName name="__APW_RESTORE_DATA1776__">#REF!,#REF!,#REF!,#REF!,#REF!,#REF!,#REF!,#REF!,#REF!,#REF!,#REF!,#REF!,#REF!,#REF!,#REF!</definedName>
    <definedName name="__APW_RESTORE_DATA1777__">#REF!,#REF!,#REF!,#REF!,#REF!,#REF!,#REF!,#REF!,#REF!,#REF!,#REF!,#REF!,#REF!,#REF!,#REF!</definedName>
    <definedName name="__APW_RESTORE_DATA1778__">#REF!,#REF!,#REF!,#REF!,#REF!,#REF!,#REF!,#REF!,#REF!,#REF!,#REF!,#REF!,#REF!,#REF!,#REF!</definedName>
    <definedName name="__APW_RESTORE_DATA1779__">#REF!,#REF!,#REF!,#REF!,#REF!,#REF!,#REF!,#REF!,#REF!,#REF!,#REF!,#REF!,#REF!,#REF!,#REF!</definedName>
    <definedName name="__APW_RESTORE_DATA178__">#REF!,#REF!</definedName>
    <definedName name="__APW_RESTORE_DATA1780__">#REF!,#REF!,#REF!,#REF!,#REF!,#REF!,#REF!,#REF!,#REF!,#REF!,#REF!,#REF!,#REF!,#REF!,#REF!</definedName>
    <definedName name="__APW_RESTORE_DATA1781__">#REF!,#REF!,#REF!,#REF!,#REF!,#REF!,#REF!,#REF!,#REF!,#REF!,#REF!,#REF!,#REF!,#REF!,#REF!</definedName>
    <definedName name="__APW_RESTORE_DATA1782__">#REF!,#REF!,#REF!,#REF!,#REF!,#REF!,#REF!,#REF!,#REF!,#REF!,#REF!,#REF!,#REF!,#REF!,#REF!</definedName>
    <definedName name="__APW_RESTORE_DATA1783__">#REF!,#REF!,#REF!,#REF!,#REF!,#REF!,#REF!,#REF!,#REF!,#REF!,#REF!,#REF!,#REF!,#REF!,#REF!</definedName>
    <definedName name="__APW_RESTORE_DATA1784__">#REF!,#REF!,#REF!,#REF!,#REF!,#REF!,#REF!,#REF!,#REF!,#REF!,#REF!,#REF!,#REF!,#REF!,#REF!</definedName>
    <definedName name="__APW_RESTORE_DATA1785__">#REF!,#REF!,#REF!,#REF!,#REF!,#REF!,#REF!,#REF!,#REF!,#REF!,#REF!,#REF!,#REF!,#REF!,#REF!</definedName>
    <definedName name="__APW_RESTORE_DATA1786__">#REF!,#REF!,#REF!,#REF!,#REF!,#REF!,#REF!,#REF!,#REF!,#REF!,#REF!,#REF!,#REF!,#REF!,#REF!</definedName>
    <definedName name="__APW_RESTORE_DATA1787__">#REF!,#REF!,#REF!,#REF!,#REF!,#REF!,#REF!,#REF!,#REF!,#REF!,#REF!,#REF!,#REF!,#REF!,#REF!</definedName>
    <definedName name="__APW_RESTORE_DATA1788__">#REF!,#REF!,#REF!,#REF!,#REF!,#REF!,#REF!,#REF!,#REF!,#REF!,#REF!,#REF!,#REF!,#REF!,#REF!</definedName>
    <definedName name="__APW_RESTORE_DATA1789__">#REF!,#REF!,#REF!,#REF!,#REF!,#REF!,#REF!,#REF!,#REF!,#REF!,#REF!,#REF!,#REF!,#REF!,#REF!</definedName>
    <definedName name="__APW_RESTORE_DATA179__">#REF!,#REF!,#REF!,#REF!,#REF!,#REF!,#REF!,#REF!,#REF!,#REF!,#REF!,#REF!,#REF!,#REF!,#REF!</definedName>
    <definedName name="__APW_RESTORE_DATA1790__">#REF!,#REF!,#REF!,#REF!,#REF!,#REF!,#REF!,#REF!,#REF!,#REF!,#REF!,#REF!,#REF!,#REF!,#REF!</definedName>
    <definedName name="__APW_RESTORE_DATA1791__">#REF!,#REF!,#REF!,#REF!,#REF!,#REF!,#REF!,#REF!,#REF!,#REF!,#REF!,#REF!,#REF!,#REF!,#REF!</definedName>
    <definedName name="__APW_RESTORE_DATA1792__">#REF!,#REF!,#REF!,#REF!,#REF!,#REF!,#REF!,#REF!,#REF!,#REF!,#REF!,#REF!,#REF!,#REF!,#REF!</definedName>
    <definedName name="__APW_RESTORE_DATA1793__">#REF!,#REF!,#REF!,#REF!,#REF!,#REF!,#REF!,#REF!,#REF!,#REF!,#REF!,#REF!,#REF!,#REF!,#REF!</definedName>
    <definedName name="__APW_RESTORE_DATA1794__">#REF!,#REF!,#REF!,#REF!,#REF!,#REF!,#REF!,#REF!,#REF!,#REF!,#REF!,#REF!,#REF!,#REF!,#REF!</definedName>
    <definedName name="__APW_RESTORE_DATA1795__">#REF!,#REF!,#REF!,#REF!,#REF!,#REF!,#REF!,#REF!,#REF!,#REF!,#REF!,#REF!,#REF!,#REF!,#REF!</definedName>
    <definedName name="__APW_RESTORE_DATA1796__">#REF!,#REF!,#REF!,#REF!,#REF!,#REF!,#REF!,#REF!,#REF!,#REF!,#REF!,#REF!,#REF!,#REF!,#REF!</definedName>
    <definedName name="__APW_RESTORE_DATA1797__">#REF!,#REF!,#REF!,#REF!,#REF!,#REF!,#REF!,#REF!,#REF!,#REF!,#REF!,#REF!,#REF!,#REF!,#REF!</definedName>
    <definedName name="__APW_RESTORE_DATA1798__">#REF!,#REF!,#REF!,#REF!,#REF!,#REF!,#REF!,#REF!,#REF!,#REF!,#REF!,#REF!,#REF!,#REF!,#REF!</definedName>
    <definedName name="__APW_RESTORE_DATA1799__">#REF!,#REF!,#REF!,#REF!,#REF!,#REF!,#REF!,#REF!,#REF!,#REF!,#REF!,#REF!,#REF!,#REF!,#REF!</definedName>
    <definedName name="__APW_RESTORE_DATA18__">#REF!,#REF!,#REF!,#REF!,#REF!,#REF!,#REF!,#REF!,#REF!,#REF!,#REF!,#REF!,#REF!,#REF!,#REF!,#REF!</definedName>
    <definedName name="__APW_RESTORE_DATA180__">#REF!,#REF!,#REF!,#REF!,#REF!,#REF!,#REF!,#REF!,#REF!,#REF!,#REF!,#REF!,#REF!,#REF!,#REF!</definedName>
    <definedName name="__APW_RESTORE_DATA1800__">#REF!,#REF!,#REF!,#REF!,#REF!,#REF!</definedName>
    <definedName name="__APW_RESTORE_DATA1801__">#REF!,#REF!,#REF!,#REF!,#REF!,#REF!,#REF!,#REF!,#REF!,#REF!,#REF!,#REF!,#REF!,#REF!,#REF!,#REF!</definedName>
    <definedName name="__APW_RESTORE_DATA1802__">#REF!,#REF!,#REF!,#REF!,#REF!,#REF!,#REF!,#REF!,#REF!,#REF!,#REF!,#REF!,#REF!,#REF!,#REF!,#REF!</definedName>
    <definedName name="__APW_RESTORE_DATA1803__">#REF!,#REF!,#REF!,#REF!,#REF!,#REF!,#REF!,#REF!,#REF!,#REF!,#REF!,#REF!,#REF!,#REF!,#REF!,#REF!</definedName>
    <definedName name="__APW_RESTORE_DATA1804__">#REF!,#REF!,#REF!,#REF!,#REF!,#REF!,#REF!,#REF!,#REF!,#REF!,#REF!,#REF!,#REF!,#REF!,#REF!,#REF!</definedName>
    <definedName name="__APW_RESTORE_DATA1805__">#REF!,#REF!,#REF!,#REF!,#REF!,#REF!,#REF!,#REF!,#REF!,#REF!,#REF!,#REF!,#REF!,#REF!,#REF!,#REF!</definedName>
    <definedName name="__APW_RESTORE_DATA1806__">#REF!,#REF!,#REF!,#REF!,#REF!,#REF!,#REF!,#REF!,#REF!,#REF!,#REF!,#REF!,#REF!,#REF!,#REF!,#REF!</definedName>
    <definedName name="__APW_RESTORE_DATA1807__">#REF!,#REF!,#REF!,#REF!,#REF!,#REF!,#REF!,#REF!,#REF!,#REF!,#REF!,#REF!,#REF!,#REF!,#REF!</definedName>
    <definedName name="__APW_RESTORE_DATA1808__">#REF!,#REF!,#REF!,#REF!,#REF!,#REF!,#REF!,#REF!,#REF!,#REF!,#REF!,#REF!,#REF!,#REF!,#REF!</definedName>
    <definedName name="__APW_RESTORE_DATA1809__">#REF!,#REF!,#REF!,#REF!,#REF!,#REF!,#REF!,#REF!,#REF!,#REF!,#REF!,#REF!,#REF!,#REF!,#REF!</definedName>
    <definedName name="__APW_RESTORE_DATA181__">#REF!,#REF!,#REF!,#REF!,#REF!,#REF!,#REF!,#REF!</definedName>
    <definedName name="__APW_RESTORE_DATA1810__">#REF!,#REF!,#REF!,#REF!,#REF!,#REF!,#REF!,#REF!,#REF!,#REF!,#REF!,#REF!,#REF!,#REF!,#REF!</definedName>
    <definedName name="__APW_RESTORE_DATA1811__">#REF!,#REF!,#REF!,#REF!,#REF!,#REF!,#REF!,#REF!,#REF!,#REF!,#REF!,#REF!,#REF!,#REF!,#REF!</definedName>
    <definedName name="__APW_RESTORE_DATA1812__">#REF!,#REF!,#REF!,#REF!,#REF!,#REF!,#REF!,#REF!,#REF!,#REF!,#REF!,#REF!,#REF!,#REF!,#REF!</definedName>
    <definedName name="__APW_RESTORE_DATA1813__">#REF!,#REF!,#REF!,#REF!,#REF!,#REF!,#REF!,#REF!,#REF!,#REF!,#REF!,#REF!,#REF!,#REF!,#REF!</definedName>
    <definedName name="__APW_RESTORE_DATA1814__">#REF!,#REF!,#REF!,#REF!,#REF!,#REF!,#REF!,#REF!,#REF!,#REF!,#REF!,#REF!,#REF!,#REF!,#REF!</definedName>
    <definedName name="__APW_RESTORE_DATA1815__">#REF!,#REF!,#REF!,#REF!,#REF!,#REF!,#REF!,#REF!,#REF!,#REF!,#REF!,#REF!,#REF!,#REF!,#REF!</definedName>
    <definedName name="__APW_RESTORE_DATA1816__">#REF!,#REF!,#REF!,#REF!,#REF!,#REF!,#REF!,#REF!,#REF!,#REF!,#REF!,#REF!,#REF!,#REF!,#REF!</definedName>
    <definedName name="__APW_RESTORE_DATA1817__">#REF!,#REF!,#REF!,#REF!,#REF!,#REF!,#REF!,#REF!,#REF!,#REF!,#REF!,#REF!,#REF!,#REF!,#REF!</definedName>
    <definedName name="__APW_RESTORE_DATA1818__">#REF!,#REF!,#REF!,#REF!,#REF!,#REF!,#REF!,#REF!,#REF!,#REF!,#REF!,#REF!,#REF!,#REF!,#REF!</definedName>
    <definedName name="__APW_RESTORE_DATA1819__">#REF!,#REF!,#REF!,#REF!,#REF!,#REF!,#REF!,#REF!,#REF!,#REF!,#REF!,#REF!,#REF!,#REF!,#REF!</definedName>
    <definedName name="__APW_RESTORE_DATA182__">#REF!,#REF!,#REF!,#REF!,#REF!,#REF!,#REF!,#REF!,#REF!,#REF!,#REF!,#REF!,#REF!,#REF!,#REF!,#REF!</definedName>
    <definedName name="__APW_RESTORE_DATA1820__">#REF!,#REF!,#REF!,#REF!,#REF!,#REF!,#REF!,#REF!,#REF!,#REF!,#REF!,#REF!,#REF!,#REF!,#REF!</definedName>
    <definedName name="__APW_RESTORE_DATA1821__">#REF!,#REF!,#REF!,#REF!,#REF!,#REF!,#REF!,#REF!,#REF!,#REF!,#REF!,#REF!,#REF!,#REF!,#REF!</definedName>
    <definedName name="__APW_RESTORE_DATA1822__">#REF!,#REF!,#REF!,#REF!,#REF!,#REF!,#REF!,#REF!,#REF!,#REF!,#REF!,#REF!,#REF!,#REF!,#REF!</definedName>
    <definedName name="__APW_RESTORE_DATA1823__">#REF!,#REF!,#REF!,#REF!,#REF!,#REF!,#REF!,#REF!,#REF!,#REF!,#REF!,#REF!,#REF!,#REF!,#REF!</definedName>
    <definedName name="__APW_RESTORE_DATA1824__">#REF!,#REF!,#REF!,#REF!,#REF!,#REF!,#REF!,#REF!,#REF!,#REF!,#REF!,#REF!,#REF!,#REF!,#REF!</definedName>
    <definedName name="__APW_RESTORE_DATA1825__">#REF!,#REF!,#REF!,#REF!,#REF!,#REF!,#REF!,#REF!,#REF!,#REF!,#REF!,#REF!,#REF!,#REF!,#REF!</definedName>
    <definedName name="__APW_RESTORE_DATA1826__">#REF!,#REF!,#REF!,#REF!,#REF!,#REF!,#REF!,#REF!,#REF!,#REF!,#REF!,#REF!,#REF!,#REF!,#REF!</definedName>
    <definedName name="__APW_RESTORE_DATA1827__">#REF!,#REF!,#REF!,#REF!,#REF!,#REF!,#REF!,#REF!,#REF!,#REF!,#REF!,#REF!,#REF!,#REF!,#REF!</definedName>
    <definedName name="__APW_RESTORE_DATA1828__">#REF!,#REF!,#REF!,#REF!,#REF!,#REF!,#REF!,#REF!,#REF!,#REF!,#REF!,#REF!,#REF!,#REF!,#REF!</definedName>
    <definedName name="__APW_RESTORE_DATA1829__">#REF!,#REF!,#REF!,#REF!,#REF!,#REF!,#REF!,#REF!,#REF!,#REF!,#REF!,#REF!,#REF!,#REF!,#REF!</definedName>
    <definedName name="__APW_RESTORE_DATA183__">#REF!,#REF!,#REF!,#REF!,#REF!,#REF!,#REF!,#REF!,#REF!,#REF!,#REF!,#REF!,#REF!,#REF!,#REF!,#REF!</definedName>
    <definedName name="__APW_RESTORE_DATA1830__">#REF!,#REF!,#REF!,#REF!,#REF!,#REF!,#REF!,#REF!,#REF!,#REF!,#REF!,#REF!,#REF!,#REF!,#REF!</definedName>
    <definedName name="__APW_RESTORE_DATA1831__">#REF!,#REF!,#REF!,#REF!,#REF!,#REF!,#REF!,#REF!,#REF!,#REF!,#REF!,#REF!,#REF!,#REF!,#REF!</definedName>
    <definedName name="__APW_RESTORE_DATA1832__">#REF!,#REF!,#REF!,#REF!,#REF!,#REF!,#REF!,#REF!,#REF!,#REF!,#REF!,#REF!,#REF!,#REF!,#REF!</definedName>
    <definedName name="__APW_RESTORE_DATA1833__">#REF!,#REF!,#REF!,#REF!,#REF!,#REF!,#REF!,#REF!,#REF!,#REF!,#REF!,#REF!,#REF!,#REF!,#REF!</definedName>
    <definedName name="__APW_RESTORE_DATA1834__">#REF!,#REF!,#REF!,#REF!,#REF!,#REF!,#REF!,#REF!,#REF!,#REF!,#REF!,#REF!,#REF!,#REF!,#REF!</definedName>
    <definedName name="__APW_RESTORE_DATA1835__">#REF!,#REF!,#REF!,#REF!,#REF!,#REF!</definedName>
    <definedName name="__APW_RESTORE_DATA1836__">#REF!,#REF!,#REF!,#REF!,#REF!,#REF!,#REF!,#REF!,#REF!,#REF!,#REF!,#REF!,#REF!,#REF!,#REF!,#REF!</definedName>
    <definedName name="__APW_RESTORE_DATA1837__">#REF!,#REF!,#REF!,#REF!,#REF!,#REF!,#REF!,#REF!,#REF!,#REF!,#REF!,#REF!,#REF!,#REF!,#REF!,#REF!</definedName>
    <definedName name="__APW_RESTORE_DATA1838__">#REF!,#REF!,#REF!,#REF!,#REF!,#REF!,#REF!,#REF!,#REF!,#REF!,#REF!,#REF!,#REF!,#REF!,#REF!,#REF!</definedName>
    <definedName name="__APW_RESTORE_DATA1839__">#REF!,#REF!,#REF!,#REF!,#REF!,#REF!,#REF!,#REF!,#REF!,#REF!,#REF!,#REF!,#REF!,#REF!,#REF!,#REF!</definedName>
    <definedName name="__APW_RESTORE_DATA184__">#REF!,#REF!,#REF!,#REF!,#REF!,#REF!,#REF!,#REF!,#REF!,#REF!,#REF!,#REF!,#REF!,#REF!,#REF!,#REF!</definedName>
    <definedName name="__APW_RESTORE_DATA1840__">#REF!,#REF!,#REF!,#REF!,#REF!,#REF!,#REF!,#REF!,#REF!,#REF!,#REF!,#REF!,#REF!,#REF!,#REF!,#REF!</definedName>
    <definedName name="__APW_RESTORE_DATA1841__">#REF!,#REF!,#REF!,#REF!,#REF!,#REF!,#REF!,#REF!,#REF!,#REF!,#REF!,#REF!,#REF!,#REF!,#REF!,#REF!</definedName>
    <definedName name="__APW_RESTORE_DATA1842__">#REF!,#REF!,#REF!,#REF!,#REF!,#REF!,#REF!,#REF!,#REF!,#REF!,#REF!,#REF!,#REF!,#REF!,#REF!</definedName>
    <definedName name="__APW_RESTORE_DATA1843__">#REF!,#REF!,#REF!,#REF!,#REF!,#REF!,#REF!,#REF!,#REF!,#REF!,#REF!,#REF!,#REF!,#REF!,#REF!</definedName>
    <definedName name="__APW_RESTORE_DATA1844__">#REF!,#REF!,#REF!,#REF!,#REF!,#REF!,#REF!,#REF!,#REF!,#REF!,#REF!,#REF!,#REF!,#REF!,#REF!</definedName>
    <definedName name="__APW_RESTORE_DATA1845__">#REF!,#REF!,#REF!,#REF!,#REF!,#REF!,#REF!,#REF!,#REF!,#REF!,#REF!,#REF!,#REF!,#REF!,#REF!</definedName>
    <definedName name="__APW_RESTORE_DATA1846__">#REF!,#REF!,#REF!,#REF!,#REF!,#REF!,#REF!,#REF!,#REF!,#REF!,#REF!,#REF!,#REF!,#REF!,#REF!</definedName>
    <definedName name="__APW_RESTORE_DATA1847__">#REF!,#REF!,#REF!,#REF!,#REF!,#REF!,#REF!,#REF!,#REF!,#REF!,#REF!,#REF!,#REF!,#REF!,#REF!</definedName>
    <definedName name="__APW_RESTORE_DATA1848__">#REF!,#REF!,#REF!,#REF!,#REF!,#REF!,#REF!,#REF!,#REF!,#REF!,#REF!,#REF!,#REF!,#REF!,#REF!</definedName>
    <definedName name="__APW_RESTORE_DATA1849__">#REF!,#REF!,#REF!,#REF!,#REF!,#REF!,#REF!,#REF!,#REF!,#REF!,#REF!,#REF!,#REF!,#REF!,#REF!</definedName>
    <definedName name="__APW_RESTORE_DATA185__">#REF!,#REF!,#REF!,#REF!,#REF!,#REF!,#REF!,#REF!,#REF!,#REF!,#REF!,#REF!,#REF!,#REF!,#REF!,#REF!</definedName>
    <definedName name="__APW_RESTORE_DATA1850__">#REF!,#REF!,#REF!,#REF!,#REF!,#REF!,#REF!,#REF!,#REF!,#REF!,#REF!,#REF!,#REF!,#REF!,#REF!</definedName>
    <definedName name="__APW_RESTORE_DATA1851__">#REF!,#REF!,#REF!,#REF!,#REF!,#REF!,#REF!,#REF!,#REF!,#REF!,#REF!,#REF!,#REF!,#REF!,#REF!</definedName>
    <definedName name="__APW_RESTORE_DATA1852__">#REF!,#REF!,#REF!,#REF!,#REF!,#REF!,#REF!,#REF!,#REF!,#REF!,#REF!,#REF!,#REF!,#REF!,#REF!</definedName>
    <definedName name="__APW_RESTORE_DATA1853__">#REF!,#REF!,#REF!,#REF!,#REF!,#REF!,#REF!,#REF!,#REF!,#REF!,#REF!,#REF!,#REF!,#REF!,#REF!</definedName>
    <definedName name="__APW_RESTORE_DATA1856__">#REF!,#REF!,#REF!,#REF!,#REF!,#REF!,#REF!,#REF!,#REF!,#REF!,#REF!,#REF!,#REF!,#REF!,#REF!</definedName>
    <definedName name="__APW_RESTORE_DATA1857__">#REF!,#REF!,#REF!,#REF!,#REF!,#REF!,#REF!,#REF!,#REF!,#REF!,#REF!,#REF!,#REF!,#REF!,#REF!</definedName>
    <definedName name="__APW_RESTORE_DATA1858__">#REF!,#REF!,#REF!,#REF!,#REF!,#REF!,#REF!,#REF!,#REF!,#REF!,#REF!,#REF!,#REF!,#REF!,#REF!</definedName>
    <definedName name="__APW_RESTORE_DATA1859__">#REF!,#REF!,#REF!,#REF!,#REF!,#REF!,#REF!,#REF!,#REF!,#REF!,#REF!,#REF!,#REF!,#REF!,#REF!</definedName>
    <definedName name="__APW_RESTORE_DATA186__">#REF!,#REF!,#REF!,#REF!,#REF!,#REF!,#REF!,#REF!,#REF!,#REF!,#REF!,#REF!,#REF!,#REF!,#REF!,#REF!</definedName>
    <definedName name="__APW_RESTORE_DATA1860__">#REF!,#REF!,#REF!,#REF!,#REF!,#REF!,#REF!,#REF!,#REF!,#REF!,#REF!,#REF!,#REF!,#REF!,#REF!</definedName>
    <definedName name="__APW_RESTORE_DATA1861__">#REF!,#REF!,#REF!,#REF!,#REF!,#REF!,#REF!,#REF!,#REF!,#REF!,#REF!,#REF!,#REF!,#REF!,#REF!</definedName>
    <definedName name="__APW_RESTORE_DATA1862__">#REF!,#REF!,#REF!,#REF!,#REF!,#REF!,#REF!,#REF!,#REF!,#REF!,#REF!,#REF!,#REF!,#REF!,#REF!</definedName>
    <definedName name="__APW_RESTORE_DATA1863__">#REF!,#REF!,#REF!,#REF!,#REF!,#REF!,#REF!,#REF!,#REF!,#REF!,#REF!,#REF!,#REF!,#REF!,#REF!</definedName>
    <definedName name="__APW_RESTORE_DATA1864__">#REF!,#REF!,#REF!,#REF!,#REF!,#REF!,#REF!,#REF!,#REF!,#REF!,#REF!,#REF!,#REF!,#REF!,#REF!</definedName>
    <definedName name="__APW_RESTORE_DATA1865__">#REF!,#REF!,#REF!,#REF!,#REF!,#REF!,#REF!,#REF!,#REF!,#REF!,#REF!,#REF!,#REF!,#REF!,#REF!</definedName>
    <definedName name="__APW_RESTORE_DATA1866__">#REF!,#REF!,#REF!,#REF!,#REF!,#REF!,#REF!,#REF!,#REF!,#REF!,#REF!,#REF!,#REF!,#REF!,#REF!</definedName>
    <definedName name="__APW_RESTORE_DATA1867__">#REF!,#REF!,#REF!,#REF!,#REF!,#REF!,#REF!,#REF!,#REF!,#REF!,#REF!,#REF!,#REF!,#REF!,#REF!</definedName>
    <definedName name="__APW_RESTORE_DATA1868__">#REF!,#REF!,#REF!,#REF!,#REF!,#REF!,#REF!,#REF!,#REF!,#REF!,#REF!,#REF!,#REF!,#REF!,#REF!</definedName>
    <definedName name="__APW_RESTORE_DATA1869__">#REF!,#REF!,#REF!,#REF!,#REF!,#REF!,#REF!,#REF!,#REF!,#REF!,#REF!,#REF!,#REF!,#REF!,#REF!</definedName>
    <definedName name="__APW_RESTORE_DATA187__">#REF!,#REF!,#REF!,#REF!,#REF!,#REF!,#REF!,#REF!,#REF!,#REF!,#REF!,#REF!,#REF!,#REF!,#REF!,#REF!</definedName>
    <definedName name="__APW_RESTORE_DATA1870__">#REF!,#REF!,#REF!,#REF!,#REF!,#REF!</definedName>
    <definedName name="__APW_RESTORE_DATA1871__">#REF!</definedName>
    <definedName name="__APW_RESTORE_DATA1872__">#REF!</definedName>
    <definedName name="__APW_RESTORE_DATA1874__">#REF!</definedName>
    <definedName name="__APW_RESTORE_DATA1875__">#REF!,#REF!,#REF!,#REF!,#REF!,#REF!,#REF!,#REF!,#REF!,#REF!,#REF!,#REF!,#REF!,#REF!,#REF!,#REF!</definedName>
    <definedName name="__APW_RESTORE_DATA1876__">#REF!,#REF!,#REF!,#REF!,#REF!,#REF!,#REF!,#REF!,#REF!,#REF!,#REF!,#REF!,#REF!,#REF!,#REF!,#REF!</definedName>
    <definedName name="__APW_RESTORE_DATA1877__">#REF!,#REF!,#REF!,#REF!,#REF!,#REF!,#REF!,#REF!,#REF!,#REF!,#REF!,#REF!,#REF!,#REF!,#REF!,#REF!</definedName>
    <definedName name="__APW_RESTORE_DATA1878__">#REF!,#REF!,#REF!,#REF!,#REF!,#REF!,#REF!,#REF!,#REF!,#REF!,#REF!,#REF!,#REF!,#REF!,#REF!,#REF!</definedName>
    <definedName name="__APW_RESTORE_DATA1879__">#REF!,#REF!,#REF!,#REF!,#REF!,#REF!,#REF!,#REF!,#REF!,#REF!,#REF!,#REF!,#REF!,#REF!,#REF!,#REF!</definedName>
    <definedName name="__APW_RESTORE_DATA188__">#REF!,#REF!,#REF!,#REF!,#REF!,#REF!,#REF!,#REF!,#REF!,#REF!,#REF!,#REF!,#REF!,#REF!,#REF!</definedName>
    <definedName name="__APW_RESTORE_DATA1880__">#REF!,#REF!,#REF!,#REF!,#REF!,#REF!,#REF!,#REF!,#REF!,#REF!,#REF!,#REF!,#REF!,#REF!,#REF!,#REF!</definedName>
    <definedName name="__APW_RESTORE_DATA1881__">#REF!,#REF!,#REF!,#REF!,#REF!,#REF!,#REF!,#REF!,#REF!,#REF!,#REF!,#REF!,#REF!,#REF!,#REF!</definedName>
    <definedName name="__APW_RESTORE_DATA1882__">#REF!,#REF!,#REF!,#REF!,#REF!,#REF!,#REF!,#REF!,#REF!,#REF!,#REF!,#REF!,#REF!,#REF!,#REF!</definedName>
    <definedName name="__APW_RESTORE_DATA1883__">#REF!,#REF!,#REF!,#REF!,#REF!,#REF!,#REF!,#REF!,#REF!,#REF!,#REF!,#REF!,#REF!,#REF!,#REF!</definedName>
    <definedName name="__APW_RESTORE_DATA1884__">#REF!,#REF!,#REF!,#REF!,#REF!,#REF!,#REF!,#REF!,#REF!,#REF!,#REF!,#REF!,#REF!,#REF!,#REF!</definedName>
    <definedName name="__APW_RESTORE_DATA1885__">#REF!,#REF!,#REF!,#REF!,#REF!,#REF!,#REF!,#REF!,#REF!,#REF!,#REF!,#REF!,#REF!,#REF!,#REF!</definedName>
    <definedName name="__APW_RESTORE_DATA1886__">#REF!,#REF!,#REF!,#REF!,#REF!,#REF!,#REF!,#REF!,#REF!,#REF!,#REF!,#REF!,#REF!,#REF!,#REF!</definedName>
    <definedName name="__APW_RESTORE_DATA1887__">#REF!,#REF!,#REF!,#REF!,#REF!,#REF!,#REF!,#REF!,#REF!,#REF!,#REF!,#REF!,#REF!,#REF!,#REF!</definedName>
    <definedName name="__APW_RESTORE_DATA1888__">#REF!,#REF!,#REF!,#REF!,#REF!,#REF!,#REF!,#REF!,#REF!,#REF!,#REF!,#REF!,#REF!,#REF!,#REF!</definedName>
    <definedName name="__APW_RESTORE_DATA1889__">#REF!,#REF!,#REF!,#REF!,#REF!,#REF!,#REF!,#REF!,#REF!,#REF!,#REF!,#REF!,#REF!,#REF!,#REF!</definedName>
    <definedName name="__APW_RESTORE_DATA189__">#REF!,#REF!,#REF!,#REF!,#REF!,#REF!,#REF!,#REF!,#REF!,#REF!,#REF!,#REF!,#REF!,#REF!,#REF!</definedName>
    <definedName name="__APW_RESTORE_DATA1890__">#REF!,#REF!,#REF!,#REF!,#REF!,#REF!,#REF!,#REF!,#REF!,#REF!,#REF!,#REF!,#REF!,#REF!,#REF!</definedName>
    <definedName name="__APW_RESTORE_DATA1891__">#REF!,#REF!,#REF!,#REF!,#REF!,#REF!,#REF!,#REF!,#REF!,#REF!,#REF!,#REF!,#REF!,#REF!,#REF!</definedName>
    <definedName name="__APW_RESTORE_DATA1892__">#REF!,#REF!,#REF!,#REF!,#REF!,#REF!,#REF!,#REF!,#REF!,#REF!,#REF!,#REF!,#REF!,#REF!,#REF!</definedName>
    <definedName name="__APW_RESTORE_DATA1893__">#REF!,#REF!,#REF!,#REF!,#REF!,#REF!,#REF!,#REF!,#REF!,#REF!,#REF!,#REF!,#REF!,#REF!,#REF!</definedName>
    <definedName name="__APW_RESTORE_DATA1894__">#REF!,#REF!,#REF!,#REF!,#REF!,#REF!,#REF!,#REF!,#REF!,#REF!,#REF!,#REF!,#REF!,#REF!,#REF!</definedName>
    <definedName name="__APW_RESTORE_DATA1895__">#REF!,#REF!,#REF!,#REF!,#REF!,#REF!,#REF!,#REF!,#REF!,#REF!,#REF!,#REF!,#REF!,#REF!,#REF!</definedName>
    <definedName name="__APW_RESTORE_DATA1896__">#REF!,#REF!,#REF!,#REF!,#REF!,#REF!,#REF!,#REF!,#REF!,#REF!,#REF!,#REF!,#REF!,#REF!,#REF!</definedName>
    <definedName name="__APW_RESTORE_DATA1897__">#REF!,#REF!,#REF!,#REF!,#REF!,#REF!,#REF!,#REF!,#REF!,#REF!,#REF!,#REF!,#REF!,#REF!,#REF!</definedName>
    <definedName name="__APW_RESTORE_DATA1898__">#REF!,#REF!,#REF!,#REF!,#REF!,#REF!,#REF!,#REF!,#REF!,#REF!,#REF!,#REF!,#REF!,#REF!,#REF!</definedName>
    <definedName name="__APW_RESTORE_DATA1899__">#REF!,#REF!,#REF!,#REF!,#REF!,#REF!,#REF!,#REF!,#REF!,#REF!,#REF!,#REF!,#REF!,#REF!,#REF!</definedName>
    <definedName name="__APW_RESTORE_DATA19__">#REF!,#REF!,#REF!,#REF!,#REF!,#REF!,#REF!,#REF!,#REF!,#REF!,#REF!,#REF!,#REF!,#REF!,#REF!</definedName>
    <definedName name="__APW_RESTORE_DATA190__">#REF!,#REF!,#REF!,#REF!,#REF!,#REF!,#REF!,#REF!,#REF!,#REF!,#REF!,#REF!,#REF!,#REF!,#REF!</definedName>
    <definedName name="__APW_RESTORE_DATA1900__">#REF!,#REF!,#REF!,#REF!,#REF!,#REF!,#REF!,#REF!,#REF!,#REF!,#REF!,#REF!,#REF!,#REF!,#REF!</definedName>
    <definedName name="__APW_RESTORE_DATA1901__">#REF!,#REF!,#REF!,#REF!,#REF!,#REF!,#REF!,#REF!,#REF!,#REF!,#REF!,#REF!,#REF!,#REF!,#REF!</definedName>
    <definedName name="__APW_RESTORE_DATA1902__">#REF!,#REF!,#REF!,#REF!,#REF!,#REF!,#REF!,#REF!,#REF!,#REF!,#REF!,#REF!,#REF!,#REF!,#REF!</definedName>
    <definedName name="__APW_RESTORE_DATA1903__">#REF!,#REF!,#REF!,#REF!,#REF!,#REF!,#REF!,#REF!,#REF!,#REF!,#REF!,#REF!,#REF!,#REF!,#REF!</definedName>
    <definedName name="__APW_RESTORE_DATA1904__">#REF!,#REF!,#REF!,#REF!,#REF!,#REF!,#REF!,#REF!,#REF!,#REF!,#REF!,#REF!,#REF!,#REF!,#REF!</definedName>
    <definedName name="__APW_RESTORE_DATA1905__">#REF!,#REF!,#REF!,#REF!,#REF!,#REF!,#REF!,#REF!,#REF!,#REF!,#REF!,#REF!,#REF!,#REF!,#REF!</definedName>
    <definedName name="__APW_RESTORE_DATA1906__">#REF!,#REF!,#REF!,#REF!,#REF!,#REF!,#REF!,#REF!,#REF!,#REF!,#REF!,#REF!,#REF!,#REF!,#REF!</definedName>
    <definedName name="__APW_RESTORE_DATA1907__">#REF!,#REF!,#REF!,#REF!,#REF!,#REF!,#REF!,#REF!,#REF!,#REF!,#REF!,#REF!,#REF!,#REF!,#REF!</definedName>
    <definedName name="__APW_RESTORE_DATA1908__">#REF!,#REF!,#REF!,#REF!,#REF!,#REF!,#REF!,#REF!,#REF!,#REF!,#REF!,#REF!,#REF!,#REF!,#REF!</definedName>
    <definedName name="__APW_RESTORE_DATA1909__">#REF!,#REF!,#REF!,#REF!,#REF!,#REF!</definedName>
    <definedName name="__APW_RESTORE_DATA191__">#REF!,#REF!,#REF!,#REF!,#REF!,#REF!,#REF!,#REF!,#REF!,#REF!,#REF!,#REF!,#REF!,#REF!,#REF!</definedName>
    <definedName name="__APW_RESTORE_DATA1910__">#REF!,#REF!,#REF!,#REF!,#REF!,#REF!,#REF!,#REF!,#REF!,#REF!,#REF!,#REF!,#REF!,#REF!,#REF!,#REF!</definedName>
    <definedName name="__APW_RESTORE_DATA1911__">#REF!,#REF!,#REF!,#REF!,#REF!,#REF!,#REF!,#REF!,#REF!,#REF!,#REF!,#REF!,#REF!,#REF!,#REF!,#REF!</definedName>
    <definedName name="__APW_RESTORE_DATA1912__">#REF!,#REF!,#REF!,#REF!,#REF!,#REF!,#REF!,#REF!,#REF!,#REF!,#REF!,#REF!,#REF!,#REF!,#REF!,#REF!</definedName>
    <definedName name="__APW_RESTORE_DATA1913__">#REF!,#REF!,#REF!,#REF!,#REF!,#REF!,#REF!,#REF!,#REF!,#REF!,#REF!,#REF!,#REF!,#REF!,#REF!,#REF!</definedName>
    <definedName name="__APW_RESTORE_DATA1914__">#REF!,#REF!,#REF!,#REF!,#REF!,#REF!,#REF!,#REF!,#REF!,#REF!,#REF!,#REF!,#REF!,#REF!,#REF!,#REF!</definedName>
    <definedName name="__APW_RESTORE_DATA1915__">#REF!,#REF!,#REF!,#REF!,#REF!,#REF!,#REF!,#REF!,#REF!,#REF!,#REF!,#REF!,#REF!,#REF!,#REF!,#REF!</definedName>
    <definedName name="__APW_RESTORE_DATA1916__">#REF!,#REF!,#REF!,#REF!,#REF!,#REF!,#REF!,#REF!,#REF!,#REF!,#REF!,#REF!,#REF!,#REF!,#REF!</definedName>
    <definedName name="__APW_RESTORE_DATA1917__">#REF!,#REF!,#REF!,#REF!,#REF!,#REF!,#REF!,#REF!,#REF!,#REF!,#REF!,#REF!,#REF!,#REF!,#REF!</definedName>
    <definedName name="__APW_RESTORE_DATA1918__">#REF!,#REF!,#REF!,#REF!,#REF!,#REF!,#REF!,#REF!,#REF!,#REF!,#REF!,#REF!,#REF!,#REF!,#REF!</definedName>
    <definedName name="__APW_RESTORE_DATA1919__">#REF!,#REF!,#REF!,#REF!,#REF!,#REF!,#REF!,#REF!,#REF!,#REF!,#REF!,#REF!,#REF!,#REF!,#REF!</definedName>
    <definedName name="__APW_RESTORE_DATA192__">#REF!,#REF!,#REF!,#REF!,#REF!,#REF!,#REF!,#REF!,#REF!,#REF!,#REF!,#REF!,#REF!,#REF!,#REF!</definedName>
    <definedName name="__APW_RESTORE_DATA1920__">#REF!,#REF!,#REF!,#REF!,#REF!,#REF!,#REF!,#REF!,#REF!,#REF!,#REF!,#REF!,#REF!,#REF!,#REF!</definedName>
    <definedName name="__APW_RESTORE_DATA1921__">#REF!,#REF!,#REF!,#REF!,#REF!,#REF!,#REF!,#REF!,#REF!,#REF!,#REF!,#REF!,#REF!,#REF!,#REF!</definedName>
    <definedName name="__APW_RESTORE_DATA1922__">#REF!,#REF!,#REF!,#REF!,#REF!,#REF!,#REF!,#REF!,#REF!,#REF!,#REF!,#REF!,#REF!,#REF!,#REF!</definedName>
    <definedName name="__APW_RESTORE_DATA1923__">#REF!,#REF!,#REF!,#REF!,#REF!,#REF!,#REF!,#REF!,#REF!,#REF!,#REF!,#REF!,#REF!,#REF!,#REF!</definedName>
    <definedName name="__APW_RESTORE_DATA1924__">#REF!,#REF!,#REF!,#REF!,#REF!,#REF!,#REF!,#REF!,#REF!,#REF!,#REF!,#REF!,#REF!,#REF!,#REF!</definedName>
    <definedName name="__APW_RESTORE_DATA1925__">#REF!,#REF!,#REF!,#REF!,#REF!,#REF!,#REF!,#REF!,#REF!,#REF!,#REF!,#REF!,#REF!,#REF!,#REF!</definedName>
    <definedName name="__APW_RESTORE_DATA1926__">#REF!,#REF!,#REF!,#REF!,#REF!,#REF!,#REF!,#REF!,#REF!,#REF!,#REF!,#REF!,#REF!,#REF!,#REF!</definedName>
    <definedName name="__APW_RESTORE_DATA1927__">#REF!,#REF!,#REF!,#REF!,#REF!,#REF!,#REF!,#REF!,#REF!,#REF!,#REF!,#REF!,#REF!,#REF!,#REF!</definedName>
    <definedName name="__APW_RESTORE_DATA1928__">#REF!,#REF!,#REF!,#REF!,#REF!,#REF!,#REF!,#REF!,#REF!,#REF!,#REF!,#REF!,#REF!,#REF!,#REF!</definedName>
    <definedName name="__APW_RESTORE_DATA1929__">#REF!,#REF!,#REF!,#REF!,#REF!,#REF!,#REF!,#REF!,#REF!,#REF!,#REF!,#REF!,#REF!,#REF!,#REF!</definedName>
    <definedName name="__APW_RESTORE_DATA193__">#REF!,#REF!</definedName>
    <definedName name="__APW_RESTORE_DATA1930__">#REF!,#REF!,#REF!,#REF!,#REF!,#REF!,#REF!,#REF!,#REF!,#REF!,#REF!,#REF!,#REF!,#REF!,#REF!</definedName>
    <definedName name="__APW_RESTORE_DATA1931__">#REF!,#REF!,#REF!,#REF!,#REF!,#REF!,#REF!,#REF!,#REF!,#REF!,#REF!,#REF!,#REF!,#REF!,#REF!</definedName>
    <definedName name="__APW_RESTORE_DATA1932__">#REF!,#REF!,#REF!,#REF!,#REF!,#REF!,#REF!,#REF!,#REF!,#REF!,#REF!,#REF!,#REF!,#REF!,#REF!</definedName>
    <definedName name="__APW_RESTORE_DATA1933__">#REF!,#REF!,#REF!,#REF!,#REF!,#REF!,#REF!,#REF!,#REF!,#REF!,#REF!,#REF!,#REF!,#REF!,#REF!</definedName>
    <definedName name="__APW_RESTORE_DATA1934__">#REF!,#REF!,#REF!,#REF!,#REF!,#REF!,#REF!,#REF!,#REF!,#REF!,#REF!,#REF!,#REF!,#REF!,#REF!</definedName>
    <definedName name="__APW_RESTORE_DATA1935__">#REF!,#REF!,#REF!,#REF!,#REF!,#REF!,#REF!,#REF!,#REF!,#REF!,#REF!,#REF!,#REF!,#REF!,#REF!</definedName>
    <definedName name="__APW_RESTORE_DATA1936__">#REF!,#REF!,#REF!,#REF!,#REF!,#REF!,#REF!,#REF!,#REF!,#REF!,#REF!,#REF!,#REF!,#REF!,#REF!</definedName>
    <definedName name="__APW_RESTORE_DATA1937__">#REF!,#REF!,#REF!,#REF!,#REF!,#REF!,#REF!,#REF!,#REF!,#REF!,#REF!,#REF!,#REF!,#REF!,#REF!</definedName>
    <definedName name="__APW_RESTORE_DATA1938__">#REF!,#REF!,#REF!,#REF!,#REF!,#REF!,#REF!,#REF!,#REF!,#REF!,#REF!,#REF!,#REF!,#REF!,#REF!</definedName>
    <definedName name="__APW_RESTORE_DATA1939__">#REF!,#REF!,#REF!,#REF!,#REF!,#REF!,#REF!,#REF!,#REF!,#REF!,#REF!,#REF!,#REF!,#REF!,#REF!</definedName>
    <definedName name="__APW_RESTORE_DATA194__">#REF!,#REF!</definedName>
    <definedName name="__APW_RESTORE_DATA1940__">#REF!,#REF!,#REF!,#REF!,#REF!,#REF!,#REF!,#REF!,#REF!,#REF!,#REF!,#REF!,#REF!,#REF!,#REF!</definedName>
    <definedName name="__APW_RESTORE_DATA1941__">#REF!,#REF!,#REF!,#REF!,#REF!,#REF!,#REF!,#REF!,#REF!,#REF!,#REF!,#REF!,#REF!,#REF!,#REF!</definedName>
    <definedName name="__APW_RESTORE_DATA1942__">#REF!,#REF!,#REF!,#REF!,#REF!,#REF!,#REF!,#REF!,#REF!,#REF!,#REF!,#REF!,#REF!,#REF!,#REF!</definedName>
    <definedName name="__APW_RESTORE_DATA1943__">#REF!,#REF!,#REF!,#REF!,#REF!,#REF!,#REF!,#REF!,#REF!,#REF!,#REF!,#REF!,#REF!,#REF!,#REF!</definedName>
    <definedName name="__APW_RESTORE_DATA1944__">#REF!,#REF!,#REF!,#REF!,#REF!,#REF!</definedName>
    <definedName name="__APW_RESTORE_DATA1945__">#REF!,#REF!,#REF!,#REF!,#REF!,#REF!,#REF!,#REF!,#REF!,#REF!,#REF!,#REF!,#REF!,#REF!,#REF!,#REF!</definedName>
    <definedName name="__APW_RESTORE_DATA1946__">#REF!,#REF!,#REF!,#REF!,#REF!,#REF!,#REF!,#REF!,#REF!,#REF!,#REF!,#REF!,#REF!,#REF!,#REF!,#REF!</definedName>
    <definedName name="__APW_RESTORE_DATA1947__">#REF!,#REF!,#REF!,#REF!,#REF!,#REF!,#REF!,#REF!,#REF!,#REF!,#REF!,#REF!,#REF!,#REF!,#REF!,#REF!</definedName>
    <definedName name="__APW_RESTORE_DATA1948__">#REF!,#REF!,#REF!,#REF!,#REF!,#REF!,#REF!,#REF!,#REF!,#REF!,#REF!,#REF!,#REF!,#REF!,#REF!,#REF!</definedName>
    <definedName name="__APW_RESTORE_DATA1949__">#REF!,#REF!,#REF!,#REF!,#REF!,#REF!,#REF!,#REF!,#REF!,#REF!,#REF!,#REF!,#REF!,#REF!,#REF!,#REF!</definedName>
    <definedName name="__APW_RESTORE_DATA195__">#REF!,#REF!,#REF!,#REF!,#REF!,#REF!,#REF!,#REF!,#REF!,#REF!,#REF!,#REF!,#REF!,#REF!,#REF!</definedName>
    <definedName name="__APW_RESTORE_DATA1950__">#REF!,#REF!,#REF!,#REF!,#REF!,#REF!,#REF!,#REF!,#REF!,#REF!,#REF!,#REF!,#REF!,#REF!,#REF!,#REF!</definedName>
    <definedName name="__APW_RESTORE_DATA1951__">#REF!,#REF!,#REF!,#REF!,#REF!,#REF!,#REF!,#REF!,#REF!,#REF!,#REF!,#REF!,#REF!,#REF!,#REF!</definedName>
    <definedName name="__APW_RESTORE_DATA1952__">#REF!,#REF!,#REF!,#REF!,#REF!,#REF!,#REF!,#REF!,#REF!,#REF!,#REF!,#REF!,#REF!,#REF!,#REF!</definedName>
    <definedName name="__APW_RESTORE_DATA1953__">#REF!,#REF!,#REF!,#REF!,#REF!,#REF!,#REF!,#REF!,#REF!,#REF!,#REF!,#REF!,#REF!,#REF!,#REF!</definedName>
    <definedName name="__APW_RESTORE_DATA1954__">#REF!,#REF!,#REF!,#REF!,#REF!,#REF!,#REF!,#REF!,#REF!,#REF!,#REF!,#REF!,#REF!,#REF!,#REF!</definedName>
    <definedName name="__APW_RESTORE_DATA1955__">#REF!,#REF!,#REF!,#REF!,#REF!,#REF!,#REF!,#REF!,#REF!,#REF!,#REF!,#REF!,#REF!,#REF!,#REF!</definedName>
    <definedName name="__APW_RESTORE_DATA1956__">#REF!,#REF!,#REF!,#REF!,#REF!,#REF!,#REF!,#REF!,#REF!,#REF!,#REF!,#REF!,#REF!,#REF!,#REF!</definedName>
    <definedName name="__APW_RESTORE_DATA1957__">#REF!,#REF!,#REF!,#REF!,#REF!,#REF!,#REF!,#REF!,#REF!,#REF!,#REF!,#REF!,#REF!,#REF!,#REF!</definedName>
    <definedName name="__APW_RESTORE_DATA1958__">#REF!,#REF!,#REF!,#REF!,#REF!,#REF!,#REF!,#REF!,#REF!,#REF!,#REF!,#REF!,#REF!,#REF!,#REF!</definedName>
    <definedName name="__APW_RESTORE_DATA1959__">#REF!,#REF!,#REF!,#REF!,#REF!,#REF!,#REF!,#REF!,#REF!,#REF!,#REF!,#REF!,#REF!,#REF!,#REF!</definedName>
    <definedName name="__APW_RESTORE_DATA196__">#REF!,#REF!,#REF!,#REF!,#REF!,#REF!,#REF!,#REF!,#REF!,#REF!,#REF!,#REF!,#REF!,#REF!,#REF!</definedName>
    <definedName name="__APW_RESTORE_DATA1960__">#REF!,#REF!,#REF!,#REF!,#REF!,#REF!,#REF!,#REF!,#REF!,#REF!,#REF!,#REF!,#REF!,#REF!,#REF!</definedName>
    <definedName name="__APW_RESTORE_DATA1961__">#REF!,#REF!,#REF!,#REF!,#REF!,#REF!,#REF!,#REF!,#REF!,#REF!,#REF!,#REF!,#REF!,#REF!,#REF!</definedName>
    <definedName name="__APW_RESTORE_DATA1962__">#REF!,#REF!,#REF!,#REF!,#REF!,#REF!,#REF!,#REF!,#REF!,#REF!,#REF!,#REF!,#REF!,#REF!,#REF!</definedName>
    <definedName name="__APW_RESTORE_DATA1963__">#REF!,#REF!,#REF!,#REF!,#REF!,#REF!,#REF!,#REF!,#REF!,#REF!,#REF!,#REF!,#REF!,#REF!,#REF!</definedName>
    <definedName name="__APW_RESTORE_DATA1964__">#REF!,#REF!,#REF!,#REF!,#REF!,#REF!,#REF!,#REF!,#REF!,#REF!,#REF!,#REF!,#REF!,#REF!,#REF!</definedName>
    <definedName name="__APW_RESTORE_DATA1965__">#REF!,#REF!,#REF!,#REF!,#REF!,#REF!,#REF!,#REF!,#REF!,#REF!,#REF!,#REF!,#REF!,#REF!,#REF!</definedName>
    <definedName name="__APW_RESTORE_DATA1966__">#REF!,#REF!,#REF!,#REF!,#REF!,#REF!,#REF!,#REF!,#REF!,#REF!,#REF!,#REF!,#REF!,#REF!,#REF!</definedName>
    <definedName name="__APW_RESTORE_DATA1967__">#REF!,#REF!,#REF!,#REF!,#REF!,#REF!,#REF!,#REF!,#REF!,#REF!,#REF!,#REF!,#REF!,#REF!,#REF!</definedName>
    <definedName name="__APW_RESTORE_DATA1968__">#REF!,#REF!,#REF!,#REF!,#REF!,#REF!,#REF!,#REF!,#REF!,#REF!,#REF!,#REF!,#REF!,#REF!,#REF!</definedName>
    <definedName name="__APW_RESTORE_DATA1969__">#REF!,#REF!,#REF!,#REF!,#REF!,#REF!,#REF!,#REF!,#REF!,#REF!,#REF!,#REF!,#REF!,#REF!,#REF!</definedName>
    <definedName name="__APW_RESTORE_DATA197__">#REF!,#REF!,#REF!,#REF!,#REF!,#REF!,#REF!,#REF!,#REF!,#REF!,#REF!,#REF!,#REF!,#REF!,#REF!</definedName>
    <definedName name="__APW_RESTORE_DATA1970__">#REF!,#REF!,#REF!,#REF!,#REF!,#REF!,#REF!,#REF!,#REF!,#REF!,#REF!,#REF!,#REF!,#REF!,#REF!</definedName>
    <definedName name="__APW_RESTORE_DATA1971__">#REF!,#REF!,#REF!,#REF!,#REF!,#REF!,#REF!,#REF!,#REF!,#REF!,#REF!,#REF!,#REF!,#REF!,#REF!</definedName>
    <definedName name="__APW_RESTORE_DATA1972__">#REF!,#REF!,#REF!,#REF!,#REF!,#REF!,#REF!,#REF!,#REF!,#REF!,#REF!,#REF!,#REF!,#REF!,#REF!</definedName>
    <definedName name="__APW_RESTORE_DATA1973__">#REF!,#REF!,#REF!,#REF!,#REF!,#REF!,#REF!,#REF!,#REF!,#REF!,#REF!,#REF!,#REF!,#REF!,#REF!</definedName>
    <definedName name="__APW_RESTORE_DATA1974__">#REF!,#REF!,#REF!,#REF!,#REF!,#REF!,#REF!,#REF!,#REF!,#REF!,#REF!,#REF!,#REF!,#REF!,#REF!</definedName>
    <definedName name="__APW_RESTORE_DATA1975__">#REF!,#REF!,#REF!,#REF!,#REF!,#REF!,#REF!,#REF!,#REF!,#REF!,#REF!,#REF!,#REF!,#REF!,#REF!</definedName>
    <definedName name="__APW_RESTORE_DATA1976__">#REF!,#REF!,#REF!,#REF!,#REF!,#REF!,#REF!,#REF!,#REF!,#REF!,#REF!,#REF!,#REF!,#REF!,#REF!</definedName>
    <definedName name="__APW_RESTORE_DATA1977__">#REF!,#REF!,#REF!,#REF!,#REF!,#REF!,#REF!,#REF!,#REF!,#REF!,#REF!,#REF!,#REF!,#REF!,#REF!</definedName>
    <definedName name="__APW_RESTORE_DATA1978__">#REF!,#REF!,#REF!,#REF!,#REF!,#REF!,#REF!,#REF!,#REF!,#REF!,#REF!,#REF!,#REF!,#REF!,#REF!</definedName>
    <definedName name="__APW_RESTORE_DATA1979__">#REF!,#REF!,#REF!,#REF!,#REF!,#REF!</definedName>
    <definedName name="__APW_RESTORE_DATA198__">#REF!,#REF!,#REF!,#REF!,#REF!,#REF!,#REF!,#REF!,#REF!,#REF!,#REF!,#REF!,#REF!,#REF!,#REF!</definedName>
    <definedName name="__APW_RESTORE_DATA1980__">#REF!,#REF!,#REF!,#REF!,#REF!,#REF!,#REF!,#REF!,#REF!,#REF!,#REF!,#REF!,#REF!,#REF!,#REF!,#REF!</definedName>
    <definedName name="__APW_RESTORE_DATA1981__">#REF!,#REF!,#REF!,#REF!,#REF!,#REF!,#REF!,#REF!,#REF!,#REF!,#REF!,#REF!,#REF!,#REF!,#REF!,#REF!</definedName>
    <definedName name="__APW_RESTORE_DATA1982__">#REF!,#REF!,#REF!,#REF!,#REF!,#REF!,#REF!,#REF!,#REF!,#REF!,#REF!,#REF!,#REF!,#REF!,#REF!,#REF!</definedName>
    <definedName name="__APW_RESTORE_DATA1983__">#REF!,#REF!,#REF!,#REF!,#REF!,#REF!,#REF!,#REF!,#REF!,#REF!,#REF!,#REF!,#REF!,#REF!,#REF!,#REF!</definedName>
    <definedName name="__APW_RESTORE_DATA1984__">#REF!,#REF!,#REF!,#REF!,#REF!,#REF!,#REF!,#REF!,#REF!,#REF!,#REF!,#REF!,#REF!,#REF!,#REF!,#REF!</definedName>
    <definedName name="__APW_RESTORE_DATA1985__">#REF!,#REF!,#REF!,#REF!,#REF!,#REF!,#REF!,#REF!,#REF!,#REF!,#REF!,#REF!,#REF!,#REF!,#REF!,#REF!</definedName>
    <definedName name="__APW_RESTORE_DATA1986__">#REF!,#REF!,#REF!,#REF!,#REF!,#REF!,#REF!,#REF!,#REF!,#REF!,#REF!,#REF!,#REF!,#REF!,#REF!</definedName>
    <definedName name="__APW_RESTORE_DATA1987__">#REF!,#REF!,#REF!,#REF!,#REF!,#REF!,#REF!,#REF!,#REF!,#REF!,#REF!,#REF!,#REF!,#REF!,#REF!</definedName>
    <definedName name="__APW_RESTORE_DATA1988__">#REF!,#REF!,#REF!,#REF!,#REF!,#REF!,#REF!,#REF!,#REF!,#REF!,#REF!,#REF!,#REF!,#REF!,#REF!</definedName>
    <definedName name="__APW_RESTORE_DATA1989__">#REF!,#REF!,#REF!,#REF!,#REF!,#REF!,#REF!,#REF!,#REF!,#REF!,#REF!,#REF!,#REF!,#REF!,#REF!</definedName>
    <definedName name="__APW_RESTORE_DATA199__">#REF!,#REF!,#REF!,#REF!,#REF!,#REF!,#REF!,#REF!,#REF!,#REF!,#REF!,#REF!,#REF!,#REF!,#REF!</definedName>
    <definedName name="__APW_RESTORE_DATA1990__">#REF!,#REF!,#REF!,#REF!,#REF!,#REF!,#REF!,#REF!,#REF!,#REF!,#REF!,#REF!,#REF!,#REF!,#REF!</definedName>
    <definedName name="__APW_RESTORE_DATA1991__">#REF!,#REF!,#REF!,#REF!,#REF!,#REF!,#REF!,#REF!,#REF!,#REF!,#REF!,#REF!,#REF!,#REF!,#REF!</definedName>
    <definedName name="__APW_RESTORE_DATA1992__">#REF!,#REF!,#REF!,#REF!,#REF!,#REF!,#REF!,#REF!,#REF!,#REF!,#REF!,#REF!,#REF!,#REF!,#REF!</definedName>
    <definedName name="__APW_RESTORE_DATA1993__">#REF!,#REF!,#REF!,#REF!,#REF!,#REF!,#REF!,#REF!,#REF!,#REF!,#REF!,#REF!,#REF!,#REF!,#REF!</definedName>
    <definedName name="__APW_RESTORE_DATA1994__">#REF!,#REF!,#REF!,#REF!,#REF!,#REF!,#REF!,#REF!,#REF!,#REF!,#REF!,#REF!,#REF!,#REF!,#REF!</definedName>
    <definedName name="__APW_RESTORE_DATA1995__">#REF!,#REF!,#REF!,#REF!,#REF!,#REF!,#REF!,#REF!,#REF!,#REF!,#REF!,#REF!,#REF!,#REF!,#REF!</definedName>
    <definedName name="__APW_RESTORE_DATA1996__">#REF!,#REF!,#REF!,#REF!,#REF!,#REF!,#REF!,#REF!,#REF!,#REF!,#REF!,#REF!,#REF!,#REF!,#REF!</definedName>
    <definedName name="__APW_RESTORE_DATA1997__">#REF!,#REF!,#REF!,#REF!,#REF!,#REF!,#REF!,#REF!,#REF!,#REF!,#REF!,#REF!,#REF!,#REF!,#REF!</definedName>
    <definedName name="__APW_RESTORE_DATA1998__">#REF!,#REF!,#REF!,#REF!,#REF!,#REF!,#REF!,#REF!,#REF!,#REF!,#REF!,#REF!,#REF!,#REF!,#REF!</definedName>
    <definedName name="__APW_RESTORE_DATA1999__">#REF!,#REF!,#REF!,#REF!,#REF!,#REF!,#REF!,#REF!,#REF!,#REF!,#REF!,#REF!,#REF!,#REF!,#REF!</definedName>
    <definedName name="__APW_RESTORE_DATA2__">#REF!</definedName>
    <definedName name="__APW_RESTORE_DATA20__">#REF!</definedName>
    <definedName name="__APW_RESTORE_DATA200__">#REF!,#REF!,#REF!,#REF!,#REF!,#REF!,#REF!,#REF!,#REF!,#REF!,#REF!,#REF!,#REF!,#REF!,#REF!</definedName>
    <definedName name="__APW_RESTORE_DATA2000__">#REF!,#REF!,#REF!,#REF!,#REF!,#REF!,#REF!,#REF!,#REF!,#REF!,#REF!,#REF!,#REF!,#REF!,#REF!</definedName>
    <definedName name="__APW_RESTORE_DATA2001__">#REF!,#REF!,#REF!,#REF!,#REF!,#REF!,#REF!,#REF!,#REF!,#REF!,#REF!,#REF!,#REF!,#REF!,#REF!</definedName>
    <definedName name="__APW_RESTORE_DATA2002__">#REF!,#REF!,#REF!,#REF!,#REF!,#REF!,#REF!,#REF!,#REF!,#REF!,#REF!,#REF!,#REF!,#REF!,#REF!</definedName>
    <definedName name="__APW_RESTORE_DATA2003__">#REF!,#REF!,#REF!,#REF!,#REF!,#REF!,#REF!,#REF!,#REF!,#REF!,#REF!,#REF!,#REF!,#REF!,#REF!</definedName>
    <definedName name="__APW_RESTORE_DATA2004__">#REF!,#REF!,#REF!,#REF!,#REF!,#REF!,#REF!,#REF!,#REF!,#REF!,#REF!,#REF!,#REF!,#REF!,#REF!</definedName>
    <definedName name="__APW_RESTORE_DATA2005__">#REF!,#REF!,#REF!,#REF!,#REF!,#REF!,#REF!,#REF!,#REF!,#REF!,#REF!,#REF!,#REF!,#REF!,#REF!</definedName>
    <definedName name="__APW_RESTORE_DATA2006__">#REF!,#REF!,#REF!,#REF!,#REF!,#REF!,#REF!,#REF!,#REF!,#REF!,#REF!,#REF!,#REF!,#REF!,#REF!</definedName>
    <definedName name="__APW_RESTORE_DATA2007__">#REF!,#REF!,#REF!,#REF!,#REF!,#REF!,#REF!,#REF!,#REF!,#REF!,#REF!,#REF!,#REF!,#REF!,#REF!</definedName>
    <definedName name="__APW_RESTORE_DATA2008__">#REF!,#REF!,#REF!,#REF!,#REF!,#REF!,#REF!,#REF!,#REF!,#REF!,#REF!,#REF!,#REF!,#REF!,#REF!</definedName>
    <definedName name="__APW_RESTORE_DATA2009__">#REF!,#REF!,#REF!,#REF!,#REF!,#REF!,#REF!,#REF!,#REF!,#REF!,#REF!,#REF!,#REF!,#REF!,#REF!</definedName>
    <definedName name="__APW_RESTORE_DATA201__">#REF!,#REF!,#REF!,#REF!,#REF!,#REF!,#REF!,#REF!,#REF!,#REF!,#REF!,#REF!,#REF!,#REF!,#REF!</definedName>
    <definedName name="__APW_RESTORE_DATA2010__">#REF!,#REF!,#REF!,#REF!,#REF!,#REF!,#REF!,#REF!,#REF!,#REF!,#REF!,#REF!,#REF!,#REF!,#REF!</definedName>
    <definedName name="__APW_RESTORE_DATA2011__">#REF!,#REF!,#REF!,#REF!,#REF!,#REF!,#REF!,#REF!,#REF!,#REF!,#REF!,#REF!,#REF!,#REF!,#REF!</definedName>
    <definedName name="__APW_RESTORE_DATA2012__">#REF!,#REF!,#REF!,#REF!,#REF!,#REF!,#REF!,#REF!,#REF!,#REF!,#REF!,#REF!,#REF!,#REF!,#REF!</definedName>
    <definedName name="__APW_RESTORE_DATA2013__">#REF!,#REF!,#REF!,#REF!,#REF!,#REF!,#REF!,#REF!,#REF!,#REF!,#REF!,#REF!,#REF!,#REF!,#REF!</definedName>
    <definedName name="__APW_RESTORE_DATA2014__">#REF!,#REF!,#REF!,#REF!,#REF!,#REF!</definedName>
    <definedName name="__APW_RESTORE_DATA2015__">#REF!</definedName>
    <definedName name="__APW_RESTORE_DATA2016__">#REF!</definedName>
    <definedName name="__APW_RESTORE_DATA2017__">#REF!</definedName>
    <definedName name="__APW_RESTORE_DATA2019__">#REF!</definedName>
    <definedName name="__APW_RESTORE_DATA202__">#REF!,#REF!,#REF!,#REF!,#REF!,#REF!,#REF!,#REF!,#REF!,#REF!,#REF!,#REF!,#REF!,#REF!,#REF!</definedName>
    <definedName name="__APW_RESTORE_DATA2020__">#REF!,#REF!,#REF!,#REF!,#REF!,#REF!,#REF!,#REF!,#REF!,#REF!,#REF!,#REF!,#REF!,#REF!,#REF!,#REF!</definedName>
    <definedName name="__APW_RESTORE_DATA2021__">#REF!,#REF!,#REF!,#REF!,#REF!,#REF!,#REF!,#REF!,#REF!,#REF!,#REF!,#REF!,#REF!,#REF!,#REF!,#REF!</definedName>
    <definedName name="__APW_RESTORE_DATA2022__">#REF!,#REF!,#REF!,#REF!,#REF!,#REF!,#REF!,#REF!,#REF!,#REF!,#REF!,#REF!,#REF!,#REF!,#REF!,#REF!</definedName>
    <definedName name="__APW_RESTORE_DATA2023__">#REF!,#REF!,#REF!,#REF!,#REF!,#REF!,#REF!,#REF!,#REF!,#REF!,#REF!,#REF!,#REF!,#REF!,#REF!,#REF!</definedName>
    <definedName name="__APW_RESTORE_DATA2024__">#REF!,#REF!,#REF!,#REF!,#REF!,#REF!,#REF!,#REF!,#REF!,#REF!,#REF!,#REF!,#REF!,#REF!,#REF!,#REF!</definedName>
    <definedName name="__APW_RESTORE_DATA2025__">#REF!,#REF!,#REF!,#REF!,#REF!,#REF!,#REF!,#REF!,#REF!,#REF!,#REF!,#REF!,#REF!,#REF!,#REF!,#REF!</definedName>
    <definedName name="__APW_RESTORE_DATA2026__">#REF!,#REF!,#REF!,#REF!,#REF!,#REF!,#REF!,#REF!,#REF!,#REF!,#REF!,#REF!,#REF!,#REF!,#REF!</definedName>
    <definedName name="__APW_RESTORE_DATA2027__">#REF!,#REF!,#REF!,#REF!,#REF!,#REF!,#REF!,#REF!,#REF!,#REF!,#REF!,#REF!,#REF!,#REF!,#REF!</definedName>
    <definedName name="__APW_RESTORE_DATA2028__">#REF!,#REF!,#REF!,#REF!,#REF!,#REF!,#REF!,#REF!,#REF!,#REF!,#REF!,#REF!,#REF!,#REF!,#REF!</definedName>
    <definedName name="__APW_RESTORE_DATA2029__">#REF!,#REF!,#REF!,#REF!,#REF!,#REF!,#REF!,#REF!,#REF!,#REF!,#REF!,#REF!,#REF!,#REF!,#REF!</definedName>
    <definedName name="__APW_RESTORE_DATA203__">#REF!,#REF!,#REF!,#REF!,#REF!,#REF!,#REF!,#REF!,#REF!,#REF!,#REF!,#REF!,#REF!,#REF!,#REF!</definedName>
    <definedName name="__APW_RESTORE_DATA2030__">#REF!,#REF!,#REF!,#REF!,#REF!,#REF!,#REF!,#REF!,#REF!,#REF!,#REF!,#REF!,#REF!,#REF!,#REF!</definedName>
    <definedName name="__APW_RESTORE_DATA2031__">#REF!,#REF!,#REF!,#REF!,#REF!,#REF!,#REF!,#REF!,#REF!,#REF!,#REF!,#REF!,#REF!,#REF!,#REF!</definedName>
    <definedName name="__APW_RESTORE_DATA2032__">#REF!,#REF!,#REF!,#REF!,#REF!,#REF!,#REF!,#REF!,#REF!,#REF!,#REF!,#REF!,#REF!,#REF!,#REF!</definedName>
    <definedName name="__APW_RESTORE_DATA2033__">#REF!,#REF!,#REF!,#REF!,#REF!,#REF!,#REF!,#REF!,#REF!,#REF!,#REF!,#REF!,#REF!,#REF!,#REF!</definedName>
    <definedName name="__APW_RESTORE_DATA2034__">#REF!,#REF!,#REF!,#REF!,#REF!,#REF!,#REF!,#REF!,#REF!,#REF!,#REF!,#REF!,#REF!,#REF!,#REF!</definedName>
    <definedName name="__APW_RESTORE_DATA2035__">#REF!,#REF!,#REF!,#REF!,#REF!,#REF!,#REF!,#REF!,#REF!,#REF!,#REF!,#REF!,#REF!,#REF!,#REF!</definedName>
    <definedName name="__APW_RESTORE_DATA2036__">#REF!,#REF!,#REF!,#REF!,#REF!,#REF!,#REF!,#REF!,#REF!,#REF!,#REF!,#REF!,#REF!,#REF!,#REF!</definedName>
    <definedName name="__APW_RESTORE_DATA2037__">#REF!,#REF!,#REF!,#REF!,#REF!,#REF!,#REF!,#REF!,#REF!,#REF!,#REF!,#REF!,#REF!,#REF!,#REF!</definedName>
    <definedName name="__APW_RESTORE_DATA2038__">#REF!,#REF!,#REF!,#REF!,#REF!,#REF!,#REF!,#REF!,#REF!,#REF!,#REF!,#REF!,#REF!,#REF!,#REF!</definedName>
    <definedName name="__APW_RESTORE_DATA2039__">#REF!,#REF!,#REF!,#REF!,#REF!,#REF!,#REF!,#REF!,#REF!,#REF!,#REF!,#REF!,#REF!,#REF!,#REF!</definedName>
    <definedName name="__APW_RESTORE_DATA204__">#REF!,#REF!,#REF!,#REF!,#REF!,#REF!,#REF!,#REF!,#REF!,#REF!,#REF!,#REF!,#REF!,#REF!,#REF!</definedName>
    <definedName name="__APW_RESTORE_DATA2040__">#REF!,#REF!,#REF!,#REF!,#REF!,#REF!,#REF!,#REF!,#REF!,#REF!,#REF!,#REF!,#REF!,#REF!,#REF!</definedName>
    <definedName name="__APW_RESTORE_DATA2041__">#REF!,#REF!,#REF!,#REF!,#REF!,#REF!,#REF!,#REF!,#REF!,#REF!,#REF!,#REF!,#REF!,#REF!,#REF!</definedName>
    <definedName name="__APW_RESTORE_DATA2042__">#REF!,#REF!,#REF!,#REF!,#REF!,#REF!,#REF!,#REF!,#REF!,#REF!,#REF!,#REF!,#REF!,#REF!,#REF!</definedName>
    <definedName name="__APW_RESTORE_DATA2043__">#REF!,#REF!,#REF!,#REF!,#REF!,#REF!,#REF!,#REF!,#REF!,#REF!,#REF!,#REF!,#REF!,#REF!,#REF!</definedName>
    <definedName name="__APW_RESTORE_DATA2044__">#REF!,#REF!,#REF!,#REF!,#REF!,#REF!,#REF!,#REF!,#REF!,#REF!,#REF!,#REF!,#REF!,#REF!,#REF!</definedName>
    <definedName name="__APW_RESTORE_DATA2045__">#REF!,#REF!,#REF!,#REF!,#REF!,#REF!,#REF!,#REF!,#REF!,#REF!,#REF!,#REF!,#REF!,#REF!,#REF!</definedName>
    <definedName name="__APW_RESTORE_DATA2046__">#REF!,#REF!,#REF!,#REF!,#REF!,#REF!,#REF!,#REF!,#REF!,#REF!,#REF!,#REF!,#REF!,#REF!,#REF!</definedName>
    <definedName name="__APW_RESTORE_DATA2047__">#REF!,#REF!,#REF!,#REF!,#REF!,#REF!,#REF!,#REF!,#REF!,#REF!,#REF!,#REF!,#REF!,#REF!,#REF!</definedName>
    <definedName name="__APW_RESTORE_DATA2048__">#REF!,#REF!,#REF!,#REF!,#REF!,#REF!,#REF!,#REF!,#REF!,#REF!,#REF!,#REF!,#REF!,#REF!,#REF!</definedName>
    <definedName name="__APW_RESTORE_DATA2049__">#REF!,#REF!,#REF!,#REF!,#REF!,#REF!,#REF!,#REF!,#REF!,#REF!,#REF!,#REF!,#REF!,#REF!,#REF!</definedName>
    <definedName name="__APW_RESTORE_DATA205__">#REF!,#REF!,#REF!,#REF!,#REF!,#REF!,#REF!,#REF!,#REF!,#REF!,#REF!,#REF!,#REF!,#REF!,#REF!</definedName>
    <definedName name="__APW_RESTORE_DATA2050__">#REF!,#REF!,#REF!,#REF!,#REF!,#REF!,#REF!,#REF!,#REF!,#REF!,#REF!,#REF!,#REF!,#REF!,#REF!</definedName>
    <definedName name="__APW_RESTORE_DATA2051__">#REF!,#REF!,#REF!,#REF!,#REF!,#REF!,#REF!,#REF!,#REF!,#REF!,#REF!,#REF!,#REF!,#REF!,#REF!</definedName>
    <definedName name="__APW_RESTORE_DATA2052__">#REF!,#REF!,#REF!,#REF!,#REF!,#REF!,#REF!,#REF!,#REF!,#REF!,#REF!,#REF!,#REF!,#REF!,#REF!</definedName>
    <definedName name="__APW_RESTORE_DATA2053__">#REF!,#REF!,#REF!,#REF!,#REF!,#REF!,#REF!,#REF!,#REF!,#REF!,#REF!,#REF!,#REF!,#REF!,#REF!</definedName>
    <definedName name="__APW_RESTORE_DATA2054__">#REF!,#REF!,#REF!,#REF!,#REF!,#REF!</definedName>
    <definedName name="__APW_RESTORE_DATA2055__">#REF!,#REF!,#REF!,#REF!,#REF!,#REF!,#REF!,#REF!,#REF!,#REF!,#REF!,#REF!,#REF!,#REF!,#REF!,#REF!</definedName>
    <definedName name="__APW_RESTORE_DATA2056__">#REF!,#REF!,#REF!,#REF!,#REF!,#REF!,#REF!,#REF!,#REF!,#REF!,#REF!,#REF!,#REF!,#REF!,#REF!,#REF!</definedName>
    <definedName name="__APW_RESTORE_DATA2057__">#REF!,#REF!,#REF!,#REF!,#REF!,#REF!,#REF!,#REF!,#REF!,#REF!,#REF!,#REF!,#REF!,#REF!,#REF!,#REF!</definedName>
    <definedName name="__APW_RESTORE_DATA2058__">#REF!,#REF!,#REF!,#REF!,#REF!,#REF!,#REF!,#REF!,#REF!,#REF!,#REF!,#REF!,#REF!,#REF!,#REF!,#REF!</definedName>
    <definedName name="__APW_RESTORE_DATA2059__">#REF!,#REF!,#REF!,#REF!,#REF!,#REF!,#REF!,#REF!,#REF!,#REF!,#REF!,#REF!,#REF!,#REF!,#REF!,#REF!</definedName>
    <definedName name="__APW_RESTORE_DATA206__">#REF!,#REF!,#REF!,#REF!,#REF!,#REF!,#REF!,#REF!,#REF!,#REF!,#REF!,#REF!,#REF!,#REF!,#REF!</definedName>
    <definedName name="__APW_RESTORE_DATA2060__">#REF!,#REF!,#REF!,#REF!,#REF!,#REF!,#REF!,#REF!,#REF!,#REF!,#REF!,#REF!,#REF!,#REF!,#REF!,#REF!</definedName>
    <definedName name="__APW_RESTORE_DATA2061__">#REF!,#REF!,#REF!,#REF!,#REF!,#REF!,#REF!,#REF!,#REF!,#REF!,#REF!,#REF!,#REF!,#REF!,#REF!</definedName>
    <definedName name="__APW_RESTORE_DATA2062__">#REF!,#REF!,#REF!,#REF!,#REF!,#REF!,#REF!,#REF!,#REF!,#REF!,#REF!,#REF!,#REF!,#REF!,#REF!</definedName>
    <definedName name="__APW_RESTORE_DATA2063__">#REF!,#REF!,#REF!,#REF!,#REF!,#REF!,#REF!,#REF!,#REF!,#REF!,#REF!,#REF!,#REF!,#REF!,#REF!</definedName>
    <definedName name="__APW_RESTORE_DATA2064__">#REF!,#REF!,#REF!,#REF!,#REF!,#REF!,#REF!,#REF!,#REF!,#REF!,#REF!,#REF!,#REF!,#REF!,#REF!</definedName>
    <definedName name="__APW_RESTORE_DATA2065__">#REF!,#REF!,#REF!,#REF!,#REF!,#REF!,#REF!,#REF!,#REF!,#REF!,#REF!,#REF!,#REF!,#REF!,#REF!</definedName>
    <definedName name="__APW_RESTORE_DATA2066__">#REF!,#REF!,#REF!,#REF!,#REF!,#REF!,#REF!,#REF!,#REF!,#REF!,#REF!,#REF!,#REF!,#REF!,#REF!</definedName>
    <definedName name="__APW_RESTORE_DATA2067__">#REF!,#REF!,#REF!,#REF!,#REF!,#REF!,#REF!,#REF!,#REF!,#REF!,#REF!,#REF!,#REF!,#REF!,#REF!</definedName>
    <definedName name="__APW_RESTORE_DATA2068__">#REF!,#REF!,#REF!,#REF!,#REF!,#REF!,#REF!,#REF!,#REF!,#REF!,#REF!,#REF!,#REF!,#REF!,#REF!</definedName>
    <definedName name="__APW_RESTORE_DATA2069__">#REF!,#REF!,#REF!,#REF!,#REF!,#REF!,#REF!,#REF!,#REF!,#REF!,#REF!,#REF!,#REF!,#REF!,#REF!</definedName>
    <definedName name="__APW_RESTORE_DATA207__">#REF!,#REF!</definedName>
    <definedName name="__APW_RESTORE_DATA2070__">#REF!,#REF!,#REF!,#REF!,#REF!,#REF!,#REF!,#REF!,#REF!,#REF!,#REF!,#REF!,#REF!,#REF!,#REF!</definedName>
    <definedName name="__APW_RESTORE_DATA2071__">#REF!,#REF!,#REF!,#REF!,#REF!,#REF!,#REF!,#REF!,#REF!,#REF!,#REF!,#REF!,#REF!,#REF!,#REF!</definedName>
    <definedName name="__APW_RESTORE_DATA2072__">#REF!,#REF!,#REF!,#REF!,#REF!,#REF!,#REF!,#REF!,#REF!,#REF!,#REF!,#REF!,#REF!,#REF!,#REF!</definedName>
    <definedName name="__APW_RESTORE_DATA2073__">#REF!,#REF!,#REF!,#REF!,#REF!,#REF!,#REF!,#REF!,#REF!,#REF!,#REF!,#REF!,#REF!,#REF!,#REF!</definedName>
    <definedName name="__APW_RESTORE_DATA2074__">#REF!,#REF!,#REF!,#REF!,#REF!,#REF!,#REF!,#REF!,#REF!,#REF!,#REF!,#REF!,#REF!,#REF!,#REF!</definedName>
    <definedName name="__APW_RESTORE_DATA2075__">#REF!,#REF!,#REF!,#REF!,#REF!,#REF!,#REF!,#REF!,#REF!,#REF!,#REF!,#REF!,#REF!,#REF!,#REF!</definedName>
    <definedName name="__APW_RESTORE_DATA2076__">#REF!,#REF!,#REF!,#REF!,#REF!,#REF!,#REF!,#REF!,#REF!,#REF!,#REF!,#REF!,#REF!,#REF!,#REF!</definedName>
    <definedName name="__APW_RESTORE_DATA2077__">#REF!,#REF!,#REF!,#REF!,#REF!,#REF!,#REF!,#REF!,#REF!,#REF!,#REF!,#REF!,#REF!,#REF!,#REF!</definedName>
    <definedName name="__APW_RESTORE_DATA2078__">#REF!,#REF!,#REF!,#REF!,#REF!,#REF!,#REF!,#REF!,#REF!,#REF!,#REF!,#REF!,#REF!,#REF!,#REF!</definedName>
    <definedName name="__APW_RESTORE_DATA2079__">#REF!,#REF!,#REF!,#REF!,#REF!,#REF!,#REF!,#REF!,#REF!,#REF!,#REF!,#REF!,#REF!,#REF!,#REF!</definedName>
    <definedName name="__APW_RESTORE_DATA208__">#REF!,#REF!,#REF!,#REF!,#REF!,#REF!,#REF!,#REF!,#REF!,#REF!,#REF!,#REF!,#REF!,#REF!,#REF!</definedName>
    <definedName name="__APW_RESTORE_DATA2080__">#REF!,#REF!,#REF!,#REF!,#REF!,#REF!,#REF!,#REF!,#REF!,#REF!,#REF!,#REF!,#REF!,#REF!,#REF!</definedName>
    <definedName name="__APW_RESTORE_DATA2081__">#REF!,#REF!,#REF!,#REF!,#REF!,#REF!,#REF!,#REF!,#REF!,#REF!,#REF!,#REF!,#REF!,#REF!,#REF!</definedName>
    <definedName name="__APW_RESTORE_DATA2082__">#REF!,#REF!,#REF!,#REF!,#REF!,#REF!,#REF!,#REF!,#REF!,#REF!,#REF!,#REF!,#REF!,#REF!,#REF!</definedName>
    <definedName name="__APW_RESTORE_DATA2083__">#REF!,#REF!,#REF!,#REF!,#REF!,#REF!,#REF!,#REF!,#REF!,#REF!,#REF!,#REF!,#REF!,#REF!,#REF!</definedName>
    <definedName name="__APW_RESTORE_DATA2084__">#REF!,#REF!,#REF!,#REF!,#REF!,#REF!,#REF!,#REF!,#REF!,#REF!,#REF!,#REF!,#REF!,#REF!,#REF!</definedName>
    <definedName name="__APW_RESTORE_DATA2085__">#REF!,#REF!,#REF!,#REF!,#REF!,#REF!,#REF!,#REF!,#REF!,#REF!,#REF!,#REF!,#REF!,#REF!,#REF!</definedName>
    <definedName name="__APW_RESTORE_DATA2086__">#REF!,#REF!,#REF!,#REF!,#REF!,#REF!,#REF!,#REF!,#REF!,#REF!,#REF!,#REF!,#REF!,#REF!,#REF!</definedName>
    <definedName name="__APW_RESTORE_DATA2087__">#REF!,#REF!,#REF!,#REF!,#REF!,#REF!,#REF!,#REF!,#REF!,#REF!,#REF!,#REF!,#REF!,#REF!,#REF!</definedName>
    <definedName name="__APW_RESTORE_DATA2088__">#REF!,#REF!,#REF!,#REF!,#REF!,#REF!,#REF!,#REF!,#REF!,#REF!,#REF!,#REF!,#REF!,#REF!,#REF!</definedName>
    <definedName name="__APW_RESTORE_DATA2089__">#REF!,#REF!,#REF!,#REF!,#REF!,#REF!</definedName>
    <definedName name="__APW_RESTORE_DATA209__">#REF!,#REF!,#REF!,#REF!,#REF!,#REF!,#REF!,#REF!,#REF!,#REF!,#REF!,#REF!,#REF!,#REF!,#REF!</definedName>
    <definedName name="__APW_RESTORE_DATA2090__">#REF!,#REF!,#REF!,#REF!,#REF!,#REF!,#REF!,#REF!,#REF!,#REF!,#REF!,#REF!,#REF!,#REF!,#REF!,#REF!</definedName>
    <definedName name="__APW_RESTORE_DATA2091__">#REF!,#REF!,#REF!,#REF!,#REF!,#REF!,#REF!,#REF!,#REF!,#REF!,#REF!,#REF!,#REF!,#REF!,#REF!,#REF!</definedName>
    <definedName name="__APW_RESTORE_DATA2092__">#REF!,#REF!,#REF!,#REF!,#REF!,#REF!,#REF!,#REF!,#REF!,#REF!,#REF!,#REF!,#REF!,#REF!,#REF!,#REF!</definedName>
    <definedName name="__APW_RESTORE_DATA2093__">#REF!,#REF!,#REF!,#REF!,#REF!,#REF!,#REF!,#REF!,#REF!,#REF!,#REF!,#REF!,#REF!,#REF!,#REF!,#REF!</definedName>
    <definedName name="__APW_RESTORE_DATA2094__">#REF!,#REF!,#REF!,#REF!,#REF!,#REF!,#REF!,#REF!,#REF!,#REF!,#REF!,#REF!,#REF!,#REF!,#REF!,#REF!</definedName>
    <definedName name="__APW_RESTORE_DATA2095__">#REF!,#REF!,#REF!,#REF!,#REF!,#REF!,#REF!,#REF!,#REF!,#REF!,#REF!,#REF!,#REF!,#REF!,#REF!,#REF!</definedName>
    <definedName name="__APW_RESTORE_DATA2096__">#REF!,#REF!,#REF!,#REF!,#REF!,#REF!,#REF!,#REF!,#REF!,#REF!,#REF!,#REF!,#REF!,#REF!,#REF!</definedName>
    <definedName name="__APW_RESTORE_DATA2097__">#REF!,#REF!,#REF!,#REF!,#REF!,#REF!,#REF!,#REF!,#REF!,#REF!,#REF!,#REF!,#REF!,#REF!,#REF!</definedName>
    <definedName name="__APW_RESTORE_DATA2098__">#REF!,#REF!,#REF!,#REF!,#REF!,#REF!,#REF!,#REF!,#REF!,#REF!,#REF!,#REF!,#REF!,#REF!,#REF!</definedName>
    <definedName name="__APW_RESTORE_DATA2099__">#REF!,#REF!,#REF!,#REF!,#REF!,#REF!,#REF!,#REF!,#REF!,#REF!,#REF!,#REF!,#REF!,#REF!,#REF!</definedName>
    <definedName name="__APW_RESTORE_DATA21__">#REF!</definedName>
    <definedName name="__APW_RESTORE_DATA210__">#REF!,#REF!,#REF!,#REF!,#REF!,#REF!,#REF!,#REF!,#REF!,#REF!,#REF!,#REF!,#REF!,#REF!,#REF!</definedName>
    <definedName name="__APW_RESTORE_DATA2100__">#REF!,#REF!,#REF!,#REF!,#REF!,#REF!,#REF!,#REF!,#REF!,#REF!,#REF!,#REF!,#REF!,#REF!,#REF!</definedName>
    <definedName name="__APW_RESTORE_DATA2101__">#REF!,#REF!,#REF!,#REF!,#REF!,#REF!,#REF!,#REF!,#REF!,#REF!,#REF!,#REF!,#REF!,#REF!,#REF!</definedName>
    <definedName name="__APW_RESTORE_DATA2102__">#REF!,#REF!,#REF!,#REF!,#REF!,#REF!,#REF!,#REF!,#REF!,#REF!,#REF!,#REF!,#REF!,#REF!,#REF!</definedName>
    <definedName name="__APW_RESTORE_DATA2103__">#REF!,#REF!,#REF!,#REF!,#REF!,#REF!,#REF!,#REF!,#REF!,#REF!,#REF!,#REF!,#REF!,#REF!,#REF!</definedName>
    <definedName name="__APW_RESTORE_DATA2104__">#REF!,#REF!,#REF!,#REF!,#REF!,#REF!,#REF!,#REF!,#REF!,#REF!,#REF!,#REF!,#REF!,#REF!,#REF!</definedName>
    <definedName name="__APW_RESTORE_DATA2105__">#REF!,#REF!,#REF!,#REF!,#REF!,#REF!,#REF!,#REF!,#REF!,#REF!,#REF!,#REF!,#REF!,#REF!,#REF!</definedName>
    <definedName name="__APW_RESTORE_DATA2106__">#REF!,#REF!,#REF!,#REF!,#REF!,#REF!,#REF!,#REF!,#REF!,#REF!,#REF!,#REF!,#REF!,#REF!,#REF!</definedName>
    <definedName name="__APW_RESTORE_DATA2107__">#REF!,#REF!,#REF!,#REF!,#REF!,#REF!,#REF!,#REF!,#REF!,#REF!,#REF!,#REF!,#REF!,#REF!,#REF!</definedName>
    <definedName name="__APW_RESTORE_DATA2108__">#REF!,#REF!,#REF!,#REF!,#REF!,#REF!,#REF!,#REF!,#REF!,#REF!,#REF!,#REF!,#REF!,#REF!,#REF!</definedName>
    <definedName name="__APW_RESTORE_DATA2109__">#REF!,#REF!,#REF!,#REF!,#REF!,#REF!,#REF!,#REF!,#REF!,#REF!,#REF!,#REF!,#REF!,#REF!,#REF!</definedName>
    <definedName name="__APW_RESTORE_DATA211__">#REF!,#REF!,#REF!,#REF!,#REF!,#REF!,#REF!,#REF!,#REF!,#REF!,#REF!,#REF!,#REF!,#REF!,#REF!</definedName>
    <definedName name="__APW_RESTORE_DATA2110__">#REF!,#REF!,#REF!,#REF!,#REF!,#REF!,#REF!,#REF!,#REF!,#REF!,#REF!,#REF!,#REF!,#REF!,#REF!</definedName>
    <definedName name="__APW_RESTORE_DATA2111__">#REF!,#REF!,#REF!,#REF!,#REF!,#REF!,#REF!,#REF!,#REF!,#REF!,#REF!,#REF!,#REF!,#REF!,#REF!</definedName>
    <definedName name="__APW_RESTORE_DATA2112__">#REF!,#REF!,#REF!,#REF!,#REF!,#REF!,#REF!,#REF!,#REF!,#REF!,#REF!,#REF!,#REF!,#REF!,#REF!</definedName>
    <definedName name="__APW_RESTORE_DATA2113__">#REF!,#REF!,#REF!,#REF!,#REF!,#REF!,#REF!,#REF!,#REF!,#REF!,#REF!,#REF!,#REF!,#REF!,#REF!</definedName>
    <definedName name="__APW_RESTORE_DATA2114__">#REF!,#REF!,#REF!,#REF!,#REF!,#REF!,#REF!,#REF!,#REF!,#REF!,#REF!,#REF!,#REF!,#REF!,#REF!</definedName>
    <definedName name="__APW_RESTORE_DATA2115__">#REF!,#REF!,#REF!,#REF!,#REF!,#REF!,#REF!,#REF!,#REF!,#REF!,#REF!,#REF!,#REF!,#REF!,#REF!</definedName>
    <definedName name="__APW_RESTORE_DATA2116__">#REF!,#REF!,#REF!,#REF!,#REF!,#REF!,#REF!,#REF!,#REF!,#REF!,#REF!,#REF!,#REF!,#REF!,#REF!</definedName>
    <definedName name="__APW_RESTORE_DATA2117__">#REF!,#REF!,#REF!,#REF!,#REF!,#REF!,#REF!,#REF!,#REF!,#REF!,#REF!,#REF!,#REF!,#REF!,#REF!</definedName>
    <definedName name="__APW_RESTORE_DATA2118__">#REF!,#REF!,#REF!,#REF!,#REF!,#REF!,#REF!,#REF!,#REF!,#REF!,#REF!,#REF!,#REF!,#REF!,#REF!</definedName>
    <definedName name="__APW_RESTORE_DATA2119__">#REF!,#REF!,#REF!,#REF!,#REF!,#REF!,#REF!,#REF!,#REF!,#REF!,#REF!,#REF!,#REF!,#REF!,#REF!</definedName>
    <definedName name="__APW_RESTORE_DATA212__">#REF!,#REF!</definedName>
    <definedName name="__APW_RESTORE_DATA2120__">#REF!,#REF!,#REF!,#REF!,#REF!,#REF!,#REF!,#REF!,#REF!,#REF!,#REF!,#REF!,#REF!,#REF!,#REF!</definedName>
    <definedName name="__APW_RESTORE_DATA2121__">#REF!,#REF!,#REF!,#REF!,#REF!,#REF!,#REF!,#REF!,#REF!,#REF!,#REF!,#REF!,#REF!,#REF!,#REF!</definedName>
    <definedName name="__APW_RESTORE_DATA2122__">#REF!,#REF!,#REF!,#REF!,#REF!,#REF!,#REF!,#REF!,#REF!,#REF!,#REF!,#REF!,#REF!,#REF!,#REF!</definedName>
    <definedName name="__APW_RESTORE_DATA2123__">#REF!,#REF!,#REF!,#REF!,#REF!,#REF!,#REF!,#REF!,#REF!,#REF!,#REF!,#REF!,#REF!,#REF!,#REF!</definedName>
    <definedName name="__APW_RESTORE_DATA2124__">#REF!,#REF!,#REF!,#REF!,#REF!,#REF!</definedName>
    <definedName name="__APW_RESTORE_DATA2125__">#REF!,#REF!,#REF!,#REF!,#REF!,#REF!,#REF!,#REF!,#REF!,#REF!,#REF!,#REF!,#REF!,#REF!,#REF!,#REF!</definedName>
    <definedName name="__APW_RESTORE_DATA2126__">#REF!,#REF!,#REF!,#REF!,#REF!,#REF!,#REF!,#REF!,#REF!,#REF!,#REF!,#REF!,#REF!,#REF!,#REF!,#REF!</definedName>
    <definedName name="__APW_RESTORE_DATA2127__">#REF!,#REF!,#REF!,#REF!,#REF!,#REF!,#REF!,#REF!,#REF!,#REF!,#REF!,#REF!,#REF!,#REF!,#REF!,#REF!</definedName>
    <definedName name="__APW_RESTORE_DATA2128__">#REF!,#REF!,#REF!,#REF!,#REF!,#REF!,#REF!,#REF!,#REF!,#REF!,#REF!,#REF!,#REF!,#REF!,#REF!,#REF!</definedName>
    <definedName name="__APW_RESTORE_DATA2129__">#REF!,#REF!,#REF!,#REF!,#REF!,#REF!,#REF!,#REF!,#REF!,#REF!,#REF!,#REF!,#REF!,#REF!,#REF!,#REF!</definedName>
    <definedName name="__APW_RESTORE_DATA213__">#REF!,#REF!,#REF!,#REF!,#REF!,#REF!,#REF!,#REF!,#REF!,#REF!,#REF!,#REF!,#REF!,#REF!,#REF!</definedName>
    <definedName name="__APW_RESTORE_DATA2130__">#REF!,#REF!,#REF!,#REF!,#REF!,#REF!,#REF!,#REF!,#REF!,#REF!,#REF!,#REF!,#REF!,#REF!,#REF!,#REF!</definedName>
    <definedName name="__APW_RESTORE_DATA2131__">#REF!,#REF!,#REF!,#REF!,#REF!,#REF!,#REF!,#REF!,#REF!,#REF!,#REF!,#REF!,#REF!,#REF!,#REF!</definedName>
    <definedName name="__APW_RESTORE_DATA2132__">#REF!,#REF!,#REF!,#REF!,#REF!,#REF!,#REF!,#REF!,#REF!,#REF!,#REF!,#REF!,#REF!,#REF!,#REF!</definedName>
    <definedName name="__APW_RESTORE_DATA2133__">#REF!,#REF!,#REF!,#REF!,#REF!,#REF!,#REF!,#REF!,#REF!,#REF!,#REF!,#REF!,#REF!,#REF!,#REF!</definedName>
    <definedName name="__APW_RESTORE_DATA2134__">#REF!,#REF!,#REF!,#REF!,#REF!,#REF!,#REF!,#REF!,#REF!,#REF!,#REF!,#REF!,#REF!,#REF!,#REF!</definedName>
    <definedName name="__APW_RESTORE_DATA2135__">#REF!,#REF!,#REF!,#REF!,#REF!,#REF!,#REF!,#REF!,#REF!,#REF!,#REF!,#REF!,#REF!,#REF!,#REF!</definedName>
    <definedName name="__APW_RESTORE_DATA2136__">#REF!,#REF!,#REF!,#REF!,#REF!,#REF!,#REF!,#REF!,#REF!,#REF!,#REF!,#REF!,#REF!,#REF!,#REF!</definedName>
    <definedName name="__APW_RESTORE_DATA2137__">#REF!,#REF!,#REF!,#REF!,#REF!,#REF!,#REF!,#REF!,#REF!,#REF!,#REF!,#REF!,#REF!,#REF!,#REF!</definedName>
    <definedName name="__APW_RESTORE_DATA2138__">#REF!,#REF!,#REF!,#REF!,#REF!,#REF!,#REF!,#REF!,#REF!,#REF!,#REF!,#REF!,#REF!,#REF!,#REF!</definedName>
    <definedName name="__APW_RESTORE_DATA2139__">#REF!,#REF!,#REF!,#REF!,#REF!,#REF!,#REF!,#REF!,#REF!,#REF!,#REF!,#REF!,#REF!,#REF!,#REF!</definedName>
    <definedName name="__APW_RESTORE_DATA214__">#REF!,#REF!,#REF!,#REF!,#REF!,#REF!,#REF!,#REF!,#REF!,#REF!,#REF!,#REF!,#REF!,#REF!,#REF!</definedName>
    <definedName name="__APW_RESTORE_DATA2140__">#REF!,#REF!,#REF!,#REF!,#REF!,#REF!,#REF!,#REF!,#REF!,#REF!,#REF!,#REF!,#REF!,#REF!,#REF!</definedName>
    <definedName name="__APW_RESTORE_DATA2141__">#REF!,#REF!,#REF!,#REF!,#REF!,#REF!,#REF!,#REF!,#REF!,#REF!,#REF!,#REF!,#REF!,#REF!,#REF!</definedName>
    <definedName name="__APW_RESTORE_DATA2142__">#REF!,#REF!,#REF!,#REF!,#REF!,#REF!,#REF!,#REF!,#REF!,#REF!,#REF!,#REF!,#REF!,#REF!,#REF!</definedName>
    <definedName name="__APW_RESTORE_DATA2143__">#REF!,#REF!,#REF!,#REF!,#REF!,#REF!,#REF!,#REF!,#REF!,#REF!,#REF!,#REF!,#REF!,#REF!,#REF!</definedName>
    <definedName name="__APW_RESTORE_DATA2144__">#REF!,#REF!,#REF!,#REF!,#REF!,#REF!,#REF!,#REF!,#REF!,#REF!,#REF!,#REF!,#REF!,#REF!,#REF!</definedName>
    <definedName name="__APW_RESTORE_DATA2145__">#REF!,#REF!,#REF!,#REF!,#REF!,#REF!,#REF!,#REF!,#REF!,#REF!,#REF!,#REF!,#REF!,#REF!,#REF!</definedName>
    <definedName name="__APW_RESTORE_DATA2146__">#REF!,#REF!,#REF!,#REF!,#REF!,#REF!,#REF!,#REF!,#REF!,#REF!,#REF!,#REF!,#REF!,#REF!,#REF!</definedName>
    <definedName name="__APW_RESTORE_DATA2147__">#REF!,#REF!,#REF!,#REF!,#REF!,#REF!,#REF!,#REF!,#REF!,#REF!,#REF!,#REF!,#REF!,#REF!,#REF!</definedName>
    <definedName name="__APW_RESTORE_DATA2148__">#REF!,#REF!,#REF!,#REF!,#REF!,#REF!,#REF!,#REF!,#REF!,#REF!,#REF!,#REF!,#REF!,#REF!,#REF!</definedName>
    <definedName name="__APW_RESTORE_DATA2149__">#REF!,#REF!,#REF!,#REF!,#REF!,#REF!,#REF!,#REF!,#REF!,#REF!,#REF!,#REF!,#REF!,#REF!,#REF!</definedName>
    <definedName name="__APW_RESTORE_DATA215__">#REF!,#REF!,#REF!,#REF!,#REF!,#REF!,#REF!,#REF!,#REF!,#REF!,#REF!,#REF!,#REF!,#REF!,#REF!</definedName>
    <definedName name="__APW_RESTORE_DATA2150__">#REF!,#REF!,#REF!,#REF!,#REF!,#REF!,#REF!,#REF!,#REF!,#REF!,#REF!,#REF!,#REF!,#REF!,#REF!</definedName>
    <definedName name="__APW_RESTORE_DATA2151__">#REF!,#REF!,#REF!,#REF!,#REF!,#REF!,#REF!,#REF!,#REF!,#REF!,#REF!,#REF!,#REF!,#REF!,#REF!</definedName>
    <definedName name="__APW_RESTORE_DATA2152__">#REF!,#REF!,#REF!,#REF!,#REF!,#REF!,#REF!,#REF!,#REF!,#REF!,#REF!,#REF!,#REF!,#REF!,#REF!</definedName>
    <definedName name="__APW_RESTORE_DATA2153__">#REF!,#REF!,#REF!,#REF!,#REF!,#REF!,#REF!,#REF!,#REF!,#REF!,#REF!,#REF!,#REF!,#REF!,#REF!</definedName>
    <definedName name="__APW_RESTORE_DATA2154__">#REF!,#REF!,#REF!,#REF!,#REF!,#REF!,#REF!,#REF!,#REF!,#REF!,#REF!,#REF!,#REF!,#REF!,#REF!</definedName>
    <definedName name="__APW_RESTORE_DATA2155__">#REF!,#REF!,#REF!,#REF!,#REF!,#REF!,#REF!,#REF!,#REF!,#REF!,#REF!,#REF!,#REF!,#REF!,#REF!</definedName>
    <definedName name="__APW_RESTORE_DATA2156__">#REF!,#REF!,#REF!,#REF!,#REF!,#REF!,#REF!,#REF!,#REF!,#REF!,#REF!,#REF!,#REF!,#REF!,#REF!</definedName>
    <definedName name="__APW_RESTORE_DATA2157__">#REF!,#REF!,#REF!,#REF!,#REF!,#REF!,#REF!,#REF!,#REF!,#REF!,#REF!,#REF!,#REF!,#REF!,#REF!</definedName>
    <definedName name="__APW_RESTORE_DATA2158__">#REF!,#REF!,#REF!,#REF!,#REF!,#REF!,#REF!,#REF!,#REF!,#REF!,#REF!,#REF!,#REF!,#REF!,#REF!</definedName>
    <definedName name="__APW_RESTORE_DATA2159__">#REF!,#REF!,#REF!,#REF!,#REF!,#REF!</definedName>
    <definedName name="__APW_RESTORE_DATA216__">#REF!,#REF!,#REF!,#REF!,#REF!,#REF!,#REF!,#REF!</definedName>
    <definedName name="__APW_RESTORE_DATA2160__">#REF!</definedName>
    <definedName name="__APW_RESTORE_DATA2161__">#REF!</definedName>
    <definedName name="__APW_RESTORE_DATA2162__">#REF!</definedName>
    <definedName name="__APW_RESTORE_DATA2164__">#REF!</definedName>
    <definedName name="__APW_RESTORE_DATA2165__">#REF!,#REF!,#REF!,#REF!,#REF!,#REF!,#REF!,#REF!,#REF!,#REF!,#REF!,#REF!,#REF!,#REF!,#REF!,#REF!</definedName>
    <definedName name="__APW_RESTORE_DATA2166__">#REF!,#REF!,#REF!,#REF!,#REF!,#REF!,#REF!,#REF!,#REF!,#REF!,#REF!,#REF!,#REF!,#REF!,#REF!,#REF!</definedName>
    <definedName name="__APW_RESTORE_DATA2167__">#REF!,#REF!,#REF!,#REF!,#REF!,#REF!,#REF!,#REF!,#REF!,#REF!,#REF!,#REF!,#REF!,#REF!,#REF!,#REF!</definedName>
    <definedName name="__APW_RESTORE_DATA2168__">#REF!,#REF!,#REF!,#REF!,#REF!,#REF!,#REF!,#REF!,#REF!,#REF!,#REF!,#REF!,#REF!,#REF!,#REF!,#REF!</definedName>
    <definedName name="__APW_RESTORE_DATA2169__">#REF!,#REF!,#REF!,#REF!,#REF!,#REF!,#REF!,#REF!,#REF!,#REF!,#REF!,#REF!,#REF!,#REF!,#REF!,#REF!</definedName>
    <definedName name="__APW_RESTORE_DATA217__">#REF!,#REF!</definedName>
    <definedName name="__APW_RESTORE_DATA2170__">#REF!,#REF!,#REF!,#REF!,#REF!,#REF!,#REF!,#REF!,#REF!,#REF!,#REF!,#REF!,#REF!,#REF!,#REF!,#REF!</definedName>
    <definedName name="__APW_RESTORE_DATA2171__">#REF!,#REF!,#REF!,#REF!,#REF!,#REF!,#REF!,#REF!,#REF!,#REF!,#REF!,#REF!,#REF!,#REF!,#REF!</definedName>
    <definedName name="__APW_RESTORE_DATA2172__">#REF!,#REF!,#REF!,#REF!,#REF!,#REF!,#REF!,#REF!,#REF!,#REF!,#REF!,#REF!,#REF!,#REF!,#REF!</definedName>
    <definedName name="__APW_RESTORE_DATA2173__">#REF!,#REF!,#REF!,#REF!,#REF!,#REF!,#REF!,#REF!,#REF!,#REF!,#REF!,#REF!,#REF!,#REF!,#REF!</definedName>
    <definedName name="__APW_RESTORE_DATA2174__">#REF!,#REF!,#REF!,#REF!,#REF!,#REF!,#REF!,#REF!,#REF!,#REF!,#REF!,#REF!,#REF!,#REF!,#REF!</definedName>
    <definedName name="__APW_RESTORE_DATA2175__">#REF!,#REF!,#REF!,#REF!,#REF!,#REF!,#REF!,#REF!,#REF!,#REF!,#REF!,#REF!,#REF!,#REF!,#REF!</definedName>
    <definedName name="__APW_RESTORE_DATA2176__">#REF!,#REF!,#REF!,#REF!,#REF!,#REF!,#REF!,#REF!,#REF!,#REF!,#REF!,#REF!,#REF!,#REF!,#REF!</definedName>
    <definedName name="__APW_RESTORE_DATA2177__">#REF!,#REF!,#REF!,#REF!,#REF!,#REF!,#REF!,#REF!,#REF!,#REF!,#REF!,#REF!,#REF!,#REF!,#REF!</definedName>
    <definedName name="__APW_RESTORE_DATA2178__">#REF!,#REF!,#REF!,#REF!,#REF!,#REF!,#REF!,#REF!,#REF!,#REF!,#REF!,#REF!,#REF!,#REF!,#REF!</definedName>
    <definedName name="__APW_RESTORE_DATA2179__">#REF!,#REF!,#REF!,#REF!,#REF!,#REF!,#REF!,#REF!,#REF!,#REF!,#REF!,#REF!,#REF!,#REF!,#REF!</definedName>
    <definedName name="__APW_RESTORE_DATA218__">#REF!,#REF!,#REF!,#REF!,#REF!,#REF!,#REF!,#REF!,#REF!,#REF!,#REF!,#REF!,#REF!,#REF!,#REF!,#REF!</definedName>
    <definedName name="__APW_RESTORE_DATA2180__">#REF!,#REF!,#REF!,#REF!,#REF!,#REF!,#REF!,#REF!,#REF!,#REF!,#REF!,#REF!,#REF!,#REF!,#REF!</definedName>
    <definedName name="__APW_RESTORE_DATA2181__">#REF!,#REF!,#REF!,#REF!,#REF!,#REF!,#REF!,#REF!,#REF!,#REF!,#REF!,#REF!,#REF!,#REF!,#REF!</definedName>
    <definedName name="__APW_RESTORE_DATA2182__">#REF!,#REF!,#REF!,#REF!,#REF!,#REF!,#REF!,#REF!,#REF!,#REF!,#REF!,#REF!,#REF!,#REF!,#REF!</definedName>
    <definedName name="__APW_RESTORE_DATA2183__">#REF!,#REF!,#REF!,#REF!,#REF!,#REF!,#REF!,#REF!,#REF!,#REF!,#REF!,#REF!,#REF!,#REF!,#REF!</definedName>
    <definedName name="__APW_RESTORE_DATA2184__">#REF!,#REF!,#REF!,#REF!,#REF!,#REF!,#REF!,#REF!,#REF!,#REF!,#REF!,#REF!,#REF!,#REF!,#REF!</definedName>
    <definedName name="__APW_RESTORE_DATA2185__">#REF!,#REF!,#REF!,#REF!,#REF!,#REF!,#REF!,#REF!,#REF!,#REF!,#REF!,#REF!,#REF!,#REF!,#REF!</definedName>
    <definedName name="__APW_RESTORE_DATA2186__">#REF!,#REF!,#REF!,#REF!,#REF!,#REF!,#REF!,#REF!,#REF!,#REF!,#REF!,#REF!,#REF!,#REF!,#REF!</definedName>
    <definedName name="__APW_RESTORE_DATA2187__">#REF!,#REF!,#REF!,#REF!,#REF!,#REF!,#REF!,#REF!,#REF!,#REF!,#REF!,#REF!,#REF!,#REF!,#REF!</definedName>
    <definedName name="__APW_RESTORE_DATA2188__">#REF!,#REF!,#REF!,#REF!,#REF!,#REF!,#REF!,#REF!,#REF!,#REF!,#REF!,#REF!,#REF!,#REF!,#REF!</definedName>
    <definedName name="__APW_RESTORE_DATA2189__">#REF!,#REF!,#REF!,#REF!,#REF!,#REF!,#REF!,#REF!,#REF!,#REF!,#REF!,#REF!,#REF!,#REF!,#REF!</definedName>
    <definedName name="__APW_RESTORE_DATA219__">#REF!,#REF!,#REF!,#REF!,#REF!,#REF!,#REF!,#REF!,#REF!,#REF!,#REF!,#REF!,#REF!,#REF!,#REF!,#REF!</definedName>
    <definedName name="__APW_RESTORE_DATA2190__">#REF!,#REF!,#REF!,#REF!,#REF!,#REF!,#REF!,#REF!,#REF!,#REF!,#REF!,#REF!,#REF!,#REF!,#REF!</definedName>
    <definedName name="__APW_RESTORE_DATA2191__">#REF!,#REF!,#REF!,#REF!,#REF!,#REF!,#REF!,#REF!,#REF!,#REF!,#REF!,#REF!,#REF!,#REF!,#REF!</definedName>
    <definedName name="__APW_RESTORE_DATA2192__">#REF!,#REF!,#REF!,#REF!,#REF!,#REF!,#REF!,#REF!,#REF!,#REF!,#REF!,#REF!,#REF!,#REF!,#REF!</definedName>
    <definedName name="__APW_RESTORE_DATA2193__">#REF!,#REF!,#REF!,#REF!,#REF!,#REF!,#REF!,#REF!,#REF!,#REF!,#REF!,#REF!,#REF!,#REF!,#REF!</definedName>
    <definedName name="__APW_RESTORE_DATA2194__">#REF!,#REF!,#REF!,#REF!,#REF!,#REF!,#REF!,#REF!,#REF!,#REF!,#REF!,#REF!,#REF!,#REF!,#REF!</definedName>
    <definedName name="__APW_RESTORE_DATA2195__">#REF!,#REF!,#REF!,#REF!,#REF!,#REF!,#REF!,#REF!,#REF!,#REF!,#REF!,#REF!,#REF!,#REF!,#REF!</definedName>
    <definedName name="__APW_RESTORE_DATA2196__">#REF!,#REF!,#REF!,#REF!,#REF!,#REF!,#REF!,#REF!,#REF!,#REF!,#REF!,#REF!,#REF!,#REF!,#REF!</definedName>
    <definedName name="__APW_RESTORE_DATA2197__">#REF!,#REF!,#REF!,#REF!,#REF!,#REF!,#REF!,#REF!,#REF!,#REF!,#REF!,#REF!,#REF!,#REF!,#REF!</definedName>
    <definedName name="__APW_RESTORE_DATA2198__">#REF!,#REF!,#REF!,#REF!,#REF!,#REF!,#REF!,#REF!,#REF!,#REF!,#REF!,#REF!,#REF!,#REF!,#REF!</definedName>
    <definedName name="__APW_RESTORE_DATA2199__">#REF!,#REF!,#REF!,#REF!,#REF!,#REF!</definedName>
    <definedName name="__APW_RESTORE_DATA22__">#REF!,#REF!,#REF!,#REF!,#REF!,#REF!,#REF!,#REF!,#REF!,#REF!,#REF!,#REF!,#REF!,#REF!,#REF!,#REF!</definedName>
    <definedName name="__APW_RESTORE_DATA220__">#REF!,#REF!,#REF!,#REF!,#REF!,#REF!,#REF!,#REF!,#REF!,#REF!,#REF!,#REF!,#REF!,#REF!,#REF!,#REF!</definedName>
    <definedName name="__APW_RESTORE_DATA2200__">#REF!,#REF!,#REF!,#REF!,#REF!,#REF!,#REF!,#REF!,#REF!,#REF!,#REF!,#REF!,#REF!,#REF!,#REF!,#REF!</definedName>
    <definedName name="__APW_RESTORE_DATA2201__">#REF!,#REF!,#REF!,#REF!,#REF!,#REF!,#REF!,#REF!,#REF!,#REF!,#REF!,#REF!,#REF!,#REF!,#REF!,#REF!</definedName>
    <definedName name="__APW_RESTORE_DATA2202__">#REF!,#REF!,#REF!,#REF!,#REF!,#REF!,#REF!,#REF!,#REF!,#REF!,#REF!,#REF!,#REF!,#REF!,#REF!,#REF!</definedName>
    <definedName name="__APW_RESTORE_DATA2203__">#REF!,#REF!,#REF!,#REF!,#REF!,#REF!,#REF!,#REF!,#REF!,#REF!,#REF!,#REF!,#REF!,#REF!,#REF!,#REF!</definedName>
    <definedName name="__APW_RESTORE_DATA2204__">#REF!,#REF!,#REF!,#REF!,#REF!,#REF!,#REF!,#REF!,#REF!,#REF!,#REF!,#REF!,#REF!,#REF!,#REF!,#REF!</definedName>
    <definedName name="__APW_RESTORE_DATA2205__">#REF!,#REF!,#REF!,#REF!,#REF!,#REF!,#REF!,#REF!,#REF!,#REF!,#REF!,#REF!,#REF!,#REF!,#REF!,#REF!</definedName>
    <definedName name="__APW_RESTORE_DATA2206__">#REF!,#REF!,#REF!,#REF!,#REF!,#REF!,#REF!,#REF!,#REF!,#REF!,#REF!,#REF!,#REF!,#REF!,#REF!</definedName>
    <definedName name="__APW_RESTORE_DATA2207__">#REF!,#REF!,#REF!,#REF!,#REF!,#REF!,#REF!,#REF!,#REF!,#REF!,#REF!,#REF!,#REF!,#REF!,#REF!</definedName>
    <definedName name="__APW_RESTORE_DATA2208__">#REF!,#REF!,#REF!,#REF!,#REF!,#REF!,#REF!,#REF!,#REF!,#REF!,#REF!,#REF!,#REF!,#REF!,#REF!</definedName>
    <definedName name="__APW_RESTORE_DATA2209__">#REF!,#REF!,#REF!,#REF!,#REF!,#REF!,#REF!,#REF!,#REF!,#REF!,#REF!,#REF!,#REF!,#REF!,#REF!</definedName>
    <definedName name="__APW_RESTORE_DATA221__">#REF!,#REF!,#REF!,#REF!,#REF!,#REF!,#REF!,#REF!,#REF!,#REF!,#REF!,#REF!,#REF!,#REF!,#REF!,#REF!</definedName>
    <definedName name="__APW_RESTORE_DATA2210__">#REF!,#REF!,#REF!,#REF!,#REF!,#REF!,#REF!,#REF!,#REF!,#REF!,#REF!,#REF!,#REF!,#REF!,#REF!</definedName>
    <definedName name="__APW_RESTORE_DATA2211__">#REF!,#REF!,#REF!,#REF!,#REF!,#REF!,#REF!,#REF!,#REF!,#REF!,#REF!,#REF!,#REF!,#REF!,#REF!</definedName>
    <definedName name="__APW_RESTORE_DATA2212__">#REF!,#REF!,#REF!,#REF!,#REF!,#REF!,#REF!,#REF!,#REF!,#REF!,#REF!,#REF!,#REF!,#REF!,#REF!</definedName>
    <definedName name="__APW_RESTORE_DATA2213__">#REF!,#REF!,#REF!,#REF!,#REF!,#REF!,#REF!,#REF!,#REF!,#REF!,#REF!,#REF!,#REF!,#REF!,#REF!</definedName>
    <definedName name="__APW_RESTORE_DATA2214__">#REF!,#REF!,#REF!,#REF!,#REF!,#REF!,#REF!,#REF!,#REF!,#REF!,#REF!,#REF!,#REF!,#REF!,#REF!</definedName>
    <definedName name="__APW_RESTORE_DATA2215__">#REF!,#REF!,#REF!,#REF!,#REF!,#REF!,#REF!,#REF!,#REF!,#REF!,#REF!,#REF!,#REF!,#REF!,#REF!</definedName>
    <definedName name="__APW_RESTORE_DATA2216__">#REF!,#REF!,#REF!,#REF!,#REF!,#REF!,#REF!,#REF!,#REF!,#REF!,#REF!,#REF!,#REF!,#REF!,#REF!</definedName>
    <definedName name="__APW_RESTORE_DATA2217__">#REF!,#REF!,#REF!,#REF!,#REF!,#REF!,#REF!,#REF!,#REF!,#REF!,#REF!,#REF!,#REF!,#REF!,#REF!</definedName>
    <definedName name="__APW_RESTORE_DATA2218__">#REF!,#REF!,#REF!,#REF!,#REF!,#REF!,#REF!,#REF!,#REF!,#REF!,#REF!,#REF!,#REF!,#REF!,#REF!</definedName>
    <definedName name="__APW_RESTORE_DATA2219__">#REF!,#REF!,#REF!,#REF!,#REF!,#REF!,#REF!,#REF!,#REF!,#REF!,#REF!,#REF!,#REF!,#REF!,#REF!</definedName>
    <definedName name="__APW_RESTORE_DATA222__">#REF!,#REF!,#REF!,#REF!,#REF!,#REF!,#REF!,#REF!,#REF!,#REF!,#REF!,#REF!,#REF!,#REF!,#REF!,#REF!</definedName>
    <definedName name="__APW_RESTORE_DATA2220__">#REF!,#REF!,#REF!,#REF!,#REF!,#REF!,#REF!,#REF!,#REF!,#REF!,#REF!,#REF!,#REF!,#REF!,#REF!</definedName>
    <definedName name="__APW_RESTORE_DATA2221__">#REF!,#REF!,#REF!,#REF!,#REF!,#REF!,#REF!,#REF!,#REF!,#REF!,#REF!,#REF!,#REF!,#REF!,#REF!</definedName>
    <definedName name="__APW_RESTORE_DATA2222__">#REF!,#REF!,#REF!,#REF!,#REF!,#REF!,#REF!,#REF!,#REF!,#REF!,#REF!,#REF!,#REF!,#REF!,#REF!</definedName>
    <definedName name="__APW_RESTORE_DATA2223__">#REF!,#REF!,#REF!,#REF!,#REF!,#REF!,#REF!,#REF!,#REF!,#REF!,#REF!,#REF!,#REF!,#REF!,#REF!</definedName>
    <definedName name="__APW_RESTORE_DATA2224__">#REF!,#REF!,#REF!,#REF!,#REF!,#REF!,#REF!,#REF!,#REF!,#REF!,#REF!,#REF!,#REF!,#REF!,#REF!</definedName>
    <definedName name="__APW_RESTORE_DATA2225__">#REF!,#REF!,#REF!,#REF!,#REF!,#REF!,#REF!,#REF!,#REF!,#REF!,#REF!,#REF!,#REF!,#REF!,#REF!</definedName>
    <definedName name="__APW_RESTORE_DATA2226__">#REF!,#REF!,#REF!,#REF!,#REF!,#REF!,#REF!,#REF!,#REF!,#REF!,#REF!,#REF!,#REF!,#REF!,#REF!</definedName>
    <definedName name="__APW_RESTORE_DATA2227__">#REF!,#REF!,#REF!,#REF!,#REF!,#REF!,#REF!,#REF!,#REF!,#REF!,#REF!,#REF!,#REF!,#REF!,#REF!</definedName>
    <definedName name="__APW_RESTORE_DATA2228__">#REF!,#REF!,#REF!,#REF!,#REF!,#REF!,#REF!,#REF!,#REF!,#REF!,#REF!,#REF!,#REF!,#REF!,#REF!</definedName>
    <definedName name="__APW_RESTORE_DATA2229__">#REF!,#REF!,#REF!,#REF!,#REF!,#REF!,#REF!,#REF!,#REF!,#REF!,#REF!,#REF!,#REF!,#REF!,#REF!</definedName>
    <definedName name="__APW_RESTORE_DATA223__">#REF!,#REF!,#REF!,#REF!,#REF!,#REF!,#REF!,#REF!,#REF!,#REF!,#REF!,#REF!,#REF!,#REF!,#REF!</definedName>
    <definedName name="__APW_RESTORE_DATA2230__">#REF!,#REF!,#REF!,#REF!,#REF!,#REF!,#REF!,#REF!,#REF!,#REF!,#REF!,#REF!,#REF!,#REF!,#REF!</definedName>
    <definedName name="__APW_RESTORE_DATA2231__">#REF!,#REF!,#REF!,#REF!,#REF!,#REF!,#REF!,#REF!,#REF!,#REF!,#REF!,#REF!,#REF!,#REF!,#REF!</definedName>
    <definedName name="__APW_RESTORE_DATA2232__">#REF!,#REF!,#REF!,#REF!,#REF!,#REF!,#REF!,#REF!,#REF!,#REF!,#REF!,#REF!,#REF!,#REF!,#REF!</definedName>
    <definedName name="__APW_RESTORE_DATA2233__">#REF!,#REF!,#REF!,#REF!,#REF!,#REF!,#REF!,#REF!,#REF!,#REF!,#REF!,#REF!,#REF!,#REF!,#REF!</definedName>
    <definedName name="__APW_RESTORE_DATA2234__">#REF!,#REF!,#REF!,#REF!,#REF!,#REF!</definedName>
    <definedName name="__APW_RESTORE_DATA2235__">#REF!,#REF!,#REF!,#REF!,#REF!,#REF!,#REF!,#REF!,#REF!,#REF!,#REF!,#REF!,#REF!,#REF!,#REF!,#REF!</definedName>
    <definedName name="__APW_RESTORE_DATA2236__">#REF!,#REF!,#REF!,#REF!,#REF!,#REF!,#REF!,#REF!,#REF!,#REF!,#REF!,#REF!,#REF!,#REF!,#REF!,#REF!</definedName>
    <definedName name="__APW_RESTORE_DATA2237__">#REF!,#REF!,#REF!,#REF!,#REF!,#REF!,#REF!,#REF!,#REF!,#REF!,#REF!,#REF!,#REF!,#REF!,#REF!,#REF!</definedName>
    <definedName name="__APW_RESTORE_DATA2238__">#REF!,#REF!,#REF!,#REF!,#REF!,#REF!,#REF!,#REF!,#REF!,#REF!,#REF!,#REF!,#REF!,#REF!,#REF!,#REF!</definedName>
    <definedName name="__APW_RESTORE_DATA2239__">#REF!,#REF!,#REF!,#REF!,#REF!,#REF!,#REF!,#REF!,#REF!,#REF!,#REF!,#REF!,#REF!,#REF!,#REF!,#REF!</definedName>
    <definedName name="__APW_RESTORE_DATA224__">#REF!,#REF!,#REF!,#REF!,#REF!,#REF!,#REF!,#REF!,#REF!,#REF!,#REF!,#REF!,#REF!,#REF!,#REF!</definedName>
    <definedName name="__APW_RESTORE_DATA2240__">#REF!,#REF!,#REF!,#REF!,#REF!,#REF!,#REF!,#REF!,#REF!,#REF!,#REF!,#REF!,#REF!,#REF!,#REF!,#REF!</definedName>
    <definedName name="__APW_RESTORE_DATA2241__">#REF!,#REF!,#REF!,#REF!,#REF!,#REF!,#REF!,#REF!,#REF!,#REF!,#REF!,#REF!,#REF!,#REF!,#REF!</definedName>
    <definedName name="__APW_RESTORE_DATA2242__">#REF!,#REF!,#REF!,#REF!,#REF!,#REF!,#REF!,#REF!,#REF!,#REF!,#REF!,#REF!,#REF!,#REF!,#REF!</definedName>
    <definedName name="__APW_RESTORE_DATA2243__">#REF!,#REF!,#REF!,#REF!,#REF!,#REF!,#REF!,#REF!,#REF!,#REF!,#REF!,#REF!,#REF!,#REF!,#REF!</definedName>
    <definedName name="__APW_RESTORE_DATA2244__">#REF!,#REF!,#REF!,#REF!,#REF!,#REF!,#REF!,#REF!,#REF!,#REF!,#REF!,#REF!,#REF!,#REF!,#REF!</definedName>
    <definedName name="__APW_RESTORE_DATA2245__">#REF!,#REF!,#REF!,#REF!,#REF!,#REF!,#REF!,#REF!,#REF!,#REF!,#REF!,#REF!,#REF!,#REF!,#REF!</definedName>
    <definedName name="__APW_RESTORE_DATA2246__">#REF!,#REF!,#REF!,#REF!,#REF!,#REF!,#REF!,#REF!,#REF!,#REF!,#REF!,#REF!,#REF!,#REF!,#REF!</definedName>
    <definedName name="__APW_RESTORE_DATA2247__">#REF!,#REF!,#REF!,#REF!,#REF!,#REF!,#REF!,#REF!,#REF!,#REF!,#REF!,#REF!,#REF!,#REF!,#REF!</definedName>
    <definedName name="__APW_RESTORE_DATA2248__">#REF!,#REF!,#REF!,#REF!,#REF!,#REF!,#REF!,#REF!,#REF!,#REF!,#REF!,#REF!,#REF!,#REF!,#REF!</definedName>
    <definedName name="__APW_RESTORE_DATA2249__">#REF!,#REF!,#REF!,#REF!,#REF!,#REF!,#REF!,#REF!,#REF!,#REF!,#REF!,#REF!,#REF!,#REF!,#REF!</definedName>
    <definedName name="__APW_RESTORE_DATA225__">#REF!,#REF!,#REF!,#REF!,#REF!,#REF!,#REF!,#REF!,#REF!,#REF!,#REF!,#REF!,#REF!,#REF!,#REF!</definedName>
    <definedName name="__APW_RESTORE_DATA2250__">#REF!,#REF!,#REF!,#REF!,#REF!,#REF!,#REF!,#REF!,#REF!,#REF!,#REF!,#REF!,#REF!,#REF!,#REF!</definedName>
    <definedName name="__APW_RESTORE_DATA2251__">#REF!,#REF!,#REF!,#REF!,#REF!,#REF!,#REF!,#REF!,#REF!,#REF!,#REF!,#REF!,#REF!,#REF!,#REF!</definedName>
    <definedName name="__APW_RESTORE_DATA2252__">#REF!,#REF!,#REF!,#REF!,#REF!,#REF!,#REF!,#REF!,#REF!,#REF!,#REF!,#REF!,#REF!,#REF!,#REF!</definedName>
    <definedName name="__APW_RESTORE_DATA2253__">#REF!,#REF!,#REF!,#REF!,#REF!,#REF!,#REF!,#REF!,#REF!,#REF!,#REF!,#REF!,#REF!,#REF!,#REF!</definedName>
    <definedName name="__APW_RESTORE_DATA2254__">#REF!,#REF!,#REF!,#REF!,#REF!,#REF!,#REF!,#REF!,#REF!,#REF!,#REF!,#REF!,#REF!,#REF!,#REF!</definedName>
    <definedName name="__APW_RESTORE_DATA2255__">#REF!,#REF!,#REF!,#REF!,#REF!,#REF!,#REF!,#REF!,#REF!,#REF!,#REF!,#REF!,#REF!,#REF!,#REF!</definedName>
    <definedName name="__APW_RESTORE_DATA2256__">#REF!,#REF!,#REF!,#REF!,#REF!,#REF!,#REF!,#REF!,#REF!,#REF!,#REF!,#REF!,#REF!,#REF!,#REF!</definedName>
    <definedName name="__APW_RESTORE_DATA2257__">#REF!,#REF!,#REF!,#REF!,#REF!,#REF!,#REF!,#REF!,#REF!,#REF!,#REF!,#REF!,#REF!,#REF!,#REF!</definedName>
    <definedName name="__APW_RESTORE_DATA2258__">#REF!,#REF!,#REF!,#REF!,#REF!,#REF!,#REF!,#REF!,#REF!,#REF!,#REF!,#REF!,#REF!,#REF!,#REF!</definedName>
    <definedName name="__APW_RESTORE_DATA2259__">#REF!,#REF!,#REF!,#REF!,#REF!,#REF!,#REF!,#REF!,#REF!,#REF!,#REF!,#REF!,#REF!,#REF!,#REF!</definedName>
    <definedName name="__APW_RESTORE_DATA226__">#REF!,#REF!,#REF!,#REF!,#REF!,#REF!,#REF!,#REF!,#REF!,#REF!,#REF!,#REF!,#REF!,#REF!,#REF!</definedName>
    <definedName name="__APW_RESTORE_DATA2260__">#REF!,#REF!,#REF!,#REF!,#REF!,#REF!,#REF!,#REF!,#REF!,#REF!,#REF!,#REF!,#REF!,#REF!,#REF!</definedName>
    <definedName name="__APW_RESTORE_DATA2261__">#REF!,#REF!,#REF!,#REF!,#REF!,#REF!,#REF!,#REF!,#REF!,#REF!,#REF!,#REF!,#REF!,#REF!,#REF!</definedName>
    <definedName name="__APW_RESTORE_DATA2262__">#REF!,#REF!,#REF!,#REF!,#REF!,#REF!,#REF!,#REF!,#REF!,#REF!,#REF!,#REF!,#REF!,#REF!,#REF!</definedName>
    <definedName name="__APW_RESTORE_DATA2263__">#REF!,#REF!,#REF!,#REF!,#REF!,#REF!,#REF!,#REF!,#REF!,#REF!,#REF!,#REF!,#REF!,#REF!,#REF!</definedName>
    <definedName name="__APW_RESTORE_DATA2264__">#REF!,#REF!,#REF!,#REF!,#REF!,#REF!,#REF!,#REF!,#REF!,#REF!,#REF!,#REF!,#REF!,#REF!,#REF!</definedName>
    <definedName name="__APW_RESTORE_DATA2265__">#REF!,#REF!,#REF!,#REF!,#REF!,#REF!,#REF!,#REF!,#REF!,#REF!,#REF!,#REF!,#REF!,#REF!,#REF!</definedName>
    <definedName name="__APW_RESTORE_DATA2266__">#REF!,#REF!,#REF!,#REF!,#REF!,#REF!,#REF!,#REF!,#REF!,#REF!,#REF!,#REF!,#REF!,#REF!,#REF!</definedName>
    <definedName name="__APW_RESTORE_DATA2267__">#REF!,#REF!,#REF!,#REF!,#REF!,#REF!,#REF!,#REF!,#REF!,#REF!,#REF!,#REF!,#REF!,#REF!,#REF!</definedName>
    <definedName name="__APW_RESTORE_DATA2268__">#REF!,#REF!,#REF!,#REF!,#REF!,#REF!,#REF!,#REF!,#REF!,#REF!,#REF!,#REF!,#REF!,#REF!,#REF!</definedName>
    <definedName name="__APW_RESTORE_DATA2269__">#REF!,#REF!,#REF!,#REF!,#REF!,#REF!</definedName>
    <definedName name="__APW_RESTORE_DATA227__">#REF!,#REF!,#REF!,#REF!,#REF!,#REF!,#REF!,#REF!,#REF!,#REF!,#REF!,#REF!,#REF!,#REF!,#REF!</definedName>
    <definedName name="__APW_RESTORE_DATA2270__">#REF!,#REF!,#REF!,#REF!,#REF!,#REF!,#REF!,#REF!,#REF!,#REF!,#REF!,#REF!,#REF!,#REF!,#REF!,#REF!</definedName>
    <definedName name="__APW_RESTORE_DATA2271__">#REF!,#REF!,#REF!,#REF!,#REF!,#REF!,#REF!,#REF!,#REF!,#REF!,#REF!,#REF!,#REF!,#REF!,#REF!,#REF!</definedName>
    <definedName name="__APW_RESTORE_DATA2272__">#REF!,#REF!,#REF!,#REF!,#REF!,#REF!,#REF!,#REF!,#REF!,#REF!,#REF!,#REF!,#REF!,#REF!,#REF!,#REF!</definedName>
    <definedName name="__APW_RESTORE_DATA2273__">#REF!,#REF!,#REF!,#REF!,#REF!,#REF!,#REF!,#REF!,#REF!,#REF!,#REF!,#REF!,#REF!,#REF!,#REF!,#REF!</definedName>
    <definedName name="__APW_RESTORE_DATA2274__">#REF!,#REF!,#REF!,#REF!,#REF!,#REF!,#REF!,#REF!,#REF!,#REF!,#REF!,#REF!,#REF!,#REF!,#REF!,#REF!</definedName>
    <definedName name="__APW_RESTORE_DATA2275__">#REF!,#REF!,#REF!,#REF!,#REF!,#REF!,#REF!,#REF!,#REF!,#REF!,#REF!,#REF!,#REF!,#REF!,#REF!,#REF!</definedName>
    <definedName name="__APW_RESTORE_DATA2276__">#REF!,#REF!,#REF!,#REF!,#REF!,#REF!,#REF!,#REF!,#REF!,#REF!,#REF!,#REF!,#REF!,#REF!,#REF!</definedName>
    <definedName name="__APW_RESTORE_DATA2277__">#REF!,#REF!,#REF!,#REF!,#REF!,#REF!,#REF!,#REF!,#REF!,#REF!,#REF!,#REF!,#REF!,#REF!,#REF!</definedName>
    <definedName name="__APW_RESTORE_DATA2278__">#REF!,#REF!,#REF!,#REF!,#REF!,#REF!,#REF!,#REF!,#REF!,#REF!,#REF!,#REF!,#REF!,#REF!,#REF!</definedName>
    <definedName name="__APW_RESTORE_DATA2279__">#REF!,#REF!,#REF!,#REF!,#REF!,#REF!,#REF!,#REF!,#REF!,#REF!,#REF!,#REF!,#REF!,#REF!,#REF!</definedName>
    <definedName name="__APW_RESTORE_DATA228__">#REF!,#REF!,#REF!,#REF!,#REF!,#REF!,#REF!,#REF!,#REF!,#REF!,#REF!,#REF!,#REF!,#REF!,#REF!</definedName>
    <definedName name="__APW_RESTORE_DATA2280__">#REF!,#REF!,#REF!,#REF!,#REF!,#REF!,#REF!,#REF!,#REF!,#REF!,#REF!,#REF!,#REF!,#REF!,#REF!</definedName>
    <definedName name="__APW_RESTORE_DATA2281__">#REF!,#REF!,#REF!,#REF!,#REF!,#REF!,#REF!,#REF!,#REF!,#REF!,#REF!,#REF!,#REF!,#REF!,#REF!</definedName>
    <definedName name="__APW_RESTORE_DATA2282__">#REF!,#REF!,#REF!,#REF!,#REF!,#REF!,#REF!,#REF!,#REF!,#REF!,#REF!,#REF!,#REF!,#REF!,#REF!</definedName>
    <definedName name="__APW_RESTORE_DATA2283__">#REF!,#REF!,#REF!,#REF!,#REF!,#REF!,#REF!,#REF!,#REF!,#REF!,#REF!,#REF!,#REF!,#REF!,#REF!</definedName>
    <definedName name="__APW_RESTORE_DATA2284__">#REF!,#REF!,#REF!,#REF!,#REF!,#REF!,#REF!,#REF!,#REF!,#REF!,#REF!,#REF!,#REF!,#REF!,#REF!</definedName>
    <definedName name="__APW_RESTORE_DATA2285__">#REF!,#REF!,#REF!,#REF!,#REF!,#REF!,#REF!,#REF!,#REF!,#REF!,#REF!,#REF!,#REF!,#REF!,#REF!</definedName>
    <definedName name="__APW_RESTORE_DATA2286__">#REF!,#REF!,#REF!,#REF!,#REF!,#REF!,#REF!,#REF!,#REF!,#REF!,#REF!,#REF!,#REF!,#REF!,#REF!</definedName>
    <definedName name="__APW_RESTORE_DATA2287__">#REF!,#REF!,#REF!,#REF!,#REF!,#REF!,#REF!,#REF!,#REF!,#REF!,#REF!,#REF!,#REF!,#REF!,#REF!</definedName>
    <definedName name="__APW_RESTORE_DATA2288__">#REF!,#REF!,#REF!,#REF!,#REF!,#REF!,#REF!,#REF!,#REF!,#REF!,#REF!,#REF!,#REF!,#REF!,#REF!</definedName>
    <definedName name="__APW_RESTORE_DATA2289__">#REF!,#REF!,#REF!,#REF!,#REF!,#REF!,#REF!,#REF!,#REF!,#REF!,#REF!,#REF!,#REF!,#REF!,#REF!</definedName>
    <definedName name="__APW_RESTORE_DATA229__">#REF!,#REF!,#REF!,#REF!,#REF!,#REF!,#REF!,#REF!,#REF!,#REF!,#REF!,#REF!,#REF!,#REF!,#REF!</definedName>
    <definedName name="__APW_RESTORE_DATA2290__">#REF!,#REF!,#REF!,#REF!,#REF!,#REF!,#REF!,#REF!,#REF!,#REF!,#REF!,#REF!,#REF!,#REF!,#REF!</definedName>
    <definedName name="__APW_RESTORE_DATA2291__">#REF!,#REF!,#REF!,#REF!,#REF!,#REF!,#REF!,#REF!,#REF!,#REF!,#REF!,#REF!,#REF!,#REF!,#REF!</definedName>
    <definedName name="__APW_RESTORE_DATA2292__">#REF!,#REF!,#REF!,#REF!,#REF!,#REF!,#REF!,#REF!,#REF!,#REF!,#REF!,#REF!,#REF!,#REF!,#REF!</definedName>
    <definedName name="__APW_RESTORE_DATA2293__">#REF!,#REF!,#REF!,#REF!,#REF!,#REF!,#REF!,#REF!,#REF!,#REF!,#REF!,#REF!,#REF!,#REF!,#REF!</definedName>
    <definedName name="__APW_RESTORE_DATA2294__">#REF!,#REF!,#REF!,#REF!,#REF!,#REF!,#REF!,#REF!,#REF!,#REF!,#REF!,#REF!,#REF!,#REF!,#REF!</definedName>
    <definedName name="__APW_RESTORE_DATA2295__">#REF!,#REF!,#REF!,#REF!,#REF!,#REF!,#REF!,#REF!,#REF!,#REF!,#REF!,#REF!,#REF!,#REF!,#REF!</definedName>
    <definedName name="__APW_RESTORE_DATA2296__">#REF!,#REF!,#REF!,#REF!,#REF!,#REF!,#REF!,#REF!,#REF!,#REF!,#REF!,#REF!,#REF!,#REF!,#REF!</definedName>
    <definedName name="__APW_RESTORE_DATA2297__">#REF!,#REF!,#REF!,#REF!,#REF!,#REF!,#REF!,#REF!,#REF!,#REF!,#REF!,#REF!,#REF!,#REF!,#REF!</definedName>
    <definedName name="__APW_RESTORE_DATA2298__">#REF!,#REF!,#REF!,#REF!,#REF!,#REF!,#REF!,#REF!,#REF!,#REF!,#REF!,#REF!,#REF!,#REF!,#REF!</definedName>
    <definedName name="__APW_RESTORE_DATA2299__">#REF!,#REF!,#REF!,#REF!,#REF!,#REF!,#REF!,#REF!,#REF!,#REF!,#REF!,#REF!,#REF!,#REF!,#REF!</definedName>
    <definedName name="__APW_RESTORE_DATA23__">#REF!,#REF!,#REF!,#REF!,#REF!,#REF!,#REF!,#REF!,#REF!,#REF!,#REF!,#REF!,#REF!,#REF!,#REF!</definedName>
    <definedName name="__APW_RESTORE_DATA230__">#REF!,#REF!,#REF!,#REF!,#REF!,#REF!,#REF!,#REF!,#REF!,#REF!,#REF!,#REF!,#REF!,#REF!,#REF!</definedName>
    <definedName name="__APW_RESTORE_DATA2300__">#REF!,#REF!,#REF!,#REF!,#REF!,#REF!,#REF!,#REF!,#REF!,#REF!,#REF!,#REF!,#REF!,#REF!,#REF!</definedName>
    <definedName name="__APW_RESTORE_DATA2301__">#REF!,#REF!,#REF!,#REF!,#REF!,#REF!,#REF!,#REF!,#REF!,#REF!,#REF!,#REF!,#REF!,#REF!,#REF!</definedName>
    <definedName name="__APW_RESTORE_DATA2302__">#REF!,#REF!,#REF!,#REF!,#REF!,#REF!,#REF!,#REF!,#REF!,#REF!,#REF!,#REF!,#REF!,#REF!,#REF!</definedName>
    <definedName name="__APW_RESTORE_DATA2303__">#REF!,#REF!,#REF!,#REF!,#REF!,#REF!,#REF!,#REF!,#REF!,#REF!,#REF!,#REF!,#REF!,#REF!,#REF!</definedName>
    <definedName name="__APW_RESTORE_DATA2304__">#REF!,#REF!,#REF!,#REF!,#REF!,#REF!</definedName>
    <definedName name="__APW_RESTORE_DATA2305__">#REF!</definedName>
    <definedName name="__APW_RESTORE_DATA2306__">#REF!</definedName>
    <definedName name="__APW_RESTORE_DATA2307__">#REF!</definedName>
    <definedName name="__APW_RESTORE_DATA2309__">#REF!</definedName>
    <definedName name="__APW_RESTORE_DATA231__">#REF!,#REF!,#REF!,#REF!,#REF!,#REF!,#REF!,#REF!,#REF!,#REF!,#REF!,#REF!,#REF!,#REF!,#REF!</definedName>
    <definedName name="__APW_RESTORE_DATA2310__">#REF!,#REF!,#REF!,#REF!,#REF!,#REF!,#REF!,#REF!,#REF!,#REF!,#REF!,#REF!,#REF!,#REF!,#REF!,#REF!</definedName>
    <definedName name="__APW_RESTORE_DATA2311__">#REF!,#REF!,#REF!,#REF!,#REF!,#REF!,#REF!,#REF!,#REF!,#REF!,#REF!,#REF!,#REF!,#REF!,#REF!,#REF!</definedName>
    <definedName name="__APW_RESTORE_DATA2312__">#REF!,#REF!,#REF!,#REF!,#REF!,#REF!,#REF!,#REF!,#REF!,#REF!,#REF!,#REF!,#REF!,#REF!,#REF!,#REF!</definedName>
    <definedName name="__APW_RESTORE_DATA2313__">#REF!,#REF!,#REF!,#REF!,#REF!,#REF!,#REF!,#REF!,#REF!,#REF!,#REF!,#REF!,#REF!,#REF!,#REF!,#REF!</definedName>
    <definedName name="__APW_RESTORE_DATA2314__">#REF!,#REF!,#REF!,#REF!,#REF!,#REF!,#REF!,#REF!,#REF!,#REF!,#REF!,#REF!,#REF!,#REF!,#REF!,#REF!</definedName>
    <definedName name="__APW_RESTORE_DATA2315__">#REF!,#REF!,#REF!,#REF!,#REF!,#REF!,#REF!,#REF!,#REF!,#REF!,#REF!,#REF!,#REF!,#REF!,#REF!,#REF!</definedName>
    <definedName name="__APW_RESTORE_DATA2316__">#REF!,#REF!,#REF!,#REF!,#REF!,#REF!,#REF!,#REF!,#REF!,#REF!,#REF!,#REF!,#REF!,#REF!,#REF!</definedName>
    <definedName name="__APW_RESTORE_DATA2317__">#REF!,#REF!,#REF!,#REF!,#REF!,#REF!,#REF!,#REF!,#REF!,#REF!,#REF!,#REF!,#REF!,#REF!,#REF!</definedName>
    <definedName name="__APW_RESTORE_DATA2318__">#REF!,#REF!,#REF!,#REF!,#REF!,#REF!,#REF!,#REF!,#REF!,#REF!,#REF!,#REF!,#REF!,#REF!,#REF!</definedName>
    <definedName name="__APW_RESTORE_DATA2319__">#REF!,#REF!,#REF!,#REF!,#REF!,#REF!,#REF!,#REF!,#REF!,#REF!,#REF!,#REF!,#REF!,#REF!,#REF!</definedName>
    <definedName name="__APW_RESTORE_DATA232__">#REF!,#REF!</definedName>
    <definedName name="__APW_RESTORE_DATA2320__">#REF!,#REF!,#REF!,#REF!,#REF!,#REF!,#REF!,#REF!,#REF!,#REF!,#REF!,#REF!,#REF!,#REF!,#REF!</definedName>
    <definedName name="__APW_RESTORE_DATA2321__">#REF!,#REF!,#REF!,#REF!,#REF!,#REF!,#REF!,#REF!,#REF!,#REF!,#REF!,#REF!,#REF!,#REF!,#REF!</definedName>
    <definedName name="__APW_RESTORE_DATA2322__">#REF!,#REF!,#REF!,#REF!,#REF!,#REF!,#REF!,#REF!,#REF!,#REF!,#REF!,#REF!,#REF!,#REF!,#REF!</definedName>
    <definedName name="__APW_RESTORE_DATA2323__">#REF!,#REF!,#REF!,#REF!,#REF!,#REF!,#REF!,#REF!,#REF!,#REF!,#REF!,#REF!,#REF!,#REF!,#REF!</definedName>
    <definedName name="__APW_RESTORE_DATA2324__">#REF!,#REF!,#REF!,#REF!,#REF!,#REF!,#REF!,#REF!,#REF!,#REF!,#REF!,#REF!,#REF!,#REF!,#REF!</definedName>
    <definedName name="__APW_RESTORE_DATA2325__">#REF!,#REF!,#REF!,#REF!,#REF!,#REF!,#REF!,#REF!,#REF!,#REF!,#REF!,#REF!,#REF!,#REF!,#REF!</definedName>
    <definedName name="__APW_RESTORE_DATA2326__">#REF!,#REF!,#REF!,#REF!,#REF!,#REF!,#REF!,#REF!,#REF!,#REF!,#REF!,#REF!,#REF!,#REF!,#REF!</definedName>
    <definedName name="__APW_RESTORE_DATA2327__">#REF!,#REF!,#REF!,#REF!,#REF!,#REF!,#REF!,#REF!,#REF!,#REF!,#REF!,#REF!,#REF!,#REF!,#REF!</definedName>
    <definedName name="__APW_RESTORE_DATA2328__">#REF!,#REF!,#REF!,#REF!,#REF!,#REF!,#REF!,#REF!,#REF!,#REF!,#REF!,#REF!,#REF!,#REF!,#REF!</definedName>
    <definedName name="__APW_RESTORE_DATA2329__">#REF!,#REF!,#REF!,#REF!,#REF!,#REF!,#REF!,#REF!,#REF!,#REF!,#REF!,#REF!,#REF!,#REF!,#REF!</definedName>
    <definedName name="__APW_RESTORE_DATA233__">#REF!,#REF!</definedName>
    <definedName name="__APW_RESTORE_DATA2330__">#REF!,#REF!,#REF!,#REF!,#REF!,#REF!,#REF!,#REF!,#REF!,#REF!,#REF!,#REF!,#REF!,#REF!,#REF!</definedName>
    <definedName name="__APW_RESTORE_DATA2331__">#REF!,#REF!,#REF!,#REF!,#REF!,#REF!,#REF!,#REF!,#REF!,#REF!,#REF!,#REF!,#REF!,#REF!,#REF!</definedName>
    <definedName name="__APW_RESTORE_DATA2332__">#REF!,#REF!,#REF!,#REF!,#REF!,#REF!,#REF!,#REF!,#REF!,#REF!,#REF!,#REF!,#REF!,#REF!,#REF!</definedName>
    <definedName name="__APW_RESTORE_DATA2333__">#REF!,#REF!,#REF!,#REF!,#REF!,#REF!,#REF!,#REF!,#REF!,#REF!,#REF!,#REF!,#REF!,#REF!,#REF!</definedName>
    <definedName name="__APW_RESTORE_DATA2334__">#REF!,#REF!,#REF!,#REF!,#REF!,#REF!,#REF!,#REF!,#REF!,#REF!,#REF!,#REF!,#REF!,#REF!,#REF!</definedName>
    <definedName name="__APW_RESTORE_DATA2335__">#REF!,#REF!,#REF!,#REF!,#REF!,#REF!,#REF!,#REF!,#REF!,#REF!,#REF!,#REF!,#REF!,#REF!,#REF!</definedName>
    <definedName name="__APW_RESTORE_DATA2336__">#REF!,#REF!,#REF!,#REF!,#REF!,#REF!,#REF!,#REF!,#REF!,#REF!,#REF!,#REF!,#REF!,#REF!,#REF!</definedName>
    <definedName name="__APW_RESTORE_DATA2337__">#REF!,#REF!,#REF!,#REF!,#REF!,#REF!,#REF!,#REF!,#REF!,#REF!,#REF!,#REF!,#REF!,#REF!,#REF!</definedName>
    <definedName name="__APW_RESTORE_DATA2338__">#REF!,#REF!,#REF!,#REF!,#REF!,#REF!,#REF!,#REF!,#REF!,#REF!,#REF!,#REF!,#REF!,#REF!,#REF!</definedName>
    <definedName name="__APW_RESTORE_DATA2339__">#REF!,#REF!,#REF!,#REF!,#REF!,#REF!,#REF!,#REF!,#REF!,#REF!,#REF!,#REF!,#REF!,#REF!,#REF!</definedName>
    <definedName name="__APW_RESTORE_DATA234__">#REF!,#REF!,#REF!,#REF!,#REF!,#REF!,#REF!,#REF!,#REF!,#REF!,#REF!,#REF!,#REF!,#REF!,#REF!</definedName>
    <definedName name="__APW_RESTORE_DATA2340__">#REF!,#REF!,#REF!,#REF!,#REF!,#REF!,#REF!,#REF!,#REF!,#REF!,#REF!,#REF!,#REF!,#REF!,#REF!</definedName>
    <definedName name="__APW_RESTORE_DATA2341__">#REF!,#REF!,#REF!,#REF!,#REF!,#REF!,#REF!,#REF!,#REF!,#REF!,#REF!,#REF!,#REF!,#REF!,#REF!</definedName>
    <definedName name="__APW_RESTORE_DATA2342__">#REF!,#REF!,#REF!,#REF!,#REF!,#REF!,#REF!,#REF!,#REF!,#REF!,#REF!,#REF!,#REF!,#REF!,#REF!</definedName>
    <definedName name="__APW_RESTORE_DATA2343__">#REF!,#REF!,#REF!,#REF!,#REF!,#REF!,#REF!,#REF!,#REF!,#REF!,#REF!,#REF!,#REF!,#REF!,#REF!</definedName>
    <definedName name="__APW_RESTORE_DATA2344__">#REF!,#REF!,#REF!,#REF!,#REF!,#REF!</definedName>
    <definedName name="__APW_RESTORE_DATA2345__">#REF!,#REF!,#REF!,#REF!,#REF!,#REF!,#REF!,#REF!,#REF!,#REF!,#REF!,#REF!,#REF!,#REF!,#REF!,#REF!</definedName>
    <definedName name="__APW_RESTORE_DATA2346__">#REF!,#REF!,#REF!,#REF!,#REF!,#REF!,#REF!,#REF!,#REF!,#REF!,#REF!,#REF!,#REF!,#REF!,#REF!,#REF!</definedName>
    <definedName name="__APW_RESTORE_DATA2347__">#REF!,#REF!,#REF!,#REF!,#REF!,#REF!,#REF!,#REF!,#REF!,#REF!,#REF!,#REF!,#REF!,#REF!,#REF!,#REF!</definedName>
    <definedName name="__APW_RESTORE_DATA2348__">#REF!,#REF!,#REF!,#REF!,#REF!,#REF!,#REF!,#REF!,#REF!,#REF!,#REF!,#REF!,#REF!,#REF!,#REF!,#REF!</definedName>
    <definedName name="__APW_RESTORE_DATA2349__">#REF!,#REF!,#REF!,#REF!,#REF!,#REF!,#REF!,#REF!,#REF!,#REF!,#REF!,#REF!,#REF!,#REF!,#REF!,#REF!</definedName>
    <definedName name="__APW_RESTORE_DATA235__">#REF!,#REF!,#REF!,#REF!,#REF!,#REF!,#REF!,#REF!,#REF!,#REF!,#REF!,#REF!,#REF!,#REF!,#REF!</definedName>
    <definedName name="__APW_RESTORE_DATA2350__">#REF!,#REF!,#REF!,#REF!,#REF!,#REF!,#REF!,#REF!,#REF!,#REF!,#REF!,#REF!,#REF!,#REF!,#REF!,#REF!</definedName>
    <definedName name="__APW_RESTORE_DATA2351__">#REF!,#REF!,#REF!,#REF!,#REF!,#REF!,#REF!,#REF!,#REF!,#REF!,#REF!,#REF!,#REF!,#REF!,#REF!</definedName>
    <definedName name="__APW_RESTORE_DATA2352__">#REF!,#REF!,#REF!,#REF!,#REF!,#REF!,#REF!,#REF!,#REF!,#REF!,#REF!,#REF!,#REF!,#REF!,#REF!</definedName>
    <definedName name="__APW_RESTORE_DATA2353__">#REF!,#REF!,#REF!,#REF!,#REF!,#REF!,#REF!,#REF!,#REF!,#REF!,#REF!,#REF!,#REF!,#REF!,#REF!</definedName>
    <definedName name="__APW_RESTORE_DATA2354__">#REF!,#REF!,#REF!,#REF!,#REF!,#REF!,#REF!,#REF!,#REF!,#REF!,#REF!,#REF!,#REF!,#REF!,#REF!</definedName>
    <definedName name="__APW_RESTORE_DATA2355__">#REF!,#REF!,#REF!,#REF!,#REF!,#REF!,#REF!,#REF!,#REF!,#REF!,#REF!,#REF!,#REF!,#REF!,#REF!</definedName>
    <definedName name="__APW_RESTORE_DATA2356__">#REF!,#REF!,#REF!,#REF!,#REF!,#REF!,#REF!,#REF!,#REF!,#REF!,#REF!,#REF!,#REF!,#REF!,#REF!</definedName>
    <definedName name="__APW_RESTORE_DATA2357__">#REF!,#REF!,#REF!,#REF!,#REF!,#REF!,#REF!,#REF!,#REF!,#REF!,#REF!,#REF!,#REF!,#REF!,#REF!</definedName>
    <definedName name="__APW_RESTORE_DATA2358__">#REF!,#REF!,#REF!,#REF!,#REF!,#REF!,#REF!,#REF!,#REF!,#REF!,#REF!,#REF!,#REF!,#REF!,#REF!</definedName>
    <definedName name="__APW_RESTORE_DATA2359__">#REF!,#REF!,#REF!,#REF!,#REF!,#REF!,#REF!,#REF!,#REF!,#REF!,#REF!,#REF!,#REF!,#REF!,#REF!</definedName>
    <definedName name="__APW_RESTORE_DATA236__">#REF!,#REF!,#REF!,#REF!,#REF!,#REF!,#REF!,#REF!,#REF!,#REF!,#REF!,#REF!,#REF!,#REF!,#REF!</definedName>
    <definedName name="__APW_RESTORE_DATA2360__">#REF!,#REF!,#REF!,#REF!,#REF!,#REF!,#REF!,#REF!,#REF!,#REF!,#REF!,#REF!,#REF!,#REF!,#REF!</definedName>
    <definedName name="__APW_RESTORE_DATA2361__">#REF!,#REF!,#REF!,#REF!,#REF!,#REF!,#REF!,#REF!,#REF!,#REF!,#REF!,#REF!,#REF!,#REF!,#REF!</definedName>
    <definedName name="__APW_RESTORE_DATA2362__">#REF!,#REF!,#REF!,#REF!,#REF!,#REF!,#REF!,#REF!,#REF!,#REF!,#REF!,#REF!,#REF!,#REF!,#REF!</definedName>
    <definedName name="__APW_RESTORE_DATA2363__">#REF!,#REF!,#REF!,#REF!,#REF!,#REF!,#REF!,#REF!,#REF!,#REF!,#REF!,#REF!,#REF!,#REF!,#REF!</definedName>
    <definedName name="__APW_RESTORE_DATA2364__">#REF!,#REF!,#REF!,#REF!,#REF!,#REF!,#REF!,#REF!,#REF!,#REF!,#REF!,#REF!,#REF!,#REF!,#REF!</definedName>
    <definedName name="__APW_RESTORE_DATA2365__">#REF!,#REF!,#REF!,#REF!,#REF!,#REF!,#REF!,#REF!,#REF!,#REF!,#REF!,#REF!,#REF!,#REF!,#REF!</definedName>
    <definedName name="__APW_RESTORE_DATA2366__">#REF!,#REF!,#REF!,#REF!,#REF!,#REF!,#REF!,#REF!,#REF!,#REF!,#REF!,#REF!,#REF!,#REF!,#REF!</definedName>
    <definedName name="__APW_RESTORE_DATA2367__">#REF!,#REF!,#REF!,#REF!,#REF!,#REF!,#REF!,#REF!,#REF!,#REF!,#REF!,#REF!,#REF!,#REF!,#REF!</definedName>
    <definedName name="__APW_RESTORE_DATA2368__">#REF!,#REF!,#REF!,#REF!,#REF!,#REF!,#REF!,#REF!,#REF!,#REF!,#REF!,#REF!,#REF!,#REF!,#REF!</definedName>
    <definedName name="__APW_RESTORE_DATA2369__">#REF!,#REF!,#REF!,#REF!,#REF!,#REF!,#REF!,#REF!,#REF!,#REF!,#REF!,#REF!,#REF!,#REF!,#REF!</definedName>
    <definedName name="__APW_RESTORE_DATA237__">#REF!,#REF!,#REF!,#REF!,#REF!,#REF!,#REF!,#REF!,#REF!,#REF!,#REF!,#REF!,#REF!,#REF!,#REF!</definedName>
    <definedName name="__APW_RESTORE_DATA2370__">#REF!,#REF!,#REF!,#REF!,#REF!,#REF!,#REF!,#REF!,#REF!,#REF!,#REF!,#REF!,#REF!,#REF!,#REF!</definedName>
    <definedName name="__APW_RESTORE_DATA2371__">#REF!,#REF!,#REF!,#REF!,#REF!,#REF!,#REF!,#REF!,#REF!,#REF!,#REF!,#REF!,#REF!,#REF!,#REF!</definedName>
    <definedName name="__APW_RESTORE_DATA2372__">#REF!,#REF!,#REF!,#REF!,#REF!,#REF!,#REF!,#REF!,#REF!,#REF!,#REF!,#REF!,#REF!,#REF!,#REF!</definedName>
    <definedName name="__APW_RESTORE_DATA2373__">#REF!,#REF!,#REF!,#REF!,#REF!,#REF!,#REF!,#REF!,#REF!,#REF!,#REF!,#REF!,#REF!,#REF!,#REF!</definedName>
    <definedName name="__APW_RESTORE_DATA2374__">#REF!,#REF!,#REF!,#REF!,#REF!,#REF!,#REF!,#REF!,#REF!,#REF!,#REF!,#REF!,#REF!,#REF!,#REF!</definedName>
    <definedName name="__APW_RESTORE_DATA2375__">#REF!,#REF!,#REF!,#REF!,#REF!,#REF!,#REF!,#REF!,#REF!,#REF!,#REF!,#REF!,#REF!,#REF!,#REF!</definedName>
    <definedName name="__APW_RESTORE_DATA2376__">#REF!,#REF!,#REF!,#REF!,#REF!,#REF!,#REF!,#REF!,#REF!,#REF!,#REF!,#REF!,#REF!,#REF!,#REF!</definedName>
    <definedName name="__APW_RESTORE_DATA2377__">#REF!,#REF!,#REF!,#REF!,#REF!,#REF!,#REF!,#REF!,#REF!,#REF!,#REF!,#REF!,#REF!,#REF!,#REF!</definedName>
    <definedName name="__APW_RESTORE_DATA2378__">#REF!,#REF!,#REF!,#REF!,#REF!,#REF!,#REF!,#REF!,#REF!,#REF!,#REF!,#REF!,#REF!,#REF!,#REF!</definedName>
    <definedName name="__APW_RESTORE_DATA2379__">#REF!,#REF!,#REF!,#REF!,#REF!,#REF!</definedName>
    <definedName name="__APW_RESTORE_DATA238__">#REF!,#REF!,#REF!,#REF!,#REF!,#REF!,#REF!,#REF!,#REF!,#REF!,#REF!,#REF!,#REF!,#REF!,#REF!</definedName>
    <definedName name="__APW_RESTORE_DATA2380__">#REF!,#REF!,#REF!,#REF!,#REF!,#REF!,#REF!,#REF!,#REF!,#REF!,#REF!,#REF!,#REF!,#REF!,#REF!,#REF!</definedName>
    <definedName name="__APW_RESTORE_DATA2381__">#REF!,#REF!,#REF!,#REF!,#REF!,#REF!,#REF!,#REF!,#REF!,#REF!,#REF!,#REF!,#REF!,#REF!,#REF!,#REF!</definedName>
    <definedName name="__APW_RESTORE_DATA2382__">#REF!,#REF!,#REF!,#REF!,#REF!,#REF!,#REF!,#REF!,#REF!,#REF!,#REF!,#REF!,#REF!,#REF!,#REF!,#REF!</definedName>
    <definedName name="__APW_RESTORE_DATA2383__">#REF!,#REF!,#REF!,#REF!,#REF!,#REF!,#REF!,#REF!,#REF!,#REF!,#REF!,#REF!,#REF!,#REF!,#REF!,#REF!</definedName>
    <definedName name="__APW_RESTORE_DATA2384__">#REF!,#REF!,#REF!,#REF!,#REF!,#REF!,#REF!,#REF!,#REF!,#REF!,#REF!,#REF!,#REF!,#REF!,#REF!,#REF!</definedName>
    <definedName name="__APW_RESTORE_DATA2385__">#REF!,#REF!,#REF!,#REF!,#REF!,#REF!,#REF!,#REF!,#REF!,#REF!,#REF!,#REF!,#REF!,#REF!,#REF!,#REF!</definedName>
    <definedName name="__APW_RESTORE_DATA2386__">#REF!,#REF!,#REF!,#REF!,#REF!,#REF!,#REF!,#REF!,#REF!,#REF!,#REF!,#REF!,#REF!,#REF!,#REF!</definedName>
    <definedName name="__APW_RESTORE_DATA2387__">#REF!,#REF!,#REF!,#REF!,#REF!,#REF!,#REF!,#REF!,#REF!,#REF!,#REF!,#REF!,#REF!,#REF!,#REF!</definedName>
    <definedName name="__APW_RESTORE_DATA2388__">#REF!,#REF!,#REF!,#REF!,#REF!,#REF!,#REF!,#REF!,#REF!,#REF!,#REF!,#REF!,#REF!,#REF!,#REF!</definedName>
    <definedName name="__APW_RESTORE_DATA2389__">#REF!,#REF!,#REF!,#REF!,#REF!,#REF!,#REF!,#REF!,#REF!,#REF!,#REF!,#REF!,#REF!,#REF!,#REF!</definedName>
    <definedName name="__APW_RESTORE_DATA239__">#REF!,#REF!,#REF!,#REF!,#REF!,#REF!,#REF!,#REF!,#REF!,#REF!,#REF!,#REF!,#REF!,#REF!,#REF!</definedName>
    <definedName name="__APW_RESTORE_DATA2390__">#REF!,#REF!,#REF!,#REF!,#REF!,#REF!,#REF!,#REF!,#REF!,#REF!,#REF!,#REF!,#REF!,#REF!,#REF!</definedName>
    <definedName name="__APW_RESTORE_DATA2391__">#REF!,#REF!,#REF!,#REF!,#REF!,#REF!,#REF!,#REF!,#REF!,#REF!,#REF!,#REF!,#REF!,#REF!,#REF!</definedName>
    <definedName name="__APW_RESTORE_DATA2392__">#REF!,#REF!,#REF!,#REF!,#REF!,#REF!,#REF!,#REF!,#REF!,#REF!,#REF!,#REF!,#REF!,#REF!,#REF!</definedName>
    <definedName name="__APW_RESTORE_DATA2393__">#REF!,#REF!,#REF!,#REF!,#REF!,#REF!,#REF!,#REF!,#REF!,#REF!,#REF!,#REF!,#REF!,#REF!,#REF!</definedName>
    <definedName name="__APW_RESTORE_DATA2394__">#REF!,#REF!,#REF!,#REF!,#REF!,#REF!,#REF!,#REF!,#REF!,#REF!,#REF!,#REF!,#REF!,#REF!,#REF!</definedName>
    <definedName name="__APW_RESTORE_DATA2395__">#REF!,#REF!,#REF!,#REF!,#REF!,#REF!,#REF!,#REF!,#REF!,#REF!,#REF!,#REF!,#REF!,#REF!,#REF!</definedName>
    <definedName name="__APW_RESTORE_DATA2396__">#REF!,#REF!,#REF!,#REF!,#REF!,#REF!,#REF!,#REF!,#REF!,#REF!,#REF!,#REF!,#REF!,#REF!,#REF!</definedName>
    <definedName name="__APW_RESTORE_DATA2397__">#REF!,#REF!,#REF!,#REF!,#REF!,#REF!,#REF!,#REF!,#REF!,#REF!,#REF!,#REF!,#REF!,#REF!,#REF!</definedName>
    <definedName name="__APW_RESTORE_DATA2398__">#REF!,#REF!,#REF!,#REF!,#REF!,#REF!,#REF!,#REF!,#REF!,#REF!,#REF!,#REF!,#REF!,#REF!,#REF!</definedName>
    <definedName name="__APW_RESTORE_DATA2399__">#REF!,#REF!,#REF!,#REF!,#REF!,#REF!,#REF!,#REF!,#REF!,#REF!,#REF!,#REF!,#REF!,#REF!,#REF!</definedName>
    <definedName name="__APW_RESTORE_DATA24__">#REF!,#REF!,#REF!,#REF!,#REF!,#REF!,#REF!,#REF!,#REF!,#REF!,#REF!,#REF!,#REF!,#REF!,#REF!,#REF!</definedName>
    <definedName name="__APW_RESTORE_DATA240__">#REF!,#REF!,#REF!,#REF!,#REF!,#REF!,#REF!,#REF!,#REF!,#REF!,#REF!,#REF!,#REF!,#REF!,#REF!</definedName>
    <definedName name="__APW_RESTORE_DATA2400__">#REF!,#REF!,#REF!,#REF!,#REF!,#REF!,#REF!,#REF!,#REF!,#REF!,#REF!,#REF!,#REF!,#REF!,#REF!</definedName>
    <definedName name="__APW_RESTORE_DATA2401__">#REF!,#REF!,#REF!,#REF!,#REF!,#REF!,#REF!,#REF!,#REF!,#REF!,#REF!,#REF!,#REF!,#REF!,#REF!</definedName>
    <definedName name="__APW_RESTORE_DATA2402__">#REF!,#REF!,#REF!,#REF!,#REF!,#REF!,#REF!,#REF!,#REF!,#REF!,#REF!,#REF!,#REF!,#REF!,#REF!</definedName>
    <definedName name="__APW_RESTORE_DATA2403__">#REF!,#REF!,#REF!,#REF!,#REF!,#REF!,#REF!,#REF!,#REF!,#REF!,#REF!,#REF!,#REF!,#REF!,#REF!</definedName>
    <definedName name="__APW_RESTORE_DATA2404__">#REF!,#REF!,#REF!,#REF!,#REF!,#REF!,#REF!,#REF!,#REF!,#REF!,#REF!,#REF!,#REF!,#REF!,#REF!</definedName>
    <definedName name="__APW_RESTORE_DATA2405__">#REF!,#REF!,#REF!,#REF!,#REF!,#REF!,#REF!,#REF!,#REF!,#REF!,#REF!,#REF!,#REF!,#REF!,#REF!</definedName>
    <definedName name="__APW_RESTORE_DATA2406__">#REF!,#REF!,#REF!,#REF!,#REF!,#REF!,#REF!,#REF!,#REF!,#REF!,#REF!,#REF!,#REF!,#REF!,#REF!</definedName>
    <definedName name="__APW_RESTORE_DATA2407__">#REF!,#REF!,#REF!,#REF!,#REF!,#REF!,#REF!,#REF!,#REF!,#REF!,#REF!,#REF!,#REF!,#REF!,#REF!</definedName>
    <definedName name="__APW_RESTORE_DATA2408__">#REF!,#REF!,#REF!,#REF!,#REF!,#REF!,#REF!,#REF!,#REF!,#REF!,#REF!,#REF!,#REF!,#REF!,#REF!</definedName>
    <definedName name="__APW_RESTORE_DATA2409__">#REF!,#REF!,#REF!,#REF!,#REF!,#REF!,#REF!,#REF!,#REF!,#REF!,#REF!,#REF!,#REF!,#REF!,#REF!</definedName>
    <definedName name="__APW_RESTORE_DATA241__">#REF!,#REF!,#REF!,#REF!,#REF!,#REF!,#REF!,#REF!,#REF!,#REF!,#REF!,#REF!,#REF!,#REF!,#REF!</definedName>
    <definedName name="__APW_RESTORE_DATA2410__">#REF!,#REF!,#REF!,#REF!,#REF!,#REF!,#REF!,#REF!,#REF!,#REF!,#REF!,#REF!,#REF!,#REF!,#REF!</definedName>
    <definedName name="__APW_RESTORE_DATA2411__">#REF!,#REF!,#REF!,#REF!,#REF!,#REF!,#REF!,#REF!,#REF!,#REF!,#REF!,#REF!,#REF!,#REF!,#REF!</definedName>
    <definedName name="__APW_RESTORE_DATA2412__">#REF!,#REF!,#REF!,#REF!,#REF!,#REF!,#REF!,#REF!,#REF!,#REF!,#REF!,#REF!,#REF!,#REF!,#REF!</definedName>
    <definedName name="__APW_RESTORE_DATA2413__">#REF!,#REF!,#REF!,#REF!,#REF!,#REF!,#REF!,#REF!,#REF!,#REF!,#REF!,#REF!,#REF!,#REF!,#REF!</definedName>
    <definedName name="__APW_RESTORE_DATA2414__">#REF!,#REF!,#REF!,#REF!,#REF!,#REF!</definedName>
    <definedName name="__APW_RESTORE_DATA2415__">#REF!,#REF!,#REF!,#REF!,#REF!,#REF!,#REF!,#REF!,#REF!,#REF!,#REF!,#REF!,#REF!,#REF!,#REF!,#REF!</definedName>
    <definedName name="__APW_RESTORE_DATA2416__">#REF!,#REF!,#REF!,#REF!,#REF!,#REF!,#REF!,#REF!,#REF!,#REF!,#REF!,#REF!,#REF!,#REF!,#REF!,#REF!</definedName>
    <definedName name="__APW_RESTORE_DATA2417__">#REF!,#REF!,#REF!,#REF!,#REF!,#REF!,#REF!,#REF!,#REF!,#REF!,#REF!,#REF!,#REF!,#REF!,#REF!,#REF!</definedName>
    <definedName name="__APW_RESTORE_DATA2418__">#REF!,#REF!,#REF!,#REF!,#REF!,#REF!,#REF!,#REF!,#REF!,#REF!,#REF!,#REF!,#REF!,#REF!,#REF!,#REF!</definedName>
    <definedName name="__APW_RESTORE_DATA2419__">#REF!,#REF!,#REF!,#REF!,#REF!,#REF!,#REF!,#REF!,#REF!,#REF!,#REF!,#REF!,#REF!,#REF!,#REF!,#REF!</definedName>
    <definedName name="__APW_RESTORE_DATA242__">#REF!,#REF!,#REF!,#REF!,#REF!,#REF!,#REF!,#REF!,#REF!,#REF!,#REF!,#REF!,#REF!,#REF!,#REF!</definedName>
    <definedName name="__APW_RESTORE_DATA2420__">#REF!,#REF!,#REF!,#REF!,#REF!,#REF!,#REF!,#REF!,#REF!,#REF!,#REF!,#REF!,#REF!,#REF!,#REF!,#REF!</definedName>
    <definedName name="__APW_RESTORE_DATA2421__">#REF!,#REF!,#REF!,#REF!,#REF!,#REF!,#REF!,#REF!,#REF!,#REF!,#REF!,#REF!,#REF!,#REF!,#REF!</definedName>
    <definedName name="__APW_RESTORE_DATA2422__">#REF!,#REF!,#REF!,#REF!,#REF!,#REF!,#REF!,#REF!,#REF!,#REF!,#REF!,#REF!,#REF!,#REF!,#REF!</definedName>
    <definedName name="__APW_RESTORE_DATA2423__">#REF!,#REF!,#REF!,#REF!,#REF!,#REF!,#REF!,#REF!,#REF!,#REF!,#REF!,#REF!,#REF!,#REF!,#REF!</definedName>
    <definedName name="__APW_RESTORE_DATA2424__">#REF!,#REF!,#REF!,#REF!,#REF!,#REF!,#REF!,#REF!,#REF!,#REF!,#REF!,#REF!,#REF!,#REF!,#REF!</definedName>
    <definedName name="__APW_RESTORE_DATA2425__">#REF!,#REF!,#REF!,#REF!,#REF!,#REF!,#REF!,#REF!,#REF!,#REF!,#REF!,#REF!,#REF!,#REF!,#REF!</definedName>
    <definedName name="__APW_RESTORE_DATA2426__">#REF!,#REF!,#REF!,#REF!,#REF!,#REF!,#REF!,#REF!,#REF!,#REF!,#REF!,#REF!,#REF!,#REF!,#REF!</definedName>
    <definedName name="__APW_RESTORE_DATA2427__">#REF!,#REF!,#REF!,#REF!,#REF!,#REF!,#REF!,#REF!,#REF!,#REF!,#REF!,#REF!,#REF!,#REF!,#REF!</definedName>
    <definedName name="__APW_RESTORE_DATA2428__">#REF!,#REF!,#REF!,#REF!,#REF!,#REF!,#REF!,#REF!,#REF!,#REF!,#REF!,#REF!,#REF!,#REF!,#REF!</definedName>
    <definedName name="__APW_RESTORE_DATA2429__">#REF!,#REF!,#REF!,#REF!,#REF!,#REF!,#REF!,#REF!,#REF!,#REF!,#REF!,#REF!,#REF!,#REF!,#REF!</definedName>
    <definedName name="__APW_RESTORE_DATA243__">#REF!,#REF!,#REF!,#REF!,#REF!,#REF!,#REF!,#REF!,#REF!,#REF!,#REF!,#REF!,#REF!,#REF!,#REF!</definedName>
    <definedName name="__APW_RESTORE_DATA2430__">#REF!,#REF!,#REF!,#REF!,#REF!,#REF!,#REF!,#REF!,#REF!,#REF!,#REF!,#REF!,#REF!,#REF!,#REF!</definedName>
    <definedName name="__APW_RESTORE_DATA2431__">#REF!,#REF!,#REF!,#REF!,#REF!,#REF!,#REF!,#REF!,#REF!,#REF!,#REF!,#REF!,#REF!,#REF!,#REF!</definedName>
    <definedName name="__APW_RESTORE_DATA2432__">#REF!,#REF!,#REF!,#REF!,#REF!,#REF!,#REF!,#REF!,#REF!,#REF!,#REF!,#REF!,#REF!,#REF!,#REF!</definedName>
    <definedName name="__APW_RESTORE_DATA2433__">#REF!,#REF!,#REF!,#REF!,#REF!,#REF!,#REF!,#REF!,#REF!,#REF!,#REF!,#REF!,#REF!,#REF!,#REF!</definedName>
    <definedName name="__APW_RESTORE_DATA2434__">#REF!,#REF!,#REF!,#REF!,#REF!,#REF!,#REF!,#REF!,#REF!,#REF!,#REF!,#REF!,#REF!,#REF!,#REF!</definedName>
    <definedName name="__APW_RESTORE_DATA2435__">#REF!,#REF!,#REF!,#REF!,#REF!,#REF!,#REF!,#REF!,#REF!,#REF!,#REF!,#REF!,#REF!,#REF!,#REF!</definedName>
    <definedName name="__APW_RESTORE_DATA2436__">#REF!,#REF!,#REF!,#REF!,#REF!,#REF!,#REF!,#REF!,#REF!,#REF!,#REF!,#REF!,#REF!,#REF!,#REF!</definedName>
    <definedName name="__APW_RESTORE_DATA2437__">#REF!,#REF!,#REF!,#REF!,#REF!,#REF!,#REF!,#REF!,#REF!,#REF!,#REF!,#REF!,#REF!,#REF!,#REF!</definedName>
    <definedName name="__APW_RESTORE_DATA2438__">#REF!,#REF!,#REF!,#REF!,#REF!,#REF!,#REF!,#REF!,#REF!,#REF!,#REF!,#REF!,#REF!,#REF!,#REF!</definedName>
    <definedName name="__APW_RESTORE_DATA2439__">#REF!,#REF!,#REF!,#REF!,#REF!,#REF!,#REF!,#REF!,#REF!,#REF!,#REF!,#REF!,#REF!,#REF!,#REF!</definedName>
    <definedName name="__APW_RESTORE_DATA244__">#REF!,#REF!,#REF!,#REF!,#REF!,#REF!,#REF!,#REF!,#REF!,#REF!,#REF!,#REF!,#REF!,#REF!,#REF!</definedName>
    <definedName name="__APW_RESTORE_DATA2440__">#REF!,#REF!,#REF!,#REF!,#REF!,#REF!,#REF!,#REF!,#REF!,#REF!,#REF!,#REF!,#REF!,#REF!,#REF!</definedName>
    <definedName name="__APW_RESTORE_DATA2441__">#REF!,#REF!,#REF!,#REF!,#REF!,#REF!,#REF!,#REF!,#REF!,#REF!,#REF!,#REF!,#REF!,#REF!,#REF!</definedName>
    <definedName name="__APW_RESTORE_DATA2442__">#REF!,#REF!,#REF!,#REF!,#REF!,#REF!,#REF!,#REF!,#REF!,#REF!,#REF!,#REF!,#REF!,#REF!,#REF!</definedName>
    <definedName name="__APW_RESTORE_DATA2443__">#REF!,#REF!,#REF!,#REF!,#REF!,#REF!,#REF!,#REF!,#REF!,#REF!,#REF!,#REF!,#REF!,#REF!,#REF!</definedName>
    <definedName name="__APW_RESTORE_DATA2444__">#REF!,#REF!,#REF!,#REF!,#REF!,#REF!,#REF!,#REF!,#REF!,#REF!,#REF!,#REF!,#REF!,#REF!,#REF!</definedName>
    <definedName name="__APW_RESTORE_DATA2445__">#REF!,#REF!,#REF!,#REF!,#REF!,#REF!,#REF!,#REF!,#REF!,#REF!,#REF!,#REF!,#REF!,#REF!,#REF!</definedName>
    <definedName name="__APW_RESTORE_DATA2446__">#REF!,#REF!,#REF!,#REF!,#REF!,#REF!,#REF!,#REF!,#REF!,#REF!,#REF!,#REF!,#REF!,#REF!,#REF!</definedName>
    <definedName name="__APW_RESTORE_DATA2447__">#REF!,#REF!,#REF!,#REF!,#REF!,#REF!,#REF!,#REF!,#REF!,#REF!,#REF!,#REF!,#REF!,#REF!,#REF!</definedName>
    <definedName name="__APW_RESTORE_DATA2448__">#REF!,#REF!,#REF!,#REF!,#REF!,#REF!,#REF!,#REF!,#REF!,#REF!,#REF!,#REF!,#REF!,#REF!,#REF!</definedName>
    <definedName name="__APW_RESTORE_DATA2449__">#REF!,#REF!,#REF!,#REF!,#REF!,#REF!</definedName>
    <definedName name="__APW_RESTORE_DATA245__">#REF!,#REF!,#REF!,#REF!,#REF!,#REF!,#REF!,#REF!,#REF!,#REF!,#REF!,#REF!,#REF!,#REF!,#REF!</definedName>
    <definedName name="__APW_RESTORE_DATA2450__">#REF!</definedName>
    <definedName name="__APW_RESTORE_DATA2451__">#REF!</definedName>
    <definedName name="__APW_RESTORE_DATA2452__">#REF!</definedName>
    <definedName name="__APW_RESTORE_DATA2454__">#REF!</definedName>
    <definedName name="__APW_RESTORE_DATA2455__">#REF!,#REF!,#REF!,#REF!,#REF!,#REF!,#REF!,#REF!,#REF!,#REF!,#REF!,#REF!,#REF!,#REF!,#REF!,#REF!</definedName>
    <definedName name="__APW_RESTORE_DATA2456__">#REF!,#REF!,#REF!,#REF!,#REF!,#REF!,#REF!,#REF!,#REF!,#REF!,#REF!,#REF!,#REF!,#REF!,#REF!,#REF!</definedName>
    <definedName name="__APW_RESTORE_DATA2457__">#REF!,#REF!,#REF!,#REF!,#REF!,#REF!,#REF!,#REF!,#REF!,#REF!,#REF!,#REF!,#REF!,#REF!,#REF!,#REF!</definedName>
    <definedName name="__APW_RESTORE_DATA2458__">#REF!,#REF!,#REF!,#REF!,#REF!,#REF!,#REF!,#REF!,#REF!,#REF!,#REF!,#REF!,#REF!,#REF!,#REF!,#REF!</definedName>
    <definedName name="__APW_RESTORE_DATA2459__">#REF!,#REF!,#REF!,#REF!,#REF!,#REF!,#REF!,#REF!,#REF!,#REF!,#REF!,#REF!,#REF!,#REF!,#REF!,#REF!</definedName>
    <definedName name="__APW_RESTORE_DATA246__">#REF!,#REF!,#REF!,#REF!,#REF!,#REF!,#REF!,#REF!,#REF!,#REF!,#REF!,#REF!,#REF!,#REF!,#REF!</definedName>
    <definedName name="__APW_RESTORE_DATA2460__">#REF!,#REF!,#REF!,#REF!,#REF!,#REF!,#REF!,#REF!,#REF!,#REF!,#REF!,#REF!,#REF!,#REF!,#REF!,#REF!</definedName>
    <definedName name="__APW_RESTORE_DATA2461__">#REF!,#REF!,#REF!,#REF!,#REF!,#REF!,#REF!,#REF!,#REF!,#REF!,#REF!,#REF!,#REF!,#REF!,#REF!</definedName>
    <definedName name="__APW_RESTORE_DATA2462__">#REF!,#REF!,#REF!,#REF!,#REF!,#REF!,#REF!,#REF!,#REF!,#REF!,#REF!,#REF!,#REF!,#REF!,#REF!</definedName>
    <definedName name="__APW_RESTORE_DATA2463__">#REF!,#REF!,#REF!,#REF!,#REF!,#REF!,#REF!,#REF!,#REF!,#REF!,#REF!,#REF!,#REF!,#REF!,#REF!</definedName>
    <definedName name="__APW_RESTORE_DATA2464__">#REF!,#REF!,#REF!,#REF!,#REF!,#REF!,#REF!,#REF!,#REF!,#REF!,#REF!,#REF!,#REF!,#REF!,#REF!</definedName>
    <definedName name="__APW_RESTORE_DATA2465__">#REF!,#REF!,#REF!,#REF!,#REF!,#REF!,#REF!,#REF!,#REF!,#REF!,#REF!,#REF!,#REF!,#REF!,#REF!</definedName>
    <definedName name="__APW_RESTORE_DATA2466__">#REF!,#REF!,#REF!,#REF!,#REF!,#REF!,#REF!,#REF!,#REF!,#REF!,#REF!,#REF!,#REF!,#REF!,#REF!</definedName>
    <definedName name="__APW_RESTORE_DATA2467__">#REF!,#REF!,#REF!,#REF!,#REF!,#REF!,#REF!,#REF!,#REF!,#REF!,#REF!,#REF!,#REF!,#REF!,#REF!</definedName>
    <definedName name="__APW_RESTORE_DATA2468__">#REF!,#REF!,#REF!,#REF!,#REF!,#REF!,#REF!,#REF!,#REF!,#REF!,#REF!,#REF!,#REF!,#REF!,#REF!</definedName>
    <definedName name="__APW_RESTORE_DATA2469__">#REF!,#REF!,#REF!,#REF!,#REF!,#REF!,#REF!,#REF!,#REF!,#REF!,#REF!,#REF!,#REF!,#REF!,#REF!</definedName>
    <definedName name="__APW_RESTORE_DATA247__">#REF!,#REF!,#REF!,#REF!,#REF!,#REF!,#REF!,#REF!,#REF!,#REF!,#REF!,#REF!,#REF!,#REF!,#REF!</definedName>
    <definedName name="__APW_RESTORE_DATA2470__">#REF!,#REF!,#REF!,#REF!,#REF!,#REF!,#REF!,#REF!,#REF!,#REF!,#REF!,#REF!,#REF!,#REF!,#REF!</definedName>
    <definedName name="__APW_RESTORE_DATA2471__">#REF!,#REF!,#REF!,#REF!,#REF!,#REF!,#REF!,#REF!,#REF!,#REF!,#REF!,#REF!,#REF!,#REF!,#REF!</definedName>
    <definedName name="__APW_RESTORE_DATA2472__">#REF!,#REF!,#REF!,#REF!,#REF!,#REF!,#REF!,#REF!,#REF!,#REF!,#REF!,#REF!,#REF!,#REF!,#REF!</definedName>
    <definedName name="__APW_RESTORE_DATA2473__">#REF!,#REF!,#REF!,#REF!,#REF!,#REF!,#REF!,#REF!,#REF!,#REF!,#REF!,#REF!,#REF!,#REF!,#REF!</definedName>
    <definedName name="__APW_RESTORE_DATA2474__">#REF!,#REF!,#REF!,#REF!,#REF!,#REF!,#REF!,#REF!,#REF!,#REF!,#REF!,#REF!,#REF!,#REF!,#REF!</definedName>
    <definedName name="__APW_RESTORE_DATA2475__">#REF!,#REF!,#REF!,#REF!,#REF!,#REF!,#REF!,#REF!,#REF!,#REF!,#REF!,#REF!,#REF!,#REF!,#REF!</definedName>
    <definedName name="__APW_RESTORE_DATA2476__">#REF!,#REF!,#REF!,#REF!,#REF!,#REF!,#REF!,#REF!,#REF!,#REF!,#REF!,#REF!,#REF!,#REF!,#REF!</definedName>
    <definedName name="__APW_RESTORE_DATA2477__">#REF!,#REF!,#REF!,#REF!,#REF!,#REF!,#REF!,#REF!,#REF!,#REF!,#REF!,#REF!,#REF!,#REF!,#REF!</definedName>
    <definedName name="__APW_RESTORE_DATA2478__">#REF!,#REF!,#REF!,#REF!,#REF!,#REF!,#REF!,#REF!,#REF!,#REF!,#REF!,#REF!,#REF!,#REF!,#REF!</definedName>
    <definedName name="__APW_RESTORE_DATA2479__">#REF!,#REF!,#REF!,#REF!,#REF!,#REF!,#REF!,#REF!,#REF!,#REF!,#REF!,#REF!,#REF!,#REF!,#REF!</definedName>
    <definedName name="__APW_RESTORE_DATA248__">#REF!,#REF!,#REF!,#REF!,#REF!,#REF!,#REF!,#REF!,#REF!,#REF!,#REF!,#REF!,#REF!,#REF!,#REF!</definedName>
    <definedName name="__APW_RESTORE_DATA2480__">#REF!,#REF!,#REF!,#REF!,#REF!,#REF!,#REF!,#REF!,#REF!,#REF!,#REF!,#REF!,#REF!,#REF!,#REF!</definedName>
    <definedName name="__APW_RESTORE_DATA2481__">#REF!,#REF!,#REF!,#REF!,#REF!,#REF!,#REF!,#REF!,#REF!,#REF!,#REF!,#REF!,#REF!,#REF!,#REF!</definedName>
    <definedName name="__APW_RESTORE_DATA2482__">#REF!,#REF!,#REF!,#REF!,#REF!,#REF!,#REF!,#REF!,#REF!,#REF!,#REF!,#REF!,#REF!,#REF!,#REF!</definedName>
    <definedName name="__APW_RESTORE_DATA2483__">#REF!,#REF!,#REF!,#REF!,#REF!,#REF!,#REF!,#REF!,#REF!,#REF!,#REF!,#REF!,#REF!,#REF!,#REF!</definedName>
    <definedName name="__APW_RESTORE_DATA2484__">#REF!,#REF!,#REF!,#REF!,#REF!,#REF!,#REF!,#REF!,#REF!,#REF!,#REF!,#REF!,#REF!,#REF!,#REF!</definedName>
    <definedName name="__APW_RESTORE_DATA2485__">#REF!,#REF!,#REF!,#REF!,#REF!,#REF!,#REF!,#REF!,#REF!,#REF!,#REF!,#REF!,#REF!,#REF!,#REF!</definedName>
    <definedName name="__APW_RESTORE_DATA2486__">#REF!,#REF!,#REF!,#REF!,#REF!,#REF!,#REF!,#REF!,#REF!,#REF!,#REF!,#REF!,#REF!,#REF!,#REF!</definedName>
    <definedName name="__APW_RESTORE_DATA2487__">#REF!,#REF!,#REF!,#REF!,#REF!,#REF!,#REF!,#REF!,#REF!,#REF!,#REF!,#REF!,#REF!,#REF!,#REF!</definedName>
    <definedName name="__APW_RESTORE_DATA2488__">#REF!,#REF!,#REF!,#REF!,#REF!,#REF!,#REF!,#REF!,#REF!,#REF!,#REF!,#REF!,#REF!,#REF!,#REF!</definedName>
    <definedName name="__APW_RESTORE_DATA2489__">#REF!,#REF!,#REF!,#REF!,#REF!,#REF!</definedName>
    <definedName name="__APW_RESTORE_DATA249__">#REF!,#REF!</definedName>
    <definedName name="__APW_RESTORE_DATA2490__">#REF!,#REF!,#REF!,#REF!,#REF!,#REF!,#REF!,#REF!,#REF!,#REF!,#REF!,#REF!,#REF!,#REF!,#REF!,#REF!</definedName>
    <definedName name="__APW_RESTORE_DATA2491__">#REF!,#REF!,#REF!,#REF!,#REF!,#REF!,#REF!,#REF!,#REF!,#REF!,#REF!,#REF!,#REF!,#REF!,#REF!,#REF!</definedName>
    <definedName name="__APW_RESTORE_DATA2492__">#REF!,#REF!,#REF!,#REF!,#REF!,#REF!,#REF!,#REF!,#REF!,#REF!,#REF!,#REF!,#REF!,#REF!,#REF!,#REF!</definedName>
    <definedName name="__APW_RESTORE_DATA2493__">#REF!,#REF!,#REF!,#REF!,#REF!,#REF!,#REF!,#REF!,#REF!,#REF!,#REF!,#REF!,#REF!,#REF!,#REF!,#REF!</definedName>
    <definedName name="__APW_RESTORE_DATA2494__">#REF!,#REF!,#REF!,#REF!,#REF!,#REF!,#REF!,#REF!,#REF!,#REF!,#REF!,#REF!,#REF!,#REF!,#REF!,#REF!</definedName>
    <definedName name="__APW_RESTORE_DATA2495__">#REF!,#REF!,#REF!,#REF!,#REF!,#REF!,#REF!,#REF!,#REF!,#REF!,#REF!,#REF!,#REF!,#REF!,#REF!,#REF!</definedName>
    <definedName name="__APW_RESTORE_DATA2496__">#REF!,#REF!,#REF!,#REF!,#REF!,#REF!,#REF!,#REF!,#REF!,#REF!,#REF!,#REF!,#REF!,#REF!,#REF!</definedName>
    <definedName name="__APW_RESTORE_DATA2497__">#REF!,#REF!,#REF!,#REF!,#REF!,#REF!,#REF!,#REF!,#REF!,#REF!,#REF!,#REF!,#REF!,#REF!,#REF!</definedName>
    <definedName name="__APW_RESTORE_DATA2498__">#REF!,#REF!,#REF!,#REF!,#REF!,#REF!,#REF!,#REF!,#REF!,#REF!,#REF!,#REF!,#REF!,#REF!,#REF!</definedName>
    <definedName name="__APW_RESTORE_DATA2499__">#REF!,#REF!,#REF!,#REF!,#REF!,#REF!,#REF!,#REF!,#REF!,#REF!,#REF!,#REF!,#REF!,#REF!,#REF!</definedName>
    <definedName name="__APW_RESTORE_DATA25__">#REF!,#REF!,#REF!,#REF!,#REF!,#REF!,#REF!,#REF!,#REF!,#REF!,#REF!,#REF!,#REF!,#REF!,#REF!</definedName>
    <definedName name="__APW_RESTORE_DATA250__">#REF!,#REF!,#REF!,#REF!,#REF!,#REF!,#REF!,#REF!,#REF!,#REF!,#REF!,#REF!,#REF!,#REF!,#REF!</definedName>
    <definedName name="__APW_RESTORE_DATA2500__">#REF!,#REF!,#REF!,#REF!,#REF!,#REF!,#REF!,#REF!,#REF!,#REF!,#REF!,#REF!,#REF!,#REF!,#REF!</definedName>
    <definedName name="__APW_RESTORE_DATA2501__">#REF!,#REF!,#REF!,#REF!,#REF!,#REF!,#REF!,#REF!,#REF!,#REF!,#REF!,#REF!,#REF!,#REF!,#REF!</definedName>
    <definedName name="__APW_RESTORE_DATA2502__">#REF!,#REF!,#REF!,#REF!,#REF!,#REF!,#REF!,#REF!,#REF!,#REF!,#REF!,#REF!,#REF!,#REF!,#REF!</definedName>
    <definedName name="__APW_RESTORE_DATA2503__">#REF!,#REF!,#REF!,#REF!,#REF!,#REF!,#REF!,#REF!,#REF!,#REF!,#REF!,#REF!,#REF!,#REF!,#REF!</definedName>
    <definedName name="__APW_RESTORE_DATA2504__">#REF!,#REF!,#REF!,#REF!,#REF!,#REF!,#REF!,#REF!,#REF!,#REF!,#REF!,#REF!,#REF!,#REF!,#REF!</definedName>
    <definedName name="__APW_RESTORE_DATA2505__">#REF!,#REF!,#REF!,#REF!,#REF!,#REF!,#REF!,#REF!,#REF!,#REF!,#REF!,#REF!,#REF!,#REF!,#REF!</definedName>
    <definedName name="__APW_RESTORE_DATA2506__">#REF!,#REF!,#REF!,#REF!,#REF!,#REF!,#REF!,#REF!,#REF!,#REF!,#REF!,#REF!,#REF!,#REF!,#REF!</definedName>
    <definedName name="__APW_RESTORE_DATA2507__">#REF!,#REF!,#REF!,#REF!,#REF!,#REF!,#REF!,#REF!,#REF!,#REF!,#REF!,#REF!,#REF!,#REF!,#REF!</definedName>
    <definedName name="__APW_RESTORE_DATA2508__">#REF!,#REF!,#REF!,#REF!,#REF!,#REF!,#REF!,#REF!,#REF!,#REF!,#REF!,#REF!,#REF!,#REF!,#REF!</definedName>
    <definedName name="__APW_RESTORE_DATA2509__">#REF!,#REF!,#REF!,#REF!,#REF!,#REF!,#REF!,#REF!,#REF!,#REF!,#REF!,#REF!,#REF!,#REF!,#REF!</definedName>
    <definedName name="__APW_RESTORE_DATA251__">#REF!,#REF!,#REF!,#REF!,#REF!,#REF!,#REF!,#REF!</definedName>
    <definedName name="__APW_RESTORE_DATA2510__">#REF!,#REF!,#REF!,#REF!,#REF!,#REF!,#REF!,#REF!,#REF!,#REF!,#REF!,#REF!,#REF!,#REF!,#REF!</definedName>
    <definedName name="__APW_RESTORE_DATA2511__">#REF!,#REF!,#REF!,#REF!,#REF!,#REF!,#REF!,#REF!,#REF!,#REF!,#REF!,#REF!,#REF!,#REF!,#REF!</definedName>
    <definedName name="__APW_RESTORE_DATA2512__">#REF!,#REF!,#REF!,#REF!,#REF!,#REF!,#REF!,#REF!,#REF!,#REF!,#REF!,#REF!,#REF!,#REF!,#REF!</definedName>
    <definedName name="__APW_RESTORE_DATA2513__">#REF!,#REF!,#REF!,#REF!,#REF!,#REF!,#REF!,#REF!,#REF!,#REF!,#REF!,#REF!,#REF!,#REF!,#REF!</definedName>
    <definedName name="__APW_RESTORE_DATA2514__">#REF!,#REF!,#REF!,#REF!,#REF!,#REF!,#REF!,#REF!,#REF!,#REF!,#REF!,#REF!,#REF!,#REF!,#REF!</definedName>
    <definedName name="__APW_RESTORE_DATA2515__">#REF!,#REF!,#REF!,#REF!,#REF!,#REF!,#REF!,#REF!,#REF!,#REF!,#REF!,#REF!,#REF!,#REF!,#REF!</definedName>
    <definedName name="__APW_RESTORE_DATA2516__">#REF!,#REF!,#REF!,#REF!,#REF!,#REF!,#REF!,#REF!,#REF!,#REF!,#REF!,#REF!,#REF!,#REF!,#REF!</definedName>
    <definedName name="__APW_RESTORE_DATA2517__">#REF!,#REF!,#REF!,#REF!,#REF!,#REF!,#REF!,#REF!,#REF!,#REF!,#REF!,#REF!,#REF!,#REF!,#REF!</definedName>
    <definedName name="__APW_RESTORE_DATA2518__">#REF!,#REF!,#REF!,#REF!,#REF!,#REF!,#REF!,#REF!,#REF!,#REF!,#REF!,#REF!,#REF!,#REF!,#REF!</definedName>
    <definedName name="__APW_RESTORE_DATA2519__">#REF!,#REF!,#REF!,#REF!,#REF!,#REF!,#REF!,#REF!,#REF!,#REF!,#REF!,#REF!,#REF!,#REF!,#REF!</definedName>
    <definedName name="__APW_RESTORE_DATA252__">#REF!,#REF!,#REF!,#REF!,#REF!,#REF!,#REF!,#REF!,#REF!,#REF!,#REF!,#REF!,#REF!,#REF!,#REF!,#REF!</definedName>
    <definedName name="__APW_RESTORE_DATA2520__">#REF!,#REF!,#REF!,#REF!,#REF!,#REF!,#REF!,#REF!,#REF!,#REF!,#REF!,#REF!,#REF!,#REF!,#REF!</definedName>
    <definedName name="__APW_RESTORE_DATA2521__">#REF!,#REF!,#REF!,#REF!,#REF!,#REF!,#REF!,#REF!,#REF!,#REF!,#REF!,#REF!,#REF!,#REF!,#REF!</definedName>
    <definedName name="__APW_RESTORE_DATA2522__">#REF!,#REF!,#REF!,#REF!,#REF!,#REF!,#REF!,#REF!,#REF!,#REF!,#REF!,#REF!,#REF!,#REF!,#REF!</definedName>
    <definedName name="__APW_RESTORE_DATA2523__">#REF!,#REF!,#REF!,#REF!,#REF!,#REF!,#REF!,#REF!,#REF!,#REF!,#REF!,#REF!,#REF!,#REF!,#REF!</definedName>
    <definedName name="__APW_RESTORE_DATA2524__">#REF!,#REF!,#REF!,#REF!,#REF!,#REF!</definedName>
    <definedName name="__APW_RESTORE_DATA2525__">#REF!,#REF!,#REF!,#REF!,#REF!,#REF!,#REF!,#REF!,#REF!,#REF!,#REF!,#REF!,#REF!,#REF!,#REF!,#REF!</definedName>
    <definedName name="__APW_RESTORE_DATA2526__">#REF!,#REF!,#REF!,#REF!,#REF!,#REF!,#REF!,#REF!,#REF!,#REF!,#REF!,#REF!,#REF!,#REF!,#REF!,#REF!</definedName>
    <definedName name="__APW_RESTORE_DATA2527__">#REF!,#REF!,#REF!,#REF!,#REF!,#REF!,#REF!,#REF!,#REF!,#REF!,#REF!,#REF!,#REF!,#REF!,#REF!,#REF!</definedName>
    <definedName name="__APW_RESTORE_DATA2528__">#REF!,#REF!,#REF!,#REF!,#REF!,#REF!,#REF!,#REF!,#REF!,#REF!,#REF!,#REF!,#REF!,#REF!,#REF!,#REF!</definedName>
    <definedName name="__APW_RESTORE_DATA2529__">#REF!,#REF!,#REF!,#REF!,#REF!,#REF!,#REF!,#REF!,#REF!,#REF!,#REF!,#REF!,#REF!,#REF!,#REF!,#REF!</definedName>
    <definedName name="__APW_RESTORE_DATA253__">#REF!,#REF!,#REF!,#REF!,#REF!,#REF!,#REF!,#REF!,#REF!,#REF!,#REF!,#REF!,#REF!,#REF!,#REF!,#REF!</definedName>
    <definedName name="__APW_RESTORE_DATA2530__">#REF!,#REF!,#REF!,#REF!,#REF!,#REF!,#REF!,#REF!,#REF!,#REF!,#REF!,#REF!,#REF!,#REF!,#REF!,#REF!</definedName>
    <definedName name="__APW_RESTORE_DATA2531__">#REF!,#REF!,#REF!,#REF!,#REF!,#REF!,#REF!,#REF!,#REF!,#REF!,#REF!,#REF!,#REF!,#REF!,#REF!</definedName>
    <definedName name="__APW_RESTORE_DATA2532__">#REF!,#REF!,#REF!,#REF!,#REF!,#REF!,#REF!,#REF!,#REF!,#REF!,#REF!,#REF!,#REF!,#REF!,#REF!</definedName>
    <definedName name="__APW_RESTORE_DATA2533__">#REF!,#REF!,#REF!,#REF!,#REF!,#REF!,#REF!,#REF!,#REF!,#REF!,#REF!,#REF!,#REF!,#REF!,#REF!</definedName>
    <definedName name="__APW_RESTORE_DATA2534__">#REF!,#REF!,#REF!,#REF!,#REF!,#REF!,#REF!,#REF!,#REF!,#REF!,#REF!,#REF!,#REF!,#REF!,#REF!</definedName>
    <definedName name="__APW_RESTORE_DATA2535__">#REF!,#REF!,#REF!,#REF!,#REF!,#REF!,#REF!,#REF!,#REF!,#REF!,#REF!,#REF!,#REF!,#REF!,#REF!</definedName>
    <definedName name="__APW_RESTORE_DATA2536__">#REF!,#REF!,#REF!,#REF!,#REF!,#REF!,#REF!,#REF!,#REF!,#REF!,#REF!,#REF!,#REF!,#REF!,#REF!</definedName>
    <definedName name="__APW_RESTORE_DATA2537__">#REF!,#REF!,#REF!,#REF!,#REF!,#REF!,#REF!,#REF!,#REF!,#REF!,#REF!,#REF!,#REF!,#REF!,#REF!</definedName>
    <definedName name="__APW_RESTORE_DATA2538__">#REF!,#REF!,#REF!,#REF!,#REF!,#REF!,#REF!,#REF!,#REF!,#REF!,#REF!,#REF!,#REF!,#REF!,#REF!</definedName>
    <definedName name="__APW_RESTORE_DATA2539__">#REF!,#REF!,#REF!,#REF!,#REF!,#REF!,#REF!,#REF!,#REF!,#REF!,#REF!,#REF!,#REF!,#REF!,#REF!</definedName>
    <definedName name="__APW_RESTORE_DATA254__">#REF!,#REF!</definedName>
    <definedName name="__APW_RESTORE_DATA2540__">#REF!,#REF!,#REF!,#REF!,#REF!,#REF!,#REF!,#REF!,#REF!,#REF!,#REF!,#REF!,#REF!,#REF!,#REF!</definedName>
    <definedName name="__APW_RESTORE_DATA2541__">#REF!,#REF!,#REF!,#REF!,#REF!,#REF!,#REF!,#REF!,#REF!,#REF!,#REF!,#REF!,#REF!,#REF!,#REF!</definedName>
    <definedName name="__APW_RESTORE_DATA2542__">#REF!,#REF!,#REF!,#REF!,#REF!,#REF!,#REF!,#REF!,#REF!,#REF!,#REF!,#REF!,#REF!,#REF!,#REF!</definedName>
    <definedName name="__APW_RESTORE_DATA2543__">#REF!,#REF!,#REF!,#REF!,#REF!,#REF!,#REF!,#REF!,#REF!,#REF!,#REF!,#REF!,#REF!,#REF!,#REF!</definedName>
    <definedName name="__APW_RESTORE_DATA2544__">#REF!,#REF!,#REF!,#REF!,#REF!,#REF!,#REF!,#REF!,#REF!,#REF!,#REF!,#REF!,#REF!,#REF!,#REF!</definedName>
    <definedName name="__APW_RESTORE_DATA2545__">#REF!,#REF!,#REF!,#REF!,#REF!,#REF!,#REF!,#REF!,#REF!,#REF!,#REF!,#REF!,#REF!,#REF!,#REF!</definedName>
    <definedName name="__APW_RESTORE_DATA2546__">#REF!,#REF!,#REF!,#REF!,#REF!,#REF!,#REF!,#REF!,#REF!,#REF!,#REF!,#REF!,#REF!,#REF!,#REF!</definedName>
    <definedName name="__APW_RESTORE_DATA2547__">#REF!,#REF!,#REF!,#REF!,#REF!,#REF!,#REF!,#REF!,#REF!,#REF!,#REF!,#REF!,#REF!,#REF!,#REF!</definedName>
    <definedName name="__APW_RESTORE_DATA2548__">#REF!,#REF!,#REF!,#REF!,#REF!,#REF!,#REF!,#REF!,#REF!,#REF!,#REF!,#REF!,#REF!,#REF!,#REF!</definedName>
    <definedName name="__APW_RESTORE_DATA2549__">#REF!,#REF!,#REF!,#REF!,#REF!,#REF!,#REF!,#REF!,#REF!,#REF!,#REF!,#REF!,#REF!,#REF!,#REF!</definedName>
    <definedName name="__APW_RESTORE_DATA255__">#REF!,#REF!,#REF!,#REF!,#REF!,#REF!,#REF!,#REF!,#REF!,#REF!,#REF!,#REF!,#REF!,#REF!,#REF!,#REF!</definedName>
    <definedName name="__APW_RESTORE_DATA2550__">#REF!,#REF!,#REF!,#REF!,#REF!,#REF!,#REF!,#REF!,#REF!,#REF!,#REF!,#REF!,#REF!,#REF!,#REF!</definedName>
    <definedName name="__APW_RESTORE_DATA2551__">#REF!,#REF!,#REF!,#REF!,#REF!,#REF!,#REF!,#REF!,#REF!,#REF!,#REF!,#REF!,#REF!,#REF!,#REF!</definedName>
    <definedName name="__APW_RESTORE_DATA2552__">#REF!,#REF!,#REF!,#REF!,#REF!,#REF!,#REF!,#REF!,#REF!,#REF!,#REF!,#REF!,#REF!,#REF!,#REF!</definedName>
    <definedName name="__APW_RESTORE_DATA2553__">#REF!,#REF!,#REF!,#REF!,#REF!,#REF!,#REF!,#REF!,#REF!,#REF!,#REF!,#REF!,#REF!,#REF!,#REF!</definedName>
    <definedName name="__APW_RESTORE_DATA2554__">#REF!,#REF!,#REF!,#REF!,#REF!,#REF!,#REF!,#REF!,#REF!,#REF!,#REF!,#REF!,#REF!,#REF!,#REF!</definedName>
    <definedName name="__APW_RESTORE_DATA2555__">#REF!,#REF!,#REF!,#REF!,#REF!,#REF!,#REF!,#REF!,#REF!,#REF!,#REF!,#REF!,#REF!,#REF!,#REF!</definedName>
    <definedName name="__APW_RESTORE_DATA2556__">#REF!,#REF!,#REF!,#REF!,#REF!,#REF!,#REF!,#REF!,#REF!,#REF!,#REF!,#REF!,#REF!,#REF!,#REF!</definedName>
    <definedName name="__APW_RESTORE_DATA2557__">#REF!,#REF!,#REF!,#REF!,#REF!,#REF!,#REF!,#REF!,#REF!,#REF!,#REF!,#REF!,#REF!,#REF!,#REF!</definedName>
    <definedName name="__APW_RESTORE_DATA2558__">#REF!,#REF!,#REF!,#REF!,#REF!,#REF!,#REF!,#REF!,#REF!,#REF!,#REF!,#REF!,#REF!,#REF!,#REF!</definedName>
    <definedName name="__APW_RESTORE_DATA2559__">#REF!,#REF!,#REF!,#REF!,#REF!,#REF!</definedName>
    <definedName name="__APW_RESTORE_DATA256__">#REF!,#REF!,#REF!,#REF!,#REF!,#REF!,#REF!,#REF!,#REF!,#REF!,#REF!,#REF!,#REF!,#REF!,#REF!,#REF!</definedName>
    <definedName name="__APW_RESTORE_DATA2560__">#REF!,#REF!,#REF!,#REF!,#REF!,#REF!,#REF!,#REF!,#REF!,#REF!,#REF!,#REF!,#REF!,#REF!,#REF!,#REF!</definedName>
    <definedName name="__APW_RESTORE_DATA2561__">#REF!,#REF!,#REF!,#REF!,#REF!,#REF!,#REF!,#REF!,#REF!,#REF!,#REF!,#REF!,#REF!,#REF!,#REF!,#REF!</definedName>
    <definedName name="__APW_RESTORE_DATA2562__">#REF!,#REF!,#REF!,#REF!,#REF!,#REF!,#REF!,#REF!,#REF!,#REF!,#REF!,#REF!,#REF!,#REF!,#REF!,#REF!</definedName>
    <definedName name="__APW_RESTORE_DATA2563__">#REF!,#REF!,#REF!,#REF!,#REF!,#REF!,#REF!,#REF!,#REF!,#REF!,#REF!,#REF!,#REF!,#REF!,#REF!,#REF!</definedName>
    <definedName name="__APW_RESTORE_DATA2564__">#REF!,#REF!,#REF!,#REF!,#REF!,#REF!,#REF!,#REF!,#REF!,#REF!,#REF!,#REF!,#REF!,#REF!,#REF!,#REF!</definedName>
    <definedName name="__APW_RESTORE_DATA2565__">#REF!,#REF!,#REF!,#REF!,#REF!,#REF!,#REF!,#REF!,#REF!,#REF!,#REF!,#REF!,#REF!,#REF!,#REF!,#REF!</definedName>
    <definedName name="__APW_RESTORE_DATA2566__">#REF!,#REF!,#REF!,#REF!,#REF!,#REF!,#REF!,#REF!,#REF!,#REF!,#REF!,#REF!,#REF!,#REF!,#REF!</definedName>
    <definedName name="__APW_RESTORE_DATA2567__">#REF!,#REF!,#REF!,#REF!,#REF!,#REF!,#REF!,#REF!,#REF!,#REF!,#REF!,#REF!,#REF!,#REF!,#REF!</definedName>
    <definedName name="__APW_RESTORE_DATA2568__">#REF!,#REF!,#REF!,#REF!,#REF!,#REF!,#REF!,#REF!,#REF!,#REF!,#REF!,#REF!,#REF!,#REF!,#REF!</definedName>
    <definedName name="__APW_RESTORE_DATA2569__">#REF!,#REF!,#REF!,#REF!,#REF!,#REF!,#REF!,#REF!,#REF!,#REF!,#REF!,#REF!,#REF!,#REF!,#REF!</definedName>
    <definedName name="__APW_RESTORE_DATA257__">#REF!,#REF!,#REF!,#REF!,#REF!,#REF!,#REF!,#REF!,#REF!,#REF!,#REF!,#REF!,#REF!,#REF!,#REF!,#REF!</definedName>
    <definedName name="__APW_RESTORE_DATA2570__">#REF!,#REF!,#REF!,#REF!,#REF!,#REF!,#REF!,#REF!,#REF!,#REF!,#REF!,#REF!,#REF!,#REF!,#REF!</definedName>
    <definedName name="__APW_RESTORE_DATA2571__">#REF!,#REF!,#REF!,#REF!,#REF!,#REF!,#REF!,#REF!,#REF!,#REF!,#REF!,#REF!,#REF!,#REF!,#REF!</definedName>
    <definedName name="__APW_RESTORE_DATA2572__">#REF!,#REF!,#REF!,#REF!,#REF!,#REF!,#REF!,#REF!,#REF!,#REF!,#REF!,#REF!,#REF!,#REF!,#REF!</definedName>
    <definedName name="__APW_RESTORE_DATA2573__">#REF!,#REF!,#REF!,#REF!,#REF!,#REF!,#REF!,#REF!,#REF!,#REF!,#REF!,#REF!,#REF!,#REF!,#REF!</definedName>
    <definedName name="__APW_RESTORE_DATA2574__">#REF!,#REF!,#REF!,#REF!,#REF!,#REF!,#REF!,#REF!,#REF!,#REF!,#REF!,#REF!,#REF!,#REF!,#REF!</definedName>
    <definedName name="__APW_RESTORE_DATA2575__">#REF!,#REF!,#REF!,#REF!,#REF!,#REF!,#REF!,#REF!,#REF!,#REF!,#REF!,#REF!,#REF!,#REF!,#REF!</definedName>
    <definedName name="__APW_RESTORE_DATA2576__">#REF!,#REF!,#REF!,#REF!,#REF!,#REF!,#REF!,#REF!,#REF!,#REF!,#REF!,#REF!,#REF!,#REF!,#REF!</definedName>
    <definedName name="__APW_RESTORE_DATA2577__">#REF!,#REF!,#REF!,#REF!,#REF!,#REF!,#REF!,#REF!,#REF!,#REF!,#REF!,#REF!,#REF!,#REF!,#REF!</definedName>
    <definedName name="__APW_RESTORE_DATA2578__">#REF!,#REF!,#REF!,#REF!,#REF!,#REF!,#REF!,#REF!,#REF!,#REF!,#REF!,#REF!,#REF!,#REF!,#REF!</definedName>
    <definedName name="__APW_RESTORE_DATA2579__">#REF!,#REF!,#REF!,#REF!,#REF!,#REF!,#REF!,#REF!,#REF!,#REF!,#REF!,#REF!,#REF!,#REF!,#REF!</definedName>
    <definedName name="__APW_RESTORE_DATA258__">#REF!,#REF!,#REF!,#REF!,#REF!,#REF!,#REF!,#REF!,#REF!,#REF!,#REF!,#REF!,#REF!,#REF!,#REF!</definedName>
    <definedName name="__APW_RESTORE_DATA2580__">#REF!,#REF!,#REF!,#REF!,#REF!,#REF!,#REF!,#REF!,#REF!,#REF!,#REF!,#REF!,#REF!,#REF!,#REF!</definedName>
    <definedName name="__APW_RESTORE_DATA2581__">#REF!,#REF!,#REF!,#REF!,#REF!,#REF!,#REF!,#REF!,#REF!,#REF!,#REF!,#REF!,#REF!,#REF!,#REF!</definedName>
    <definedName name="__APW_RESTORE_DATA2582__">#REF!,#REF!,#REF!,#REF!,#REF!,#REF!,#REF!,#REF!,#REF!,#REF!,#REF!,#REF!,#REF!,#REF!,#REF!</definedName>
    <definedName name="__APW_RESTORE_DATA2583__">#REF!,#REF!,#REF!,#REF!,#REF!,#REF!,#REF!,#REF!,#REF!,#REF!,#REF!,#REF!,#REF!,#REF!,#REF!</definedName>
    <definedName name="__APW_RESTORE_DATA2584__">#REF!,#REF!,#REF!,#REF!,#REF!,#REF!,#REF!,#REF!,#REF!,#REF!,#REF!,#REF!,#REF!,#REF!,#REF!</definedName>
    <definedName name="__APW_RESTORE_DATA2585__">#REF!,#REF!,#REF!,#REF!,#REF!,#REF!,#REF!,#REF!,#REF!,#REF!,#REF!,#REF!,#REF!,#REF!,#REF!</definedName>
    <definedName name="__APW_RESTORE_DATA2586__">#REF!,#REF!,#REF!,#REF!,#REF!,#REF!,#REF!,#REF!,#REF!,#REF!,#REF!,#REF!,#REF!,#REF!,#REF!</definedName>
    <definedName name="__APW_RESTORE_DATA2587__">#REF!,#REF!,#REF!,#REF!,#REF!,#REF!,#REF!,#REF!,#REF!,#REF!,#REF!,#REF!,#REF!,#REF!,#REF!</definedName>
    <definedName name="__APW_RESTORE_DATA2588__">#REF!,#REF!,#REF!,#REF!,#REF!,#REF!,#REF!,#REF!,#REF!,#REF!,#REF!,#REF!,#REF!,#REF!,#REF!</definedName>
    <definedName name="__APW_RESTORE_DATA2589__">#REF!,#REF!,#REF!,#REF!,#REF!,#REF!,#REF!,#REF!,#REF!,#REF!,#REF!,#REF!,#REF!,#REF!,#REF!</definedName>
    <definedName name="__APW_RESTORE_DATA259__">#REF!,#REF!</definedName>
    <definedName name="__APW_RESTORE_DATA2590__">#REF!,#REF!,#REF!,#REF!,#REF!,#REF!,#REF!,#REF!,#REF!,#REF!,#REF!,#REF!,#REF!,#REF!,#REF!</definedName>
    <definedName name="__APW_RESTORE_DATA2591__">#REF!,#REF!,#REF!,#REF!,#REF!,#REF!,#REF!,#REF!,#REF!,#REF!,#REF!,#REF!,#REF!,#REF!,#REF!</definedName>
    <definedName name="__APW_RESTORE_DATA2592__">#REF!,#REF!,#REF!,#REF!,#REF!,#REF!,#REF!,#REF!,#REF!,#REF!,#REF!,#REF!,#REF!,#REF!,#REF!</definedName>
    <definedName name="__APW_RESTORE_DATA2593__">#REF!,#REF!,#REF!,#REF!,#REF!,#REF!,#REF!,#REF!,#REF!,#REF!,#REF!,#REF!,#REF!,#REF!,#REF!</definedName>
    <definedName name="__APW_RESTORE_DATA2594__">#REF!,#REF!,#REF!,#REF!,#REF!,#REF!</definedName>
    <definedName name="__APW_RESTORE_DATA2595__">#REF!</definedName>
    <definedName name="__APW_RESTORE_DATA2596__">#REF!</definedName>
    <definedName name="__APW_RESTORE_DATA2597__">#REF!</definedName>
    <definedName name="__APW_RESTORE_DATA2599__">#REF!</definedName>
    <definedName name="__APW_RESTORE_DATA26__">#REF!</definedName>
    <definedName name="__APW_RESTORE_DATA260__">#REF!,#REF!,#REF!,#REF!,#REF!,#REF!,#REF!,#REF!,#REF!,#REF!,#REF!,#REF!,#REF!,#REF!,#REF!</definedName>
    <definedName name="__APW_RESTORE_DATA2600__">#REF!,#REF!,#REF!,#REF!,#REF!,#REF!,#REF!,#REF!,#REF!,#REF!,#REF!,#REF!,#REF!,#REF!,#REF!,#REF!</definedName>
    <definedName name="__APW_RESTORE_DATA2601__">#REF!,#REF!,#REF!,#REF!,#REF!,#REF!,#REF!,#REF!,#REF!,#REF!,#REF!,#REF!,#REF!,#REF!,#REF!,#REF!</definedName>
    <definedName name="__APW_RESTORE_DATA2602__">#REF!,#REF!,#REF!,#REF!,#REF!,#REF!,#REF!,#REF!,#REF!,#REF!,#REF!,#REF!,#REF!,#REF!,#REF!,#REF!</definedName>
    <definedName name="__APW_RESTORE_DATA2603__">#REF!,#REF!,#REF!,#REF!,#REF!,#REF!,#REF!,#REF!,#REF!,#REF!,#REF!,#REF!,#REF!,#REF!,#REF!,#REF!</definedName>
    <definedName name="__APW_RESTORE_DATA2604__">#REF!,#REF!,#REF!,#REF!,#REF!,#REF!,#REF!,#REF!,#REF!,#REF!,#REF!,#REF!,#REF!,#REF!,#REF!,#REF!</definedName>
    <definedName name="__APW_RESTORE_DATA2605__">#REF!,#REF!,#REF!,#REF!,#REF!,#REF!,#REF!,#REF!,#REF!,#REF!,#REF!,#REF!,#REF!,#REF!,#REF!,#REF!</definedName>
    <definedName name="__APW_RESTORE_DATA2606__">#REF!,#REF!,#REF!,#REF!,#REF!,#REF!,#REF!,#REF!,#REF!,#REF!,#REF!,#REF!,#REF!,#REF!,#REF!</definedName>
    <definedName name="__APW_RESTORE_DATA2607__">#REF!,#REF!,#REF!,#REF!,#REF!,#REF!,#REF!,#REF!,#REF!,#REF!,#REF!,#REF!,#REF!,#REF!,#REF!</definedName>
    <definedName name="__APW_RESTORE_DATA2608__">#REF!,#REF!,#REF!,#REF!,#REF!,#REF!,#REF!,#REF!,#REF!,#REF!,#REF!,#REF!,#REF!,#REF!,#REF!</definedName>
    <definedName name="__APW_RESTORE_DATA2609__">#REF!,#REF!,#REF!,#REF!,#REF!,#REF!,#REF!,#REF!,#REF!,#REF!,#REF!,#REF!,#REF!,#REF!,#REF!</definedName>
    <definedName name="__APW_RESTORE_DATA261__">#REF!,#REF!,#REF!,#REF!,#REF!,#REF!,#REF!,#REF!,#REF!,#REF!,#REF!,#REF!,#REF!,#REF!,#REF!</definedName>
    <definedName name="__APW_RESTORE_DATA2610__">#REF!,#REF!,#REF!,#REF!,#REF!,#REF!,#REF!,#REF!,#REF!,#REF!,#REF!,#REF!,#REF!,#REF!,#REF!</definedName>
    <definedName name="__APW_RESTORE_DATA2611__">#REF!,#REF!,#REF!,#REF!,#REF!,#REF!,#REF!,#REF!,#REF!,#REF!,#REF!,#REF!,#REF!,#REF!,#REF!</definedName>
    <definedName name="__APW_RESTORE_DATA2612__">#REF!,#REF!,#REF!,#REF!,#REF!,#REF!,#REF!,#REF!,#REF!,#REF!,#REF!,#REF!,#REF!,#REF!,#REF!</definedName>
    <definedName name="__APW_RESTORE_DATA2613__">#REF!,#REF!,#REF!,#REF!,#REF!,#REF!,#REF!,#REF!,#REF!,#REF!,#REF!,#REF!,#REF!,#REF!,#REF!</definedName>
    <definedName name="__APW_RESTORE_DATA2614__">#REF!,#REF!,#REF!,#REF!,#REF!,#REF!,#REF!,#REF!,#REF!,#REF!,#REF!,#REF!,#REF!,#REF!,#REF!</definedName>
    <definedName name="__APW_RESTORE_DATA2615__">#REF!,#REF!,#REF!,#REF!,#REF!,#REF!,#REF!,#REF!,#REF!,#REF!,#REF!,#REF!,#REF!,#REF!,#REF!</definedName>
    <definedName name="__APW_RESTORE_DATA2616__">#REF!,#REF!,#REF!,#REF!,#REF!,#REF!,#REF!,#REF!,#REF!,#REF!,#REF!,#REF!,#REF!,#REF!,#REF!</definedName>
    <definedName name="__APW_RESTORE_DATA2617__">#REF!,#REF!,#REF!,#REF!,#REF!,#REF!,#REF!,#REF!,#REF!,#REF!,#REF!,#REF!,#REF!,#REF!,#REF!</definedName>
    <definedName name="__APW_RESTORE_DATA2618__">#REF!,#REF!,#REF!,#REF!,#REF!,#REF!,#REF!,#REF!,#REF!,#REF!,#REF!,#REF!,#REF!,#REF!,#REF!</definedName>
    <definedName name="__APW_RESTORE_DATA2619__">#REF!,#REF!,#REF!,#REF!,#REF!,#REF!,#REF!,#REF!,#REF!,#REF!,#REF!,#REF!,#REF!,#REF!,#REF!</definedName>
    <definedName name="__APW_RESTORE_DATA262__">#REF!,#REF!,#REF!,#REF!,#REF!,#REF!,#REF!,#REF!,#REF!,#REF!,#REF!,#REF!,#REF!,#REF!,#REF!</definedName>
    <definedName name="__APW_RESTORE_DATA2620__">#REF!,#REF!,#REF!,#REF!,#REF!,#REF!,#REF!,#REF!,#REF!,#REF!,#REF!,#REF!,#REF!,#REF!,#REF!</definedName>
    <definedName name="__APW_RESTORE_DATA2621__">#REF!,#REF!,#REF!,#REF!,#REF!,#REF!,#REF!,#REF!,#REF!,#REF!,#REF!,#REF!,#REF!,#REF!,#REF!</definedName>
    <definedName name="__APW_RESTORE_DATA2622__">#REF!,#REF!,#REF!,#REF!,#REF!,#REF!,#REF!,#REF!,#REF!,#REF!,#REF!,#REF!,#REF!,#REF!,#REF!</definedName>
    <definedName name="__APW_RESTORE_DATA2623__">#REF!,#REF!,#REF!,#REF!,#REF!,#REF!,#REF!,#REF!,#REF!,#REF!,#REF!,#REF!,#REF!,#REF!,#REF!</definedName>
    <definedName name="__APW_RESTORE_DATA2624__">#REF!,#REF!,#REF!,#REF!,#REF!,#REF!,#REF!,#REF!,#REF!,#REF!,#REF!,#REF!,#REF!,#REF!,#REF!</definedName>
    <definedName name="__APW_RESTORE_DATA2625__">#REF!,#REF!,#REF!,#REF!,#REF!,#REF!,#REF!,#REF!,#REF!,#REF!,#REF!,#REF!,#REF!,#REF!,#REF!</definedName>
    <definedName name="__APW_RESTORE_DATA2626__">#REF!,#REF!,#REF!,#REF!,#REF!,#REF!,#REF!,#REF!,#REF!,#REF!,#REF!,#REF!,#REF!,#REF!,#REF!</definedName>
    <definedName name="__APW_RESTORE_DATA2627__">#REF!,#REF!,#REF!,#REF!,#REF!,#REF!,#REF!,#REF!,#REF!,#REF!,#REF!,#REF!,#REF!,#REF!,#REF!</definedName>
    <definedName name="__APW_RESTORE_DATA2628__">#REF!,#REF!,#REF!,#REF!,#REF!,#REF!,#REF!,#REF!,#REF!,#REF!,#REF!,#REF!,#REF!,#REF!,#REF!</definedName>
    <definedName name="__APW_RESTORE_DATA2629__">#REF!,#REF!,#REF!,#REF!,#REF!,#REF!,#REF!,#REF!,#REF!,#REF!,#REF!,#REF!,#REF!,#REF!,#REF!</definedName>
    <definedName name="__APW_RESTORE_DATA263__">#REF!,#REF!,#REF!,#REF!,#REF!,#REF!,#REF!,#REF!,#REF!,#REF!,#REF!,#REF!,#REF!,#REF!,#REF!</definedName>
    <definedName name="__APW_RESTORE_DATA2630__">#REF!,#REF!,#REF!,#REF!,#REF!,#REF!,#REF!,#REF!,#REF!,#REF!,#REF!,#REF!,#REF!,#REF!,#REF!</definedName>
    <definedName name="__APW_RESTORE_DATA2631__">#REF!,#REF!,#REF!,#REF!,#REF!,#REF!,#REF!,#REF!,#REF!,#REF!,#REF!,#REF!,#REF!,#REF!,#REF!</definedName>
    <definedName name="__APW_RESTORE_DATA2632__">#REF!,#REF!,#REF!,#REF!,#REF!,#REF!,#REF!,#REF!,#REF!,#REF!,#REF!,#REF!,#REF!,#REF!,#REF!</definedName>
    <definedName name="__APW_RESTORE_DATA2633__">#REF!,#REF!,#REF!,#REF!,#REF!,#REF!,#REF!,#REF!,#REF!,#REF!,#REF!,#REF!,#REF!,#REF!,#REF!</definedName>
    <definedName name="__APW_RESTORE_DATA2634__">#REF!,#REF!,#REF!,#REF!,#REF!,#REF!</definedName>
    <definedName name="__APW_RESTORE_DATA2635__">#REF!,#REF!,#REF!,#REF!,#REF!,#REF!,#REF!,#REF!,#REF!,#REF!,#REF!,#REF!,#REF!,#REF!,#REF!,#REF!</definedName>
    <definedName name="__APW_RESTORE_DATA2636__">#REF!,#REF!,#REF!,#REF!,#REF!,#REF!,#REF!,#REF!,#REF!,#REF!,#REF!,#REF!,#REF!,#REF!,#REF!,#REF!</definedName>
    <definedName name="__APW_RESTORE_DATA2637__">#REF!,#REF!,#REF!,#REF!,#REF!,#REF!,#REF!,#REF!,#REF!,#REF!,#REF!,#REF!,#REF!,#REF!,#REF!,#REF!</definedName>
    <definedName name="__APW_RESTORE_DATA2638__">#REF!,#REF!,#REF!,#REF!,#REF!,#REF!,#REF!,#REF!,#REF!,#REF!,#REF!,#REF!,#REF!,#REF!,#REF!,#REF!</definedName>
    <definedName name="__APW_RESTORE_DATA2639__">#REF!,#REF!,#REF!,#REF!,#REF!,#REF!,#REF!,#REF!,#REF!,#REF!,#REF!,#REF!,#REF!,#REF!,#REF!,#REF!</definedName>
    <definedName name="__APW_RESTORE_DATA264__">#REF!,#REF!,#REF!,#REF!,#REF!,#REF!,#REF!,#REF!,#REF!,#REF!,#REF!,#REF!,#REF!,#REF!,#REF!</definedName>
    <definedName name="__APW_RESTORE_DATA2640__">#REF!,#REF!,#REF!,#REF!,#REF!,#REF!,#REF!,#REF!,#REF!,#REF!,#REF!,#REF!,#REF!,#REF!,#REF!,#REF!</definedName>
    <definedName name="__APW_RESTORE_DATA2641__">#REF!,#REF!,#REF!,#REF!,#REF!,#REF!,#REF!,#REF!,#REF!,#REF!,#REF!,#REF!,#REF!,#REF!,#REF!</definedName>
    <definedName name="__APW_RESTORE_DATA2642__">#REF!,#REF!,#REF!,#REF!,#REF!,#REF!,#REF!,#REF!,#REF!,#REF!,#REF!,#REF!,#REF!,#REF!,#REF!</definedName>
    <definedName name="__APW_RESTORE_DATA2643__">#REF!,#REF!,#REF!,#REF!,#REF!,#REF!,#REF!,#REF!,#REF!,#REF!,#REF!,#REF!,#REF!,#REF!,#REF!</definedName>
    <definedName name="__APW_RESTORE_DATA2644__">#REF!,#REF!,#REF!,#REF!,#REF!,#REF!,#REF!,#REF!,#REF!,#REF!,#REF!,#REF!,#REF!,#REF!,#REF!</definedName>
    <definedName name="__APW_RESTORE_DATA2645__">#REF!,#REF!,#REF!,#REF!,#REF!,#REF!,#REF!,#REF!,#REF!,#REF!,#REF!,#REF!,#REF!,#REF!,#REF!</definedName>
    <definedName name="__APW_RESTORE_DATA2646__">#REF!,#REF!,#REF!,#REF!,#REF!,#REF!,#REF!,#REF!,#REF!,#REF!,#REF!,#REF!,#REF!,#REF!,#REF!</definedName>
    <definedName name="__APW_RESTORE_DATA2647__">#REF!,#REF!,#REF!,#REF!,#REF!,#REF!,#REF!,#REF!,#REF!,#REF!,#REF!,#REF!,#REF!,#REF!,#REF!</definedName>
    <definedName name="__APW_RESTORE_DATA2648__">#REF!,#REF!,#REF!,#REF!,#REF!,#REF!,#REF!,#REF!,#REF!,#REF!,#REF!,#REF!,#REF!,#REF!,#REF!</definedName>
    <definedName name="__APW_RESTORE_DATA2649__">#REF!,#REF!,#REF!,#REF!,#REF!,#REF!,#REF!,#REF!,#REF!,#REF!,#REF!,#REF!,#REF!,#REF!,#REF!</definedName>
    <definedName name="__APW_RESTORE_DATA265__">#REF!,#REF!,#REF!,#REF!,#REF!,#REF!,#REF!,#REF!,#REF!,#REF!,#REF!,#REF!,#REF!,#REF!,#REF!</definedName>
    <definedName name="__APW_RESTORE_DATA2650__">#REF!,#REF!,#REF!,#REF!,#REF!,#REF!,#REF!,#REF!,#REF!,#REF!,#REF!,#REF!,#REF!,#REF!,#REF!</definedName>
    <definedName name="__APW_RESTORE_DATA2651__">#REF!,#REF!,#REF!,#REF!,#REF!,#REF!,#REF!,#REF!,#REF!,#REF!,#REF!,#REF!,#REF!,#REF!,#REF!</definedName>
    <definedName name="__APW_RESTORE_DATA2652__">#REF!,#REF!,#REF!,#REF!,#REF!,#REF!,#REF!,#REF!,#REF!,#REF!,#REF!,#REF!,#REF!,#REF!,#REF!</definedName>
    <definedName name="__APW_RESTORE_DATA2653__">#REF!,#REF!,#REF!,#REF!,#REF!,#REF!,#REF!,#REF!,#REF!,#REF!,#REF!,#REF!,#REF!,#REF!,#REF!</definedName>
    <definedName name="__APW_RESTORE_DATA2654__">#REF!,#REF!,#REF!,#REF!,#REF!,#REF!,#REF!,#REF!,#REF!,#REF!,#REF!,#REF!,#REF!,#REF!,#REF!</definedName>
    <definedName name="__APW_RESTORE_DATA2655__">#REF!,#REF!,#REF!,#REF!,#REF!,#REF!,#REF!,#REF!,#REF!,#REF!,#REF!,#REF!,#REF!,#REF!,#REF!</definedName>
    <definedName name="__APW_RESTORE_DATA2656__">#REF!,#REF!,#REF!,#REF!,#REF!,#REF!,#REF!,#REF!,#REF!,#REF!,#REF!,#REF!,#REF!,#REF!,#REF!</definedName>
    <definedName name="__APW_RESTORE_DATA2657__">#REF!,#REF!,#REF!,#REF!,#REF!,#REF!,#REF!,#REF!,#REF!,#REF!,#REF!,#REF!,#REF!,#REF!,#REF!</definedName>
    <definedName name="__APW_RESTORE_DATA2658__">#REF!,#REF!,#REF!,#REF!,#REF!,#REF!,#REF!,#REF!,#REF!,#REF!,#REF!,#REF!,#REF!,#REF!,#REF!</definedName>
    <definedName name="__APW_RESTORE_DATA2659__">#REF!,#REF!,#REF!,#REF!,#REF!,#REF!,#REF!,#REF!,#REF!,#REF!,#REF!,#REF!,#REF!,#REF!,#REF!</definedName>
    <definedName name="__APW_RESTORE_DATA266__">#REF!,#REF!,#REF!,#REF!,#REF!,#REF!,#REF!,#REF!,#REF!,#REF!,#REF!,#REF!,#REF!,#REF!,#REF!</definedName>
    <definedName name="__APW_RESTORE_DATA2660__">#REF!,#REF!,#REF!,#REF!,#REF!,#REF!,#REF!,#REF!,#REF!,#REF!,#REF!,#REF!,#REF!,#REF!,#REF!</definedName>
    <definedName name="__APW_RESTORE_DATA2661__">#REF!,#REF!,#REF!,#REF!,#REF!,#REF!,#REF!,#REF!,#REF!,#REF!,#REF!,#REF!,#REF!,#REF!,#REF!</definedName>
    <definedName name="__APW_RESTORE_DATA2662__">#REF!,#REF!,#REF!,#REF!,#REF!,#REF!,#REF!,#REF!,#REF!,#REF!,#REF!,#REF!,#REF!,#REF!,#REF!</definedName>
    <definedName name="__APW_RESTORE_DATA2663__">#REF!,#REF!,#REF!,#REF!,#REF!,#REF!,#REF!,#REF!,#REF!,#REF!,#REF!,#REF!,#REF!,#REF!,#REF!</definedName>
    <definedName name="__APW_RESTORE_DATA2664__">#REF!,#REF!,#REF!,#REF!,#REF!,#REF!,#REF!,#REF!,#REF!,#REF!,#REF!,#REF!,#REF!,#REF!,#REF!</definedName>
    <definedName name="__APW_RESTORE_DATA2665__">#REF!,#REF!,#REF!,#REF!,#REF!,#REF!,#REF!,#REF!,#REF!,#REF!,#REF!,#REF!,#REF!,#REF!,#REF!</definedName>
    <definedName name="__APW_RESTORE_DATA2666__">#REF!,#REF!,#REF!,#REF!,#REF!,#REF!,#REF!,#REF!,#REF!,#REF!,#REF!,#REF!,#REF!,#REF!,#REF!</definedName>
    <definedName name="__APW_RESTORE_DATA2667__">#REF!,#REF!,#REF!,#REF!,#REF!,#REF!,#REF!,#REF!,#REF!,#REF!,#REF!,#REF!,#REF!,#REF!,#REF!</definedName>
    <definedName name="__APW_RESTORE_DATA2668__">#REF!,#REF!,#REF!,#REF!,#REF!,#REF!,#REF!,#REF!,#REF!,#REF!,#REF!,#REF!,#REF!,#REF!,#REF!</definedName>
    <definedName name="__APW_RESTORE_DATA2669__">#REF!,#REF!,#REF!,#REF!,#REF!,#REF!</definedName>
    <definedName name="__APW_RESTORE_DATA267__">#REF!,#REF!,#REF!,#REF!,#REF!,#REF!,#REF!,#REF!,#REF!,#REF!,#REF!,#REF!,#REF!,#REF!,#REF!</definedName>
    <definedName name="__APW_RESTORE_DATA2670__">#REF!,#REF!,#REF!,#REF!,#REF!,#REF!,#REF!,#REF!,#REF!,#REF!,#REF!,#REF!,#REF!,#REF!,#REF!,#REF!</definedName>
    <definedName name="__APW_RESTORE_DATA2671__">#REF!,#REF!,#REF!,#REF!,#REF!,#REF!,#REF!,#REF!,#REF!,#REF!,#REF!,#REF!,#REF!,#REF!,#REF!,#REF!</definedName>
    <definedName name="__APW_RESTORE_DATA2672__">#REF!,#REF!,#REF!,#REF!,#REF!,#REF!,#REF!,#REF!,#REF!,#REF!,#REF!,#REF!,#REF!,#REF!,#REF!,#REF!</definedName>
    <definedName name="__APW_RESTORE_DATA2673__">#REF!,#REF!,#REF!,#REF!,#REF!,#REF!,#REF!,#REF!,#REF!,#REF!,#REF!,#REF!,#REF!,#REF!,#REF!,#REF!</definedName>
    <definedName name="__APW_RESTORE_DATA2674__">#REF!,#REF!,#REF!,#REF!,#REF!,#REF!,#REF!,#REF!,#REF!,#REF!,#REF!,#REF!,#REF!,#REF!,#REF!,#REF!</definedName>
    <definedName name="__APW_RESTORE_DATA2675__">#REF!,#REF!,#REF!,#REF!,#REF!,#REF!,#REF!,#REF!,#REF!,#REF!,#REF!,#REF!,#REF!,#REF!,#REF!,#REF!</definedName>
    <definedName name="__APW_RESTORE_DATA2676__">#REF!,#REF!,#REF!,#REF!,#REF!,#REF!,#REF!,#REF!,#REF!,#REF!,#REF!,#REF!,#REF!,#REF!,#REF!</definedName>
    <definedName name="__APW_RESTORE_DATA2677__">#REF!,#REF!,#REF!,#REF!,#REF!,#REF!,#REF!,#REF!,#REF!,#REF!,#REF!,#REF!,#REF!,#REF!,#REF!</definedName>
    <definedName name="__APW_RESTORE_DATA2678__">#REF!,#REF!,#REF!,#REF!,#REF!,#REF!,#REF!,#REF!,#REF!,#REF!,#REF!,#REF!,#REF!,#REF!,#REF!</definedName>
    <definedName name="__APW_RESTORE_DATA2679__">#REF!,#REF!,#REF!,#REF!,#REF!,#REF!,#REF!,#REF!,#REF!,#REF!,#REF!,#REF!,#REF!,#REF!,#REF!</definedName>
    <definedName name="__APW_RESTORE_DATA268__">#REF!,#REF!,#REF!,#REF!,#REF!,#REF!,#REF!,#REF!,#REF!,#REF!,#REF!,#REF!,#REF!,#REF!,#REF!</definedName>
    <definedName name="__APW_RESTORE_DATA2680__">#REF!,#REF!,#REF!,#REF!,#REF!,#REF!,#REF!,#REF!,#REF!,#REF!,#REF!,#REF!,#REF!,#REF!,#REF!</definedName>
    <definedName name="__APW_RESTORE_DATA2681__">#REF!,#REF!,#REF!,#REF!,#REF!,#REF!,#REF!,#REF!,#REF!,#REF!,#REF!,#REF!,#REF!,#REF!,#REF!</definedName>
    <definedName name="__APW_RESTORE_DATA2682__">#REF!,#REF!,#REF!,#REF!,#REF!,#REF!,#REF!,#REF!,#REF!,#REF!,#REF!,#REF!,#REF!,#REF!,#REF!</definedName>
    <definedName name="__APW_RESTORE_DATA2683__">#REF!,#REF!,#REF!,#REF!,#REF!,#REF!,#REF!,#REF!,#REF!,#REF!,#REF!,#REF!,#REF!,#REF!,#REF!</definedName>
    <definedName name="__APW_RESTORE_DATA2684__">#REF!,#REF!,#REF!,#REF!,#REF!,#REF!,#REF!,#REF!,#REF!,#REF!,#REF!,#REF!,#REF!,#REF!,#REF!</definedName>
    <definedName name="__APW_RESTORE_DATA2685__">#REF!,#REF!,#REF!,#REF!,#REF!,#REF!,#REF!,#REF!,#REF!,#REF!,#REF!,#REF!,#REF!,#REF!,#REF!</definedName>
    <definedName name="__APW_RESTORE_DATA2686__">#REF!,#REF!,#REF!,#REF!,#REF!,#REF!,#REF!,#REF!,#REF!,#REF!,#REF!,#REF!,#REF!,#REF!,#REF!</definedName>
    <definedName name="__APW_RESTORE_DATA2687__">#REF!,#REF!,#REF!,#REF!,#REF!,#REF!,#REF!,#REF!,#REF!,#REF!,#REF!,#REF!,#REF!,#REF!,#REF!</definedName>
    <definedName name="__APW_RESTORE_DATA2688__">#REF!,#REF!,#REF!,#REF!,#REF!,#REF!,#REF!,#REF!,#REF!,#REF!,#REF!,#REF!,#REF!,#REF!,#REF!</definedName>
    <definedName name="__APW_RESTORE_DATA2689__">#REF!,#REF!,#REF!,#REF!,#REF!,#REF!,#REF!,#REF!,#REF!,#REF!,#REF!,#REF!,#REF!,#REF!,#REF!</definedName>
    <definedName name="__APW_RESTORE_DATA269__">#REF!,#REF!,#REF!,#REF!,#REF!,#REF!,#REF!,#REF!,#REF!,#REF!,#REF!,#REF!,#REF!,#REF!,#REF!</definedName>
    <definedName name="__APW_RESTORE_DATA2690__">#REF!,#REF!,#REF!,#REF!,#REF!,#REF!,#REF!,#REF!,#REF!,#REF!,#REF!,#REF!,#REF!,#REF!,#REF!</definedName>
    <definedName name="__APW_RESTORE_DATA2691__">#REF!,#REF!,#REF!,#REF!,#REF!,#REF!,#REF!,#REF!,#REF!,#REF!,#REF!,#REF!,#REF!,#REF!,#REF!</definedName>
    <definedName name="__APW_RESTORE_DATA2692__">#REF!,#REF!,#REF!,#REF!,#REF!,#REF!,#REF!,#REF!,#REF!,#REF!,#REF!,#REF!,#REF!,#REF!,#REF!</definedName>
    <definedName name="__APW_RESTORE_DATA2693__">#REF!,#REF!,#REF!,#REF!,#REF!,#REF!,#REF!,#REF!,#REF!,#REF!,#REF!,#REF!,#REF!,#REF!,#REF!</definedName>
    <definedName name="__APW_RESTORE_DATA2694__">#REF!,#REF!,#REF!,#REF!,#REF!,#REF!,#REF!,#REF!,#REF!,#REF!,#REF!,#REF!,#REF!,#REF!,#REF!</definedName>
    <definedName name="__APW_RESTORE_DATA2695__">#REF!,#REF!,#REF!,#REF!,#REF!,#REF!,#REF!,#REF!,#REF!,#REF!,#REF!,#REF!,#REF!,#REF!,#REF!</definedName>
    <definedName name="__APW_RESTORE_DATA2696__">#REF!,#REF!,#REF!,#REF!,#REF!,#REF!,#REF!,#REF!,#REF!,#REF!,#REF!,#REF!,#REF!,#REF!,#REF!</definedName>
    <definedName name="__APW_RESTORE_DATA2697__">#REF!,#REF!,#REF!,#REF!,#REF!,#REF!,#REF!,#REF!,#REF!,#REF!,#REF!,#REF!,#REF!,#REF!,#REF!</definedName>
    <definedName name="__APW_RESTORE_DATA2698__">#REF!,#REF!,#REF!,#REF!,#REF!,#REF!,#REF!,#REF!,#REF!,#REF!,#REF!,#REF!,#REF!,#REF!,#REF!</definedName>
    <definedName name="__APW_RESTORE_DATA2699__">#REF!,#REF!,#REF!,#REF!,#REF!,#REF!,#REF!,#REF!,#REF!,#REF!,#REF!,#REF!,#REF!,#REF!,#REF!</definedName>
    <definedName name="__APW_RESTORE_DATA27__">#REF!</definedName>
    <definedName name="__APW_RESTORE_DATA270__">#REF!,#REF!,#REF!,#REF!,#REF!,#REF!,#REF!,#REF!,#REF!,#REF!,#REF!,#REF!,#REF!,#REF!,#REF!</definedName>
    <definedName name="__APW_RESTORE_DATA2700__">#REF!,#REF!,#REF!,#REF!,#REF!,#REF!,#REF!,#REF!,#REF!,#REF!,#REF!,#REF!,#REF!,#REF!,#REF!</definedName>
    <definedName name="__APW_RESTORE_DATA2701__">#REF!,#REF!,#REF!,#REF!,#REF!,#REF!,#REF!,#REF!,#REF!,#REF!,#REF!,#REF!,#REF!,#REF!,#REF!</definedName>
    <definedName name="__APW_RESTORE_DATA2702__">#REF!,#REF!,#REF!,#REF!,#REF!,#REF!,#REF!,#REF!,#REF!,#REF!,#REF!,#REF!,#REF!,#REF!,#REF!</definedName>
    <definedName name="__APW_RESTORE_DATA2703__">#REF!,#REF!,#REF!,#REF!,#REF!,#REF!,#REF!,#REF!,#REF!,#REF!,#REF!,#REF!,#REF!,#REF!,#REF!</definedName>
    <definedName name="__APW_RESTORE_DATA2704__">#REF!,#REF!,#REF!,#REF!,#REF!,#REF!</definedName>
    <definedName name="__APW_RESTORE_DATA2705__">#REF!,#REF!,#REF!,#REF!,#REF!,#REF!,#REF!,#REF!,#REF!,#REF!,#REF!,#REF!,#REF!,#REF!,#REF!,#REF!</definedName>
    <definedName name="__APW_RESTORE_DATA2706__">#REF!,#REF!,#REF!,#REF!,#REF!,#REF!,#REF!,#REF!,#REF!,#REF!,#REF!,#REF!,#REF!,#REF!,#REF!,#REF!</definedName>
    <definedName name="__APW_RESTORE_DATA2707__">#REF!,#REF!,#REF!,#REF!,#REF!,#REF!,#REF!,#REF!,#REF!,#REF!,#REF!,#REF!,#REF!,#REF!,#REF!,#REF!</definedName>
    <definedName name="__APW_RESTORE_DATA2708__">#REF!,#REF!,#REF!,#REF!,#REF!,#REF!,#REF!,#REF!,#REF!,#REF!,#REF!,#REF!,#REF!,#REF!,#REF!,#REF!</definedName>
    <definedName name="__APW_RESTORE_DATA2709__">#REF!,#REF!,#REF!,#REF!,#REF!,#REF!,#REF!,#REF!,#REF!,#REF!,#REF!,#REF!,#REF!,#REF!,#REF!,#REF!</definedName>
    <definedName name="__APW_RESTORE_DATA271__">#REF!,#REF!,#REF!,#REF!,#REF!,#REF!,#REF!,#REF!,#REF!,#REF!,#REF!,#REF!,#REF!,#REF!,#REF!</definedName>
    <definedName name="__APW_RESTORE_DATA2710__">#REF!,#REF!,#REF!,#REF!,#REF!,#REF!,#REF!,#REF!,#REF!,#REF!,#REF!,#REF!,#REF!,#REF!,#REF!,#REF!</definedName>
    <definedName name="__APW_RESTORE_DATA2711__">#REF!,#REF!,#REF!,#REF!,#REF!,#REF!,#REF!,#REF!,#REF!,#REF!,#REF!,#REF!,#REF!,#REF!,#REF!</definedName>
    <definedName name="__APW_RESTORE_DATA2712__">#REF!,#REF!,#REF!,#REF!,#REF!,#REF!,#REF!,#REF!,#REF!,#REF!,#REF!,#REF!,#REF!,#REF!,#REF!</definedName>
    <definedName name="__APW_RESTORE_DATA2713__">#REF!,#REF!,#REF!,#REF!,#REF!,#REF!,#REF!,#REF!,#REF!,#REF!,#REF!,#REF!,#REF!,#REF!,#REF!</definedName>
    <definedName name="__APW_RESTORE_DATA2714__">#REF!,#REF!,#REF!,#REF!,#REF!,#REF!,#REF!,#REF!,#REF!,#REF!,#REF!,#REF!,#REF!,#REF!,#REF!</definedName>
    <definedName name="__APW_RESTORE_DATA2715__">#REF!,#REF!,#REF!,#REF!,#REF!,#REF!,#REF!,#REF!,#REF!,#REF!,#REF!,#REF!,#REF!,#REF!,#REF!</definedName>
    <definedName name="__APW_RESTORE_DATA2716__">#REF!,#REF!,#REF!,#REF!,#REF!,#REF!,#REF!,#REF!,#REF!,#REF!,#REF!,#REF!,#REF!,#REF!,#REF!</definedName>
    <definedName name="__APW_RESTORE_DATA2717__">#REF!,#REF!,#REF!,#REF!,#REF!,#REF!,#REF!,#REF!,#REF!,#REF!,#REF!,#REF!,#REF!,#REF!,#REF!</definedName>
    <definedName name="__APW_RESTORE_DATA2718__">#REF!,#REF!,#REF!,#REF!,#REF!,#REF!,#REF!,#REF!,#REF!,#REF!,#REF!,#REF!,#REF!,#REF!,#REF!</definedName>
    <definedName name="__APW_RESTORE_DATA2719__">#REF!,#REF!,#REF!,#REF!,#REF!,#REF!,#REF!,#REF!,#REF!,#REF!,#REF!,#REF!,#REF!,#REF!,#REF!</definedName>
    <definedName name="__APW_RESTORE_DATA272__">#REF!,#REF!,#REF!,#REF!,#REF!,#REF!,#REF!,#REF!,#REF!,#REF!,#REF!,#REF!,#REF!,#REF!,#REF!</definedName>
    <definedName name="__APW_RESTORE_DATA2720__">#REF!,#REF!,#REF!,#REF!,#REF!,#REF!,#REF!,#REF!,#REF!,#REF!,#REF!,#REF!,#REF!,#REF!,#REF!</definedName>
    <definedName name="__APW_RESTORE_DATA2721__">#REF!,#REF!,#REF!,#REF!,#REF!,#REF!,#REF!,#REF!,#REF!,#REF!,#REF!,#REF!,#REF!,#REF!,#REF!</definedName>
    <definedName name="__APW_RESTORE_DATA2722__">#REF!,#REF!,#REF!,#REF!,#REF!,#REF!,#REF!,#REF!,#REF!,#REF!,#REF!,#REF!,#REF!,#REF!,#REF!</definedName>
    <definedName name="__APW_RESTORE_DATA2723__">#REF!,#REF!,#REF!,#REF!,#REF!,#REF!,#REF!,#REF!,#REF!,#REF!,#REF!,#REF!,#REF!,#REF!,#REF!</definedName>
    <definedName name="__APW_RESTORE_DATA2724__">#REF!,#REF!,#REF!,#REF!,#REF!,#REF!,#REF!,#REF!,#REF!,#REF!,#REF!,#REF!,#REF!,#REF!,#REF!</definedName>
    <definedName name="__APW_RESTORE_DATA2725__">#REF!,#REF!,#REF!,#REF!,#REF!,#REF!,#REF!,#REF!,#REF!,#REF!,#REF!,#REF!,#REF!,#REF!,#REF!</definedName>
    <definedName name="__APW_RESTORE_DATA2726__">#REF!,#REF!,#REF!,#REF!,#REF!,#REF!,#REF!,#REF!,#REF!,#REF!,#REF!,#REF!,#REF!,#REF!,#REF!</definedName>
    <definedName name="__APW_RESTORE_DATA2727__">#REF!,#REF!,#REF!,#REF!,#REF!,#REF!,#REF!,#REF!,#REF!,#REF!,#REF!,#REF!,#REF!,#REF!,#REF!</definedName>
    <definedName name="__APW_RESTORE_DATA2728__">#REF!,#REF!,#REF!,#REF!,#REF!,#REF!,#REF!,#REF!,#REF!,#REF!,#REF!,#REF!,#REF!,#REF!,#REF!</definedName>
    <definedName name="__APW_RESTORE_DATA2729__">#REF!,#REF!,#REF!,#REF!,#REF!,#REF!,#REF!,#REF!,#REF!,#REF!,#REF!,#REF!,#REF!,#REF!,#REF!</definedName>
    <definedName name="__APW_RESTORE_DATA273__">#REF!,#REF!,#REF!,#REF!,#REF!,#REF!,#REF!,#REF!,#REF!,#REF!,#REF!,#REF!,#REF!,#REF!,#REF!</definedName>
    <definedName name="__APW_RESTORE_DATA2730__">#REF!,#REF!,#REF!,#REF!,#REF!,#REF!,#REF!,#REF!,#REF!,#REF!,#REF!,#REF!,#REF!,#REF!,#REF!</definedName>
    <definedName name="__APW_RESTORE_DATA2731__">#REF!,#REF!,#REF!,#REF!,#REF!,#REF!,#REF!,#REF!,#REF!,#REF!,#REF!,#REF!,#REF!,#REF!,#REF!</definedName>
    <definedName name="__APW_RESTORE_DATA2732__">#REF!,#REF!,#REF!,#REF!,#REF!,#REF!,#REF!,#REF!,#REF!,#REF!,#REF!,#REF!,#REF!,#REF!,#REF!</definedName>
    <definedName name="__APW_RESTORE_DATA2733__">#REF!,#REF!,#REF!,#REF!,#REF!,#REF!,#REF!,#REF!,#REF!,#REF!,#REF!,#REF!,#REF!,#REF!,#REF!</definedName>
    <definedName name="__APW_RESTORE_DATA2734__">#REF!,#REF!,#REF!,#REF!,#REF!,#REF!,#REF!,#REF!,#REF!,#REF!,#REF!,#REF!,#REF!,#REF!,#REF!</definedName>
    <definedName name="__APW_RESTORE_DATA2735__">#REF!,#REF!,#REF!,#REF!,#REF!,#REF!,#REF!,#REF!,#REF!,#REF!,#REF!,#REF!,#REF!,#REF!,#REF!</definedName>
    <definedName name="__APW_RESTORE_DATA2736__">#REF!,#REF!,#REF!,#REF!,#REF!,#REF!,#REF!,#REF!,#REF!,#REF!,#REF!,#REF!,#REF!,#REF!,#REF!</definedName>
    <definedName name="__APW_RESTORE_DATA2737__">#REF!,#REF!,#REF!,#REF!,#REF!,#REF!,#REF!,#REF!,#REF!,#REF!,#REF!,#REF!,#REF!,#REF!,#REF!</definedName>
    <definedName name="__APW_RESTORE_DATA2738__">#REF!,#REF!,#REF!,#REF!,#REF!,#REF!,#REF!,#REF!,#REF!,#REF!,#REF!,#REF!,#REF!,#REF!,#REF!</definedName>
    <definedName name="__APW_RESTORE_DATA2739__">#REF!,#REF!,#REF!,#REF!,#REF!,#REF!</definedName>
    <definedName name="__APW_RESTORE_DATA274__">#REF!,#REF!</definedName>
    <definedName name="__APW_RESTORE_DATA2740__">#REF!</definedName>
    <definedName name="__APW_RESTORE_DATA2741__">#REF!</definedName>
    <definedName name="__APW_RESTORE_DATA2742__">#REF!</definedName>
    <definedName name="__APW_RESTORE_DATA2744__">#REF!</definedName>
    <definedName name="__APW_RESTORE_DATA2745__">#REF!,#REF!,#REF!,#REF!,#REF!,#REF!,#REF!,#REF!,#REF!,#REF!,#REF!,#REF!,#REF!,#REF!,#REF!,#REF!</definedName>
    <definedName name="__APW_RESTORE_DATA2746__">#REF!,#REF!,#REF!,#REF!,#REF!,#REF!,#REF!,#REF!,#REF!,#REF!,#REF!,#REF!,#REF!,#REF!,#REF!,#REF!</definedName>
    <definedName name="__APW_RESTORE_DATA2747__">#REF!,#REF!,#REF!,#REF!,#REF!,#REF!,#REF!,#REF!,#REF!,#REF!,#REF!,#REF!,#REF!,#REF!,#REF!,#REF!</definedName>
    <definedName name="__APW_RESTORE_DATA2748__">#REF!,#REF!,#REF!,#REF!,#REF!,#REF!,#REF!,#REF!,#REF!,#REF!,#REF!,#REF!,#REF!,#REF!,#REF!,#REF!</definedName>
    <definedName name="__APW_RESTORE_DATA2749__">#REF!,#REF!,#REF!,#REF!,#REF!,#REF!,#REF!,#REF!,#REF!,#REF!,#REF!,#REF!,#REF!,#REF!,#REF!,#REF!</definedName>
    <definedName name="__APW_RESTORE_DATA275__">#REF!,#REF!</definedName>
    <definedName name="__APW_RESTORE_DATA2750__">#REF!,#REF!,#REF!,#REF!,#REF!,#REF!,#REF!,#REF!,#REF!,#REF!,#REF!,#REF!,#REF!,#REF!,#REF!,#REF!</definedName>
    <definedName name="__APW_RESTORE_DATA2751__">#REF!,#REF!,#REF!,#REF!,#REF!,#REF!,#REF!,#REF!,#REF!,#REF!,#REF!,#REF!,#REF!,#REF!,#REF!</definedName>
    <definedName name="__APW_RESTORE_DATA2752__">#REF!,#REF!,#REF!,#REF!,#REF!,#REF!,#REF!,#REF!,#REF!,#REF!,#REF!,#REF!,#REF!,#REF!,#REF!</definedName>
    <definedName name="__APW_RESTORE_DATA2753__">#REF!,#REF!,#REF!,#REF!,#REF!,#REF!,#REF!,#REF!,#REF!,#REF!,#REF!,#REF!,#REF!,#REF!,#REF!</definedName>
    <definedName name="__APW_RESTORE_DATA2754__">#REF!,#REF!,#REF!,#REF!,#REF!,#REF!,#REF!,#REF!,#REF!,#REF!,#REF!,#REF!,#REF!,#REF!,#REF!</definedName>
    <definedName name="__APW_RESTORE_DATA2755__">#REF!,#REF!,#REF!,#REF!,#REF!,#REF!,#REF!,#REF!,#REF!,#REF!,#REF!,#REF!,#REF!,#REF!,#REF!</definedName>
    <definedName name="__APW_RESTORE_DATA2756__">#REF!,#REF!,#REF!,#REF!,#REF!,#REF!,#REF!,#REF!,#REF!,#REF!,#REF!,#REF!,#REF!,#REF!,#REF!</definedName>
    <definedName name="__APW_RESTORE_DATA2757__">#REF!,#REF!,#REF!,#REF!,#REF!,#REF!,#REF!,#REF!,#REF!,#REF!,#REF!,#REF!,#REF!,#REF!,#REF!</definedName>
    <definedName name="__APW_RESTORE_DATA2758__">#REF!,#REF!,#REF!,#REF!,#REF!,#REF!,#REF!,#REF!,#REF!,#REF!,#REF!,#REF!,#REF!,#REF!,#REF!</definedName>
    <definedName name="__APW_RESTORE_DATA2759__">#REF!,#REF!,#REF!,#REF!,#REF!,#REF!,#REF!,#REF!,#REF!,#REF!,#REF!,#REF!,#REF!,#REF!,#REF!</definedName>
    <definedName name="__APW_RESTORE_DATA276__">#REF!,#REF!,#REF!,#REF!,#REF!,#REF!,#REF!,#REF!,#REF!,#REF!,#REF!,#REF!,#REF!,#REF!,#REF!</definedName>
    <definedName name="__APW_RESTORE_DATA2760__">#REF!,#REF!,#REF!,#REF!,#REF!,#REF!,#REF!,#REF!,#REF!,#REF!,#REF!,#REF!,#REF!,#REF!,#REF!</definedName>
    <definedName name="__APW_RESTORE_DATA2761__">#REF!,#REF!,#REF!,#REF!,#REF!,#REF!,#REF!,#REF!,#REF!,#REF!,#REF!,#REF!,#REF!,#REF!,#REF!</definedName>
    <definedName name="__APW_RESTORE_DATA2762__">#REF!,#REF!,#REF!,#REF!,#REF!,#REF!,#REF!,#REF!,#REF!,#REF!,#REF!,#REF!,#REF!,#REF!,#REF!</definedName>
    <definedName name="__APW_RESTORE_DATA2763__">#REF!,#REF!,#REF!,#REF!,#REF!,#REF!,#REF!,#REF!,#REF!,#REF!,#REF!,#REF!,#REF!,#REF!,#REF!</definedName>
    <definedName name="__APW_RESTORE_DATA2764__">#REF!,#REF!,#REF!,#REF!,#REF!,#REF!,#REF!,#REF!,#REF!,#REF!,#REF!,#REF!,#REF!,#REF!,#REF!</definedName>
    <definedName name="__APW_RESTORE_DATA2765__">#REF!,#REF!,#REF!,#REF!,#REF!,#REF!,#REF!,#REF!,#REF!,#REF!,#REF!,#REF!,#REF!,#REF!,#REF!</definedName>
    <definedName name="__APW_RESTORE_DATA2766__">#REF!,#REF!,#REF!,#REF!,#REF!,#REF!,#REF!,#REF!,#REF!,#REF!,#REF!,#REF!,#REF!,#REF!,#REF!</definedName>
    <definedName name="__APW_RESTORE_DATA2767__">#REF!,#REF!,#REF!,#REF!,#REF!,#REF!,#REF!,#REF!,#REF!,#REF!,#REF!,#REF!,#REF!,#REF!,#REF!</definedName>
    <definedName name="__APW_RESTORE_DATA2768__">#REF!,#REF!,#REF!,#REF!,#REF!,#REF!,#REF!,#REF!,#REF!,#REF!,#REF!,#REF!,#REF!,#REF!,#REF!</definedName>
    <definedName name="__APW_RESTORE_DATA2769__">#REF!,#REF!,#REF!,#REF!,#REF!,#REF!,#REF!,#REF!,#REF!,#REF!,#REF!,#REF!,#REF!,#REF!,#REF!</definedName>
    <definedName name="__APW_RESTORE_DATA277__">#REF!,#REF!,#REF!,#REF!,#REF!,#REF!,#REF!,#REF!,#REF!,#REF!,#REF!,#REF!,#REF!,#REF!,#REF!</definedName>
    <definedName name="__APW_RESTORE_DATA2770__">#REF!,#REF!,#REF!,#REF!,#REF!,#REF!,#REF!,#REF!,#REF!,#REF!,#REF!,#REF!,#REF!,#REF!,#REF!</definedName>
    <definedName name="__APW_RESTORE_DATA2771__">#REF!,#REF!,#REF!,#REF!,#REF!,#REF!,#REF!,#REF!,#REF!,#REF!,#REF!,#REF!,#REF!,#REF!,#REF!</definedName>
    <definedName name="__APW_RESTORE_DATA2772__">#REF!,#REF!,#REF!,#REF!,#REF!,#REF!,#REF!,#REF!,#REF!,#REF!,#REF!,#REF!,#REF!,#REF!,#REF!</definedName>
    <definedName name="__APW_RESTORE_DATA2773__">#REF!,#REF!,#REF!,#REF!,#REF!,#REF!,#REF!,#REF!,#REF!,#REF!,#REF!,#REF!,#REF!,#REF!,#REF!</definedName>
    <definedName name="__APW_RESTORE_DATA2774__">#REF!,#REF!,#REF!,#REF!,#REF!,#REF!,#REF!,#REF!,#REF!,#REF!,#REF!,#REF!,#REF!,#REF!,#REF!</definedName>
    <definedName name="__APW_RESTORE_DATA2775__">#REF!,#REF!,#REF!,#REF!,#REF!,#REF!,#REF!,#REF!,#REF!,#REF!,#REF!,#REF!,#REF!,#REF!,#REF!</definedName>
    <definedName name="__APW_RESTORE_DATA2776__">#REF!,#REF!,#REF!,#REF!,#REF!,#REF!,#REF!,#REF!,#REF!,#REF!,#REF!,#REF!,#REF!,#REF!,#REF!</definedName>
    <definedName name="__APW_RESTORE_DATA2777__">#REF!,#REF!,#REF!,#REF!,#REF!,#REF!,#REF!,#REF!,#REF!,#REF!,#REF!,#REF!,#REF!,#REF!,#REF!</definedName>
    <definedName name="__APW_RESTORE_DATA2778__">#REF!,#REF!,#REF!,#REF!,#REF!,#REF!,#REF!,#REF!,#REF!,#REF!,#REF!,#REF!,#REF!,#REF!,#REF!</definedName>
    <definedName name="__APW_RESTORE_DATA2779__">#REF!,#REF!,#REF!,#REF!,#REF!,#REF!</definedName>
    <definedName name="__APW_RESTORE_DATA278__">#REF!,#REF!,#REF!,#REF!,#REF!,#REF!,#REF!,#REF!,#REF!,#REF!,#REF!,#REF!,#REF!,#REF!,#REF!</definedName>
    <definedName name="__APW_RESTORE_DATA2780__">#REF!,#REF!,#REF!,#REF!,#REF!,#REF!,#REF!,#REF!,#REF!,#REF!,#REF!,#REF!,#REF!,#REF!,#REF!,#REF!</definedName>
    <definedName name="__APW_RESTORE_DATA2781__">#REF!,#REF!,#REF!,#REF!,#REF!,#REF!,#REF!,#REF!,#REF!,#REF!,#REF!,#REF!,#REF!,#REF!,#REF!,#REF!</definedName>
    <definedName name="__APW_RESTORE_DATA2782__">#REF!,#REF!,#REF!,#REF!,#REF!,#REF!,#REF!,#REF!,#REF!,#REF!,#REF!,#REF!,#REF!,#REF!,#REF!,#REF!</definedName>
    <definedName name="__APW_RESTORE_DATA2783__">#REF!,#REF!,#REF!,#REF!,#REF!,#REF!,#REF!,#REF!,#REF!,#REF!,#REF!,#REF!,#REF!,#REF!,#REF!,#REF!</definedName>
    <definedName name="__APW_RESTORE_DATA2784__">#REF!,#REF!,#REF!,#REF!,#REF!,#REF!,#REF!,#REF!,#REF!,#REF!,#REF!,#REF!,#REF!,#REF!,#REF!,#REF!</definedName>
    <definedName name="__APW_RESTORE_DATA2785__">#REF!,#REF!,#REF!,#REF!,#REF!,#REF!,#REF!,#REF!,#REF!,#REF!,#REF!,#REF!,#REF!,#REF!,#REF!,#REF!</definedName>
    <definedName name="__APW_RESTORE_DATA2786__">#REF!,#REF!,#REF!,#REF!,#REF!,#REF!,#REF!,#REF!,#REF!,#REF!,#REF!,#REF!,#REF!,#REF!,#REF!</definedName>
    <definedName name="__APW_RESTORE_DATA2787__">#REF!,#REF!,#REF!,#REF!,#REF!,#REF!,#REF!,#REF!,#REF!,#REF!,#REF!,#REF!,#REF!,#REF!,#REF!</definedName>
    <definedName name="__APW_RESTORE_DATA2788__">#REF!,#REF!,#REF!,#REF!,#REF!,#REF!,#REF!,#REF!,#REF!,#REF!,#REF!,#REF!,#REF!,#REF!,#REF!</definedName>
    <definedName name="__APW_RESTORE_DATA2789__">#REF!,#REF!,#REF!,#REF!,#REF!,#REF!,#REF!,#REF!,#REF!,#REF!,#REF!,#REF!,#REF!,#REF!,#REF!</definedName>
    <definedName name="__APW_RESTORE_DATA279__">#REF!,#REF!,#REF!,#REF!,#REF!,#REF!,#REF!,#REF!,#REF!,#REF!,#REF!,#REF!,#REF!,#REF!,#REF!</definedName>
    <definedName name="__APW_RESTORE_DATA2790__">#REF!,#REF!,#REF!,#REF!,#REF!,#REF!,#REF!,#REF!,#REF!,#REF!,#REF!,#REF!,#REF!,#REF!,#REF!</definedName>
    <definedName name="__APW_RESTORE_DATA2791__">#REF!,#REF!,#REF!,#REF!,#REF!,#REF!,#REF!,#REF!,#REF!,#REF!,#REF!,#REF!,#REF!,#REF!,#REF!</definedName>
    <definedName name="__APW_RESTORE_DATA2792__">#REF!,#REF!,#REF!,#REF!,#REF!,#REF!,#REF!,#REF!,#REF!,#REF!,#REF!,#REF!,#REF!,#REF!,#REF!</definedName>
    <definedName name="__APW_RESTORE_DATA2793__">#REF!,#REF!,#REF!,#REF!,#REF!,#REF!,#REF!,#REF!,#REF!,#REF!,#REF!,#REF!,#REF!,#REF!,#REF!</definedName>
    <definedName name="__APW_RESTORE_DATA2794__">#REF!,#REF!,#REF!,#REF!,#REF!,#REF!,#REF!,#REF!,#REF!,#REF!,#REF!,#REF!,#REF!,#REF!,#REF!</definedName>
    <definedName name="__APW_RESTORE_DATA2795__">#REF!,#REF!,#REF!,#REF!,#REF!,#REF!,#REF!,#REF!,#REF!,#REF!,#REF!,#REF!,#REF!,#REF!,#REF!</definedName>
    <definedName name="__APW_RESTORE_DATA2796__">#REF!,#REF!,#REF!,#REF!,#REF!,#REF!,#REF!,#REF!,#REF!,#REF!,#REF!,#REF!,#REF!,#REF!,#REF!</definedName>
    <definedName name="__APW_RESTORE_DATA2797__">#REF!,#REF!,#REF!,#REF!,#REF!,#REF!,#REF!,#REF!,#REF!,#REF!,#REF!,#REF!,#REF!,#REF!,#REF!</definedName>
    <definedName name="__APW_RESTORE_DATA2798__">#REF!,#REF!,#REF!,#REF!,#REF!,#REF!,#REF!,#REF!,#REF!,#REF!,#REF!,#REF!,#REF!,#REF!,#REF!</definedName>
    <definedName name="__APW_RESTORE_DATA2799__">#REF!,#REF!,#REF!,#REF!,#REF!,#REF!,#REF!,#REF!,#REF!,#REF!,#REF!,#REF!,#REF!,#REF!,#REF!</definedName>
    <definedName name="__APW_RESTORE_DATA28__">#REF!,#REF!,#REF!,#REF!,#REF!,#REF!,#REF!,#REF!,#REF!,#REF!,#REF!,#REF!,#REF!,#REF!,#REF!,#REF!</definedName>
    <definedName name="__APW_RESTORE_DATA280__">#REF!,#REF!,#REF!,#REF!,#REF!,#REF!,#REF!,#REF!,#REF!,#REF!,#REF!,#REF!,#REF!,#REF!,#REF!</definedName>
    <definedName name="__APW_RESTORE_DATA2800__">#REF!,#REF!,#REF!,#REF!,#REF!,#REF!,#REF!,#REF!,#REF!,#REF!,#REF!,#REF!,#REF!,#REF!,#REF!</definedName>
    <definedName name="__APW_RESTORE_DATA2801__">#REF!,#REF!,#REF!,#REF!,#REF!,#REF!,#REF!,#REF!,#REF!,#REF!,#REF!,#REF!,#REF!,#REF!,#REF!</definedName>
    <definedName name="__APW_RESTORE_DATA2802__">#REF!,#REF!,#REF!,#REF!,#REF!,#REF!,#REF!,#REF!,#REF!,#REF!,#REF!,#REF!,#REF!,#REF!,#REF!</definedName>
    <definedName name="__APW_RESTORE_DATA2803__">#REF!,#REF!,#REF!,#REF!,#REF!,#REF!,#REF!,#REF!,#REF!,#REF!,#REF!,#REF!,#REF!,#REF!,#REF!</definedName>
    <definedName name="__APW_RESTORE_DATA2804__">#REF!,#REF!,#REF!,#REF!,#REF!,#REF!,#REF!,#REF!,#REF!,#REF!,#REF!,#REF!,#REF!,#REF!,#REF!</definedName>
    <definedName name="__APW_RESTORE_DATA2805__">#REF!,#REF!,#REF!,#REF!,#REF!,#REF!,#REF!,#REF!,#REF!,#REF!,#REF!,#REF!,#REF!,#REF!,#REF!</definedName>
    <definedName name="__APW_RESTORE_DATA2806__">#REF!,#REF!,#REF!,#REF!,#REF!,#REF!,#REF!,#REF!,#REF!,#REF!,#REF!,#REF!,#REF!,#REF!,#REF!</definedName>
    <definedName name="__APW_RESTORE_DATA2807__">#REF!,#REF!,#REF!,#REF!,#REF!,#REF!,#REF!,#REF!,#REF!,#REF!,#REF!,#REF!,#REF!,#REF!,#REF!</definedName>
    <definedName name="__APW_RESTORE_DATA2808__">#REF!,#REF!,#REF!,#REF!,#REF!,#REF!,#REF!,#REF!,#REF!,#REF!,#REF!,#REF!,#REF!,#REF!,#REF!</definedName>
    <definedName name="__APW_RESTORE_DATA2809__">#REF!,#REF!,#REF!,#REF!,#REF!,#REF!,#REF!,#REF!,#REF!,#REF!,#REF!,#REF!,#REF!,#REF!,#REF!</definedName>
    <definedName name="__APW_RESTORE_DATA281__">#REF!,#REF!,#REF!,#REF!,#REF!,#REF!,#REF!,#REF!,#REF!,#REF!,#REF!,#REF!,#REF!,#REF!,#REF!</definedName>
    <definedName name="__APW_RESTORE_DATA2810__">#REF!,#REF!,#REF!,#REF!,#REF!,#REF!,#REF!,#REF!,#REF!,#REF!,#REF!,#REF!,#REF!,#REF!,#REF!</definedName>
    <definedName name="__APW_RESTORE_DATA2811__">#REF!,#REF!,#REF!,#REF!,#REF!,#REF!,#REF!,#REF!,#REF!,#REF!,#REF!,#REF!,#REF!,#REF!,#REF!</definedName>
    <definedName name="__APW_RESTORE_DATA2812__">#REF!,#REF!,#REF!,#REF!,#REF!,#REF!,#REF!,#REF!,#REF!,#REF!,#REF!,#REF!,#REF!,#REF!,#REF!</definedName>
    <definedName name="__APW_RESTORE_DATA2813__">#REF!,#REF!,#REF!,#REF!,#REF!,#REF!,#REF!,#REF!,#REF!,#REF!,#REF!,#REF!,#REF!,#REF!,#REF!</definedName>
    <definedName name="__APW_RESTORE_DATA2814__">#REF!,#REF!,#REF!,#REF!,#REF!,#REF!</definedName>
    <definedName name="__APW_RESTORE_DATA2815__">#REF!,#REF!,#REF!,#REF!,#REF!,#REF!,#REF!,#REF!,#REF!,#REF!,#REF!,#REF!,#REF!,#REF!,#REF!,#REF!</definedName>
    <definedName name="__APW_RESTORE_DATA2816__">#REF!,#REF!,#REF!,#REF!,#REF!,#REF!,#REF!,#REF!,#REF!,#REF!,#REF!,#REF!,#REF!,#REF!,#REF!,#REF!</definedName>
    <definedName name="__APW_RESTORE_DATA2817__">#REF!,#REF!,#REF!,#REF!,#REF!,#REF!,#REF!,#REF!,#REF!,#REF!,#REF!,#REF!,#REF!,#REF!,#REF!,#REF!</definedName>
    <definedName name="__APW_RESTORE_DATA2818__">#REF!,#REF!,#REF!,#REF!,#REF!,#REF!,#REF!,#REF!,#REF!,#REF!,#REF!,#REF!,#REF!,#REF!,#REF!,#REF!</definedName>
    <definedName name="__APW_RESTORE_DATA2819__">#REF!,#REF!,#REF!,#REF!,#REF!,#REF!,#REF!,#REF!,#REF!,#REF!,#REF!,#REF!,#REF!,#REF!,#REF!,#REF!</definedName>
    <definedName name="__APW_RESTORE_DATA282__">#REF!,#REF!,#REF!,#REF!,#REF!,#REF!,#REF!,#REF!,#REF!,#REF!,#REF!,#REF!,#REF!,#REF!,#REF!</definedName>
    <definedName name="__APW_RESTORE_DATA2820__">#REF!,#REF!,#REF!,#REF!,#REF!,#REF!,#REF!,#REF!,#REF!,#REF!,#REF!,#REF!,#REF!,#REF!,#REF!,#REF!</definedName>
    <definedName name="__APW_RESTORE_DATA2821__">#REF!,#REF!,#REF!,#REF!,#REF!,#REF!,#REF!,#REF!,#REF!,#REF!,#REF!,#REF!,#REF!,#REF!,#REF!</definedName>
    <definedName name="__APW_RESTORE_DATA2822__">#REF!,#REF!,#REF!,#REF!,#REF!,#REF!,#REF!,#REF!,#REF!,#REF!,#REF!,#REF!,#REF!,#REF!,#REF!</definedName>
    <definedName name="__APW_RESTORE_DATA2823__">#REF!,#REF!,#REF!,#REF!,#REF!,#REF!,#REF!,#REF!,#REF!,#REF!,#REF!,#REF!,#REF!,#REF!,#REF!</definedName>
    <definedName name="__APW_RESTORE_DATA2824__">#REF!,#REF!,#REF!,#REF!,#REF!,#REF!,#REF!,#REF!,#REF!,#REF!,#REF!,#REF!,#REF!,#REF!,#REF!</definedName>
    <definedName name="__APW_RESTORE_DATA2825__">#REF!,#REF!,#REF!,#REF!,#REF!,#REF!,#REF!,#REF!,#REF!,#REF!,#REF!,#REF!,#REF!,#REF!,#REF!</definedName>
    <definedName name="__APW_RESTORE_DATA2826__">#REF!,#REF!,#REF!,#REF!,#REF!,#REF!,#REF!,#REF!,#REF!,#REF!,#REF!,#REF!,#REF!,#REF!,#REF!</definedName>
    <definedName name="__APW_RESTORE_DATA2827__">#REF!,#REF!,#REF!,#REF!,#REF!,#REF!,#REF!,#REF!,#REF!,#REF!,#REF!,#REF!,#REF!,#REF!,#REF!</definedName>
    <definedName name="__APW_RESTORE_DATA2828__">#REF!,#REF!,#REF!,#REF!,#REF!,#REF!,#REF!,#REF!,#REF!,#REF!,#REF!,#REF!,#REF!,#REF!,#REF!</definedName>
    <definedName name="__APW_RESTORE_DATA2829__">#REF!,#REF!,#REF!,#REF!,#REF!,#REF!,#REF!,#REF!,#REF!,#REF!,#REF!,#REF!,#REF!,#REF!,#REF!</definedName>
    <definedName name="__APW_RESTORE_DATA283__">#REF!,#REF!,#REF!,#REF!,#REF!,#REF!,#REF!,#REF!,#REF!,#REF!,#REF!,#REF!,#REF!,#REF!,#REF!</definedName>
    <definedName name="__APW_RESTORE_DATA2830__">#REF!,#REF!,#REF!,#REF!,#REF!,#REF!,#REF!,#REF!,#REF!,#REF!,#REF!,#REF!,#REF!,#REF!,#REF!</definedName>
    <definedName name="__APW_RESTORE_DATA2831__">#REF!,#REF!,#REF!,#REF!,#REF!,#REF!,#REF!,#REF!,#REF!,#REF!,#REF!,#REF!,#REF!,#REF!,#REF!</definedName>
    <definedName name="__APW_RESTORE_DATA2832__">#REF!,#REF!,#REF!,#REF!,#REF!,#REF!,#REF!,#REF!,#REF!,#REF!,#REF!,#REF!,#REF!,#REF!,#REF!</definedName>
    <definedName name="__APW_RESTORE_DATA2833__">#REF!,#REF!,#REF!,#REF!,#REF!,#REF!,#REF!,#REF!,#REF!,#REF!,#REF!,#REF!,#REF!,#REF!,#REF!</definedName>
    <definedName name="__APW_RESTORE_DATA2834__">#REF!,#REF!,#REF!,#REF!,#REF!,#REF!,#REF!,#REF!,#REF!,#REF!,#REF!,#REF!,#REF!,#REF!,#REF!</definedName>
    <definedName name="__APW_RESTORE_DATA2835__">#REF!,#REF!,#REF!,#REF!,#REF!,#REF!,#REF!,#REF!,#REF!,#REF!,#REF!,#REF!,#REF!,#REF!,#REF!</definedName>
    <definedName name="__APW_RESTORE_DATA2836__">#REF!,#REF!,#REF!,#REF!,#REF!,#REF!,#REF!,#REF!,#REF!,#REF!,#REF!,#REF!,#REF!,#REF!,#REF!</definedName>
    <definedName name="__APW_RESTORE_DATA2837__">#REF!,#REF!,#REF!,#REF!,#REF!,#REF!,#REF!,#REF!,#REF!,#REF!,#REF!,#REF!,#REF!,#REF!,#REF!</definedName>
    <definedName name="__APW_RESTORE_DATA2838__">#REF!,#REF!,#REF!,#REF!,#REF!,#REF!,#REF!,#REF!,#REF!,#REF!,#REF!,#REF!,#REF!,#REF!,#REF!</definedName>
    <definedName name="__APW_RESTORE_DATA2839__">#REF!,#REF!,#REF!,#REF!,#REF!,#REF!,#REF!,#REF!,#REF!,#REF!,#REF!,#REF!,#REF!,#REF!,#REF!</definedName>
    <definedName name="__APW_RESTORE_DATA284__">#REF!,#REF!,#REF!,#REF!,#REF!,#REF!,#REF!,#REF!,#REF!,#REF!,#REF!,#REF!,#REF!,#REF!,#REF!</definedName>
    <definedName name="__APW_RESTORE_DATA2840__">#REF!,#REF!,#REF!,#REF!,#REF!,#REF!,#REF!,#REF!,#REF!,#REF!,#REF!,#REF!,#REF!,#REF!,#REF!</definedName>
    <definedName name="__APW_RESTORE_DATA2841__">#REF!,#REF!,#REF!,#REF!,#REF!,#REF!,#REF!,#REF!,#REF!,#REF!,#REF!,#REF!,#REF!,#REF!,#REF!</definedName>
    <definedName name="__APW_RESTORE_DATA2842__">#REF!,#REF!,#REF!,#REF!,#REF!,#REF!,#REF!,#REF!,#REF!,#REF!,#REF!,#REF!,#REF!,#REF!,#REF!</definedName>
    <definedName name="__APW_RESTORE_DATA2843__">#REF!,#REF!,#REF!,#REF!,#REF!,#REF!,#REF!,#REF!,#REF!,#REF!,#REF!,#REF!,#REF!,#REF!,#REF!</definedName>
    <definedName name="__APW_RESTORE_DATA2844__">#REF!,#REF!,#REF!,#REF!,#REF!,#REF!,#REF!,#REF!,#REF!,#REF!,#REF!,#REF!,#REF!,#REF!,#REF!</definedName>
    <definedName name="__APW_RESTORE_DATA2845__">#REF!,#REF!,#REF!,#REF!,#REF!,#REF!,#REF!,#REF!,#REF!,#REF!,#REF!,#REF!,#REF!,#REF!,#REF!</definedName>
    <definedName name="__APW_RESTORE_DATA2846__">#REF!,#REF!,#REF!,#REF!,#REF!,#REF!,#REF!,#REF!,#REF!,#REF!,#REF!,#REF!,#REF!,#REF!,#REF!</definedName>
    <definedName name="__APW_RESTORE_DATA2847__">#REF!,#REF!,#REF!,#REF!,#REF!,#REF!,#REF!,#REF!,#REF!,#REF!,#REF!,#REF!,#REF!,#REF!,#REF!</definedName>
    <definedName name="__APW_RESTORE_DATA2848__">#REF!,#REF!,#REF!,#REF!,#REF!,#REF!,#REF!,#REF!,#REF!,#REF!,#REF!,#REF!,#REF!,#REF!,#REF!</definedName>
    <definedName name="__APW_RESTORE_DATA2849__">#REF!,#REF!,#REF!,#REF!,#REF!,#REF!</definedName>
    <definedName name="__APW_RESTORE_DATA285__">#REF!,#REF!,#REF!,#REF!,#REF!,#REF!,#REF!,#REF!,#REF!,#REF!,#REF!,#REF!,#REF!,#REF!,#REF!</definedName>
    <definedName name="__APW_RESTORE_DATA2850__">#REF!,#REF!,#REF!,#REF!,#REF!,#REF!,#REF!,#REF!,#REF!,#REF!,#REF!,#REF!,#REF!,#REF!,#REF!,#REF!</definedName>
    <definedName name="__APW_RESTORE_DATA2851__">#REF!,#REF!,#REF!,#REF!,#REF!,#REF!,#REF!,#REF!,#REF!,#REF!,#REF!,#REF!,#REF!,#REF!,#REF!,#REF!</definedName>
    <definedName name="__APW_RESTORE_DATA2852__">#REF!,#REF!,#REF!,#REF!,#REF!,#REF!,#REF!,#REF!,#REF!,#REF!,#REF!,#REF!,#REF!,#REF!,#REF!,#REF!</definedName>
    <definedName name="__APW_RESTORE_DATA2853__">#REF!,#REF!,#REF!,#REF!,#REF!,#REF!,#REF!,#REF!,#REF!,#REF!,#REF!,#REF!,#REF!,#REF!,#REF!,#REF!</definedName>
    <definedName name="__APW_RESTORE_DATA2854__">#REF!,#REF!,#REF!,#REF!,#REF!,#REF!,#REF!,#REF!,#REF!,#REF!,#REF!,#REF!,#REF!,#REF!,#REF!,#REF!</definedName>
    <definedName name="__APW_RESTORE_DATA2855__">#REF!,#REF!,#REF!,#REF!,#REF!,#REF!,#REF!,#REF!,#REF!,#REF!,#REF!,#REF!,#REF!,#REF!,#REF!,#REF!</definedName>
    <definedName name="__APW_RESTORE_DATA2856__">#REF!,#REF!,#REF!,#REF!,#REF!,#REF!,#REF!,#REF!,#REF!,#REF!,#REF!,#REF!,#REF!,#REF!,#REF!</definedName>
    <definedName name="__APW_RESTORE_DATA2857__">#REF!,#REF!,#REF!,#REF!,#REF!,#REF!,#REF!,#REF!,#REF!,#REF!,#REF!,#REF!,#REF!,#REF!,#REF!</definedName>
    <definedName name="__APW_RESTORE_DATA2858__">#REF!,#REF!,#REF!,#REF!,#REF!,#REF!,#REF!,#REF!,#REF!,#REF!,#REF!,#REF!,#REF!,#REF!,#REF!</definedName>
    <definedName name="__APW_RESTORE_DATA2859__">#REF!,#REF!,#REF!,#REF!,#REF!,#REF!,#REF!,#REF!,#REF!,#REF!,#REF!,#REF!,#REF!,#REF!,#REF!</definedName>
    <definedName name="__APW_RESTORE_DATA286__">#REF!,#REF!,#REF!,#REF!,#REF!,#REF!,#REF!,#REF!</definedName>
    <definedName name="__APW_RESTORE_DATA2860__">#REF!,#REF!,#REF!,#REF!,#REF!,#REF!,#REF!,#REF!,#REF!,#REF!,#REF!,#REF!,#REF!,#REF!,#REF!</definedName>
    <definedName name="__APW_RESTORE_DATA2861__">#REF!,#REF!,#REF!,#REF!,#REF!,#REF!,#REF!,#REF!,#REF!,#REF!,#REF!,#REF!,#REF!,#REF!,#REF!</definedName>
    <definedName name="__APW_RESTORE_DATA2862__">#REF!,#REF!,#REF!,#REF!,#REF!,#REF!,#REF!,#REF!,#REF!,#REF!,#REF!,#REF!,#REF!,#REF!,#REF!</definedName>
    <definedName name="__APW_RESTORE_DATA2863__">#REF!,#REF!,#REF!,#REF!,#REF!,#REF!,#REF!,#REF!,#REF!,#REF!,#REF!,#REF!,#REF!,#REF!,#REF!</definedName>
    <definedName name="__APW_RESTORE_DATA2864__">#REF!,#REF!,#REF!,#REF!,#REF!,#REF!,#REF!,#REF!,#REF!,#REF!,#REF!,#REF!,#REF!,#REF!,#REF!</definedName>
    <definedName name="__APW_RESTORE_DATA2865__">#REF!,#REF!,#REF!,#REF!,#REF!,#REF!,#REF!,#REF!,#REF!,#REF!,#REF!,#REF!,#REF!,#REF!,#REF!</definedName>
    <definedName name="__APW_RESTORE_DATA2866__">#REF!,#REF!,#REF!,#REF!,#REF!,#REF!,#REF!,#REF!,#REF!,#REF!,#REF!,#REF!,#REF!,#REF!,#REF!</definedName>
    <definedName name="__APW_RESTORE_DATA2867__">#REF!,#REF!,#REF!,#REF!,#REF!,#REF!,#REF!,#REF!,#REF!,#REF!,#REF!,#REF!,#REF!,#REF!,#REF!</definedName>
    <definedName name="__APW_RESTORE_DATA2868__">#REF!,#REF!,#REF!,#REF!,#REF!,#REF!,#REF!,#REF!,#REF!,#REF!,#REF!,#REF!,#REF!,#REF!,#REF!</definedName>
    <definedName name="__APW_RESTORE_DATA2869__">#REF!,#REF!,#REF!,#REF!,#REF!,#REF!,#REF!,#REF!,#REF!,#REF!,#REF!,#REF!,#REF!,#REF!,#REF!</definedName>
    <definedName name="__APW_RESTORE_DATA287__">#REF!</definedName>
    <definedName name="__APW_RESTORE_DATA2870__">#REF!,#REF!,#REF!,#REF!,#REF!,#REF!,#REF!,#REF!,#REF!,#REF!,#REF!,#REF!,#REF!,#REF!,#REF!</definedName>
    <definedName name="__APW_RESTORE_DATA2871__">#REF!,#REF!,#REF!,#REF!,#REF!,#REF!,#REF!,#REF!,#REF!,#REF!,#REF!,#REF!,#REF!,#REF!,#REF!</definedName>
    <definedName name="__APW_RESTORE_DATA2872__">#REF!,#REF!,#REF!,#REF!,#REF!,#REF!,#REF!,#REF!,#REF!,#REF!,#REF!,#REF!,#REF!,#REF!,#REF!</definedName>
    <definedName name="__APW_RESTORE_DATA2873__">#REF!,#REF!,#REF!,#REF!,#REF!,#REF!,#REF!,#REF!,#REF!,#REF!,#REF!,#REF!,#REF!,#REF!,#REF!</definedName>
    <definedName name="__APW_RESTORE_DATA2874__">#REF!,#REF!,#REF!,#REF!,#REF!,#REF!,#REF!,#REF!,#REF!,#REF!,#REF!,#REF!,#REF!,#REF!,#REF!</definedName>
    <definedName name="__APW_RESTORE_DATA2875__">#REF!,#REF!,#REF!,#REF!,#REF!,#REF!,#REF!,#REF!,#REF!,#REF!,#REF!,#REF!,#REF!,#REF!,#REF!</definedName>
    <definedName name="__APW_RESTORE_DATA2876__">#REF!,#REF!,#REF!,#REF!,#REF!,#REF!,#REF!,#REF!,#REF!,#REF!,#REF!,#REF!,#REF!,#REF!,#REF!</definedName>
    <definedName name="__APW_RESTORE_DATA2877__">#REF!,#REF!,#REF!,#REF!,#REF!,#REF!,#REF!,#REF!,#REF!,#REF!,#REF!,#REF!,#REF!,#REF!,#REF!</definedName>
    <definedName name="__APW_RESTORE_DATA2878__">#REF!,#REF!,#REF!,#REF!,#REF!,#REF!,#REF!,#REF!,#REF!,#REF!,#REF!,#REF!,#REF!,#REF!,#REF!</definedName>
    <definedName name="__APW_RESTORE_DATA2879__">#REF!,#REF!,#REF!,#REF!,#REF!,#REF!,#REF!,#REF!,#REF!,#REF!,#REF!,#REF!,#REF!,#REF!,#REF!</definedName>
    <definedName name="__APW_RESTORE_DATA288__">#REF!,#REF!</definedName>
    <definedName name="__APW_RESTORE_DATA2880__">#REF!,#REF!,#REF!,#REF!,#REF!,#REF!,#REF!,#REF!,#REF!,#REF!,#REF!,#REF!,#REF!,#REF!,#REF!</definedName>
    <definedName name="__APW_RESTORE_DATA2881__">#REF!,#REF!,#REF!,#REF!,#REF!,#REF!,#REF!,#REF!,#REF!,#REF!,#REF!,#REF!,#REF!,#REF!,#REF!</definedName>
    <definedName name="__APW_RESTORE_DATA2882__">#REF!,#REF!,#REF!,#REF!,#REF!,#REF!,#REF!,#REF!,#REF!,#REF!,#REF!,#REF!,#REF!,#REF!,#REF!</definedName>
    <definedName name="__APW_RESTORE_DATA2883__">#REF!,#REF!,#REF!,#REF!,#REF!,#REF!,#REF!,#REF!,#REF!,#REF!,#REF!,#REF!,#REF!,#REF!,#REF!</definedName>
    <definedName name="__APW_RESTORE_DATA2884__">#REF!,#REF!,#REF!,#REF!,#REF!,#REF!</definedName>
    <definedName name="__APW_RESTORE_DATA2885__">#REF!</definedName>
    <definedName name="__APW_RESTORE_DATA2886__">#REF!</definedName>
    <definedName name="__APW_RESTORE_DATA2887__">#REF!</definedName>
    <definedName name="__APW_RESTORE_DATA2889__">#REF!</definedName>
    <definedName name="__APW_RESTORE_DATA289__">#REF!</definedName>
    <definedName name="__APW_RESTORE_DATA2890__">#REF!,#REF!,#REF!,#REF!,#REF!,#REF!,#REF!,#REF!,#REF!,#REF!,#REF!,#REF!,#REF!,#REF!,#REF!,#REF!</definedName>
    <definedName name="__APW_RESTORE_DATA2891__">#REF!,#REF!,#REF!,#REF!,#REF!,#REF!,#REF!,#REF!,#REF!,#REF!,#REF!,#REF!,#REF!,#REF!,#REF!,#REF!</definedName>
    <definedName name="__APW_RESTORE_DATA2892__">#REF!,#REF!,#REF!,#REF!,#REF!,#REF!,#REF!,#REF!,#REF!,#REF!,#REF!,#REF!,#REF!,#REF!,#REF!,#REF!</definedName>
    <definedName name="__APW_RESTORE_DATA2893__">#REF!,#REF!,#REF!,#REF!,#REF!,#REF!,#REF!,#REF!,#REF!,#REF!,#REF!,#REF!,#REF!,#REF!,#REF!,#REF!</definedName>
    <definedName name="__APW_RESTORE_DATA2894__">#REF!,#REF!,#REF!,#REF!,#REF!,#REF!,#REF!,#REF!,#REF!,#REF!,#REF!,#REF!,#REF!,#REF!,#REF!,#REF!</definedName>
    <definedName name="__APW_RESTORE_DATA2895__">#REF!,#REF!,#REF!,#REF!,#REF!,#REF!,#REF!,#REF!,#REF!,#REF!,#REF!,#REF!,#REF!,#REF!,#REF!,#REF!</definedName>
    <definedName name="__APW_RESTORE_DATA2896__">#REF!,#REF!,#REF!,#REF!,#REF!,#REF!,#REF!,#REF!,#REF!,#REF!,#REF!,#REF!,#REF!,#REF!,#REF!</definedName>
    <definedName name="__APW_RESTORE_DATA2897__">#REF!,#REF!,#REF!,#REF!,#REF!,#REF!,#REF!,#REF!,#REF!,#REF!,#REF!,#REF!,#REF!,#REF!,#REF!</definedName>
    <definedName name="__APW_RESTORE_DATA2898__">#REF!,#REF!,#REF!,#REF!,#REF!,#REF!,#REF!,#REF!,#REF!,#REF!,#REF!,#REF!,#REF!,#REF!,#REF!</definedName>
    <definedName name="__APW_RESTORE_DATA2899__">#REF!,#REF!,#REF!,#REF!,#REF!,#REF!,#REF!,#REF!,#REF!,#REF!,#REF!,#REF!,#REF!,#REF!,#REF!</definedName>
    <definedName name="__APW_RESTORE_DATA29__">#REF!,#REF!,#REF!,#REF!,#REF!,#REF!,#REF!,#REF!,#REF!,#REF!,#REF!,#REF!,#REF!,#REF!,#REF!</definedName>
    <definedName name="__APW_RESTORE_DATA290__">#REF!</definedName>
    <definedName name="__APW_RESTORE_DATA2900__">#REF!,#REF!,#REF!,#REF!,#REF!,#REF!,#REF!,#REF!,#REF!,#REF!,#REF!,#REF!,#REF!,#REF!,#REF!</definedName>
    <definedName name="__APW_RESTORE_DATA2901__">#REF!,#REF!,#REF!,#REF!,#REF!,#REF!,#REF!,#REF!,#REF!,#REF!,#REF!,#REF!,#REF!,#REF!,#REF!</definedName>
    <definedName name="__APW_RESTORE_DATA2902__">#REF!,#REF!,#REF!,#REF!,#REF!,#REF!,#REF!,#REF!,#REF!,#REF!,#REF!,#REF!,#REF!,#REF!,#REF!</definedName>
    <definedName name="__APW_RESTORE_DATA2903__">#REF!,#REF!,#REF!,#REF!,#REF!,#REF!,#REF!,#REF!,#REF!,#REF!,#REF!,#REF!,#REF!,#REF!,#REF!</definedName>
    <definedName name="__APW_RESTORE_DATA2904__">#REF!,#REF!,#REF!,#REF!,#REF!,#REF!,#REF!,#REF!,#REF!,#REF!,#REF!,#REF!,#REF!,#REF!,#REF!</definedName>
    <definedName name="__APW_RESTORE_DATA2905__">#REF!,#REF!,#REF!,#REF!,#REF!,#REF!,#REF!,#REF!,#REF!,#REF!,#REF!,#REF!,#REF!,#REF!,#REF!</definedName>
    <definedName name="__APW_RESTORE_DATA2906__">#REF!,#REF!,#REF!,#REF!,#REF!,#REF!,#REF!,#REF!,#REF!,#REF!,#REF!,#REF!,#REF!,#REF!,#REF!</definedName>
    <definedName name="__APW_RESTORE_DATA2907__">#REF!,#REF!,#REF!,#REF!,#REF!,#REF!,#REF!,#REF!,#REF!,#REF!,#REF!,#REF!,#REF!,#REF!,#REF!</definedName>
    <definedName name="__APW_RESTORE_DATA2908__">#REF!,#REF!,#REF!,#REF!,#REF!,#REF!,#REF!,#REF!,#REF!,#REF!,#REF!,#REF!,#REF!,#REF!,#REF!</definedName>
    <definedName name="__APW_RESTORE_DATA2909__">#REF!,#REF!,#REF!,#REF!,#REF!,#REF!,#REF!,#REF!,#REF!,#REF!,#REF!,#REF!,#REF!,#REF!,#REF!</definedName>
    <definedName name="__APW_RESTORE_DATA291__">#REF!,#REF!</definedName>
    <definedName name="__APW_RESTORE_DATA2910__">#REF!,#REF!,#REF!,#REF!,#REF!,#REF!,#REF!,#REF!,#REF!,#REF!,#REF!,#REF!,#REF!,#REF!,#REF!</definedName>
    <definedName name="__APW_RESTORE_DATA2911__">#REF!,#REF!,#REF!,#REF!,#REF!,#REF!,#REF!,#REF!,#REF!,#REF!,#REF!,#REF!,#REF!,#REF!,#REF!</definedName>
    <definedName name="__APW_RESTORE_DATA2912__">#REF!,#REF!,#REF!,#REF!,#REF!,#REF!,#REF!,#REF!,#REF!,#REF!,#REF!,#REF!,#REF!,#REF!,#REF!</definedName>
    <definedName name="__APW_RESTORE_DATA2913__">#REF!,#REF!,#REF!,#REF!,#REF!,#REF!,#REF!,#REF!,#REF!,#REF!,#REF!,#REF!,#REF!,#REF!,#REF!</definedName>
    <definedName name="__APW_RESTORE_DATA2914__">#REF!,#REF!,#REF!,#REF!,#REF!,#REF!,#REF!,#REF!,#REF!,#REF!,#REF!,#REF!,#REF!,#REF!,#REF!</definedName>
    <definedName name="__APW_RESTORE_DATA2915__">#REF!,#REF!,#REF!,#REF!,#REF!,#REF!,#REF!,#REF!,#REF!,#REF!,#REF!,#REF!,#REF!,#REF!,#REF!</definedName>
    <definedName name="__APW_RESTORE_DATA2916__">#REF!,#REF!,#REF!,#REF!,#REF!,#REF!,#REF!,#REF!,#REF!,#REF!,#REF!,#REF!,#REF!,#REF!,#REF!</definedName>
    <definedName name="__APW_RESTORE_DATA2917__">#REF!,#REF!,#REF!,#REF!,#REF!,#REF!,#REF!,#REF!,#REF!,#REF!,#REF!,#REF!,#REF!,#REF!,#REF!</definedName>
    <definedName name="__APW_RESTORE_DATA2918__">#REF!,#REF!,#REF!,#REF!,#REF!,#REF!,#REF!,#REF!,#REF!,#REF!,#REF!,#REF!,#REF!,#REF!,#REF!</definedName>
    <definedName name="__APW_RESTORE_DATA2919__">#REF!,#REF!,#REF!,#REF!,#REF!,#REF!,#REF!,#REF!,#REF!,#REF!,#REF!,#REF!,#REF!,#REF!,#REF!</definedName>
    <definedName name="__APW_RESTORE_DATA292__">#REF!</definedName>
    <definedName name="__APW_RESTORE_DATA2920__">#REF!,#REF!,#REF!,#REF!,#REF!,#REF!,#REF!,#REF!,#REF!,#REF!,#REF!,#REF!,#REF!,#REF!,#REF!</definedName>
    <definedName name="__APW_RESTORE_DATA2921__">#REF!,#REF!,#REF!,#REF!,#REF!,#REF!,#REF!,#REF!,#REF!,#REF!,#REF!,#REF!,#REF!,#REF!,#REF!</definedName>
    <definedName name="__APW_RESTORE_DATA2922__">#REF!,#REF!,#REF!,#REF!,#REF!,#REF!,#REF!,#REF!,#REF!,#REF!,#REF!,#REF!,#REF!,#REF!,#REF!</definedName>
    <definedName name="__APW_RESTORE_DATA2923__">#REF!,#REF!,#REF!,#REF!,#REF!,#REF!,#REF!,#REF!,#REF!,#REF!,#REF!,#REF!,#REF!,#REF!,#REF!</definedName>
    <definedName name="__APW_RESTORE_DATA2924__">#REF!,#REF!,#REF!,#REF!,#REF!,#REF!</definedName>
    <definedName name="__APW_RESTORE_DATA2925__">#REF!,#REF!,#REF!,#REF!,#REF!,#REF!,#REF!,#REF!,#REF!,#REF!,#REF!,#REF!,#REF!,#REF!,#REF!,#REF!</definedName>
    <definedName name="__APW_RESTORE_DATA2926__">#REF!,#REF!,#REF!,#REF!,#REF!,#REF!,#REF!,#REF!,#REF!,#REF!,#REF!,#REF!,#REF!,#REF!,#REF!,#REF!</definedName>
    <definedName name="__APW_RESTORE_DATA2927__">#REF!,#REF!,#REF!,#REF!,#REF!,#REF!,#REF!,#REF!,#REF!,#REF!,#REF!,#REF!,#REF!,#REF!,#REF!,#REF!</definedName>
    <definedName name="__APW_RESTORE_DATA2928__">#REF!,#REF!,#REF!,#REF!,#REF!,#REF!,#REF!,#REF!,#REF!,#REF!,#REF!,#REF!,#REF!,#REF!,#REF!,#REF!</definedName>
    <definedName name="__APW_RESTORE_DATA2929__">#REF!,#REF!,#REF!,#REF!,#REF!,#REF!,#REF!,#REF!,#REF!,#REF!,#REF!,#REF!,#REF!,#REF!,#REF!,#REF!</definedName>
    <definedName name="__APW_RESTORE_DATA293__">#REF!,#REF!</definedName>
    <definedName name="__APW_RESTORE_DATA2930__">#REF!,#REF!,#REF!,#REF!,#REF!,#REF!,#REF!,#REF!,#REF!,#REF!,#REF!,#REF!,#REF!,#REF!,#REF!,#REF!</definedName>
    <definedName name="__APW_RESTORE_DATA2931__">#REF!,#REF!,#REF!,#REF!,#REF!,#REF!,#REF!,#REF!,#REF!,#REF!,#REF!,#REF!,#REF!,#REF!,#REF!</definedName>
    <definedName name="__APW_RESTORE_DATA2932__">#REF!,#REF!,#REF!,#REF!,#REF!,#REF!,#REF!,#REF!,#REF!,#REF!,#REF!,#REF!,#REF!,#REF!,#REF!</definedName>
    <definedName name="__APW_RESTORE_DATA2933__">#REF!,#REF!,#REF!,#REF!,#REF!,#REF!,#REF!,#REF!,#REF!,#REF!,#REF!,#REF!,#REF!,#REF!,#REF!</definedName>
    <definedName name="__APW_RESTORE_DATA2934__">#REF!,#REF!,#REF!,#REF!,#REF!,#REF!,#REF!,#REF!,#REF!,#REF!,#REF!,#REF!,#REF!,#REF!,#REF!</definedName>
    <definedName name="__APW_RESTORE_DATA2935__">#REF!,#REF!,#REF!,#REF!,#REF!,#REF!,#REF!,#REF!,#REF!,#REF!,#REF!,#REF!,#REF!,#REF!,#REF!</definedName>
    <definedName name="__APW_RESTORE_DATA2936__">#REF!,#REF!,#REF!,#REF!,#REF!,#REF!,#REF!,#REF!,#REF!,#REF!,#REF!,#REF!,#REF!,#REF!,#REF!</definedName>
    <definedName name="__APW_RESTORE_DATA2937__">#REF!,#REF!,#REF!,#REF!,#REF!,#REF!,#REF!,#REF!,#REF!,#REF!,#REF!,#REF!,#REF!,#REF!,#REF!</definedName>
    <definedName name="__APW_RESTORE_DATA2938__">#REF!,#REF!,#REF!,#REF!,#REF!,#REF!,#REF!,#REF!,#REF!,#REF!,#REF!,#REF!,#REF!,#REF!,#REF!</definedName>
    <definedName name="__APW_RESTORE_DATA2939__">#REF!,#REF!,#REF!,#REF!,#REF!,#REF!,#REF!,#REF!,#REF!,#REF!,#REF!,#REF!,#REF!,#REF!,#REF!</definedName>
    <definedName name="__APW_RESTORE_DATA294__">#REF!,#REF!,#REF!,#REF!,#REF!,#REF!,#REF!,#REF!,#REF!,#REF!,#REF!,#REF!,#REF!,#REF!,#REF!,#REF!</definedName>
    <definedName name="__APW_RESTORE_DATA2940__">#REF!,#REF!,#REF!,#REF!,#REF!,#REF!,#REF!,#REF!,#REF!,#REF!,#REF!,#REF!,#REF!,#REF!,#REF!</definedName>
    <definedName name="__APW_RESTORE_DATA2941__">#REF!,#REF!,#REF!,#REF!,#REF!,#REF!,#REF!,#REF!,#REF!,#REF!,#REF!,#REF!,#REF!,#REF!,#REF!</definedName>
    <definedName name="__APW_RESTORE_DATA2942__">#REF!,#REF!,#REF!,#REF!,#REF!,#REF!,#REF!,#REF!,#REF!,#REF!,#REF!,#REF!,#REF!,#REF!,#REF!</definedName>
    <definedName name="__APW_RESTORE_DATA2943__">#REF!,#REF!,#REF!,#REF!,#REF!,#REF!,#REF!,#REF!,#REF!,#REF!,#REF!,#REF!,#REF!,#REF!,#REF!</definedName>
    <definedName name="__APW_RESTORE_DATA2944__">#REF!,#REF!,#REF!,#REF!,#REF!,#REF!,#REF!,#REF!,#REF!,#REF!,#REF!,#REF!,#REF!,#REF!,#REF!</definedName>
    <definedName name="__APW_RESTORE_DATA2945__">#REF!,#REF!,#REF!,#REF!,#REF!,#REF!,#REF!,#REF!,#REF!,#REF!,#REF!,#REF!,#REF!,#REF!,#REF!</definedName>
    <definedName name="__APW_RESTORE_DATA2946__">#REF!,#REF!,#REF!,#REF!,#REF!,#REF!,#REF!,#REF!,#REF!,#REF!,#REF!,#REF!,#REF!,#REF!,#REF!</definedName>
    <definedName name="__APW_RESTORE_DATA2947__">#REF!,#REF!,#REF!,#REF!,#REF!,#REF!,#REF!,#REF!,#REF!,#REF!,#REF!,#REF!,#REF!,#REF!,#REF!</definedName>
    <definedName name="__APW_RESTORE_DATA2948__">#REF!,#REF!,#REF!,#REF!,#REF!,#REF!,#REF!,#REF!,#REF!,#REF!,#REF!,#REF!,#REF!,#REF!,#REF!</definedName>
    <definedName name="__APW_RESTORE_DATA2949__">#REF!,#REF!,#REF!,#REF!,#REF!,#REF!,#REF!,#REF!,#REF!,#REF!,#REF!,#REF!,#REF!,#REF!,#REF!</definedName>
    <definedName name="__APW_RESTORE_DATA295__">#REF!,#REF!,#REF!,#REF!,#REF!,#REF!,#REF!,#REF!,#REF!,#REF!,#REF!,#REF!,#REF!,#REF!,#REF!,#REF!</definedName>
    <definedName name="__APW_RESTORE_DATA2950__">#REF!,#REF!,#REF!,#REF!,#REF!,#REF!,#REF!,#REF!,#REF!,#REF!,#REF!,#REF!,#REF!,#REF!,#REF!</definedName>
    <definedName name="__APW_RESTORE_DATA2951__">#REF!,#REF!,#REF!,#REF!,#REF!,#REF!,#REF!,#REF!,#REF!,#REF!,#REF!,#REF!,#REF!,#REF!,#REF!</definedName>
    <definedName name="__APW_RESTORE_DATA2952__">#REF!,#REF!,#REF!,#REF!,#REF!,#REF!,#REF!,#REF!,#REF!,#REF!,#REF!,#REF!,#REF!,#REF!,#REF!</definedName>
    <definedName name="__APW_RESTORE_DATA2953__">#REF!,#REF!,#REF!,#REF!,#REF!,#REF!,#REF!,#REF!,#REF!,#REF!,#REF!,#REF!,#REF!,#REF!,#REF!</definedName>
    <definedName name="__APW_RESTORE_DATA2954__">#REF!,#REF!,#REF!,#REF!,#REF!,#REF!,#REF!,#REF!,#REF!,#REF!,#REF!,#REF!,#REF!,#REF!,#REF!</definedName>
    <definedName name="__APW_RESTORE_DATA2955__">#REF!,#REF!,#REF!,#REF!,#REF!,#REF!,#REF!,#REF!,#REF!,#REF!,#REF!,#REF!,#REF!,#REF!,#REF!</definedName>
    <definedName name="__APW_RESTORE_DATA2956__">#REF!,#REF!,#REF!,#REF!,#REF!,#REF!,#REF!,#REF!,#REF!,#REF!,#REF!,#REF!,#REF!,#REF!,#REF!</definedName>
    <definedName name="__APW_RESTORE_DATA2957__">#REF!,#REF!,#REF!,#REF!,#REF!,#REF!,#REF!,#REF!,#REF!,#REF!,#REF!,#REF!,#REF!,#REF!,#REF!</definedName>
    <definedName name="__APW_RESTORE_DATA2958__">#REF!,#REF!,#REF!,#REF!,#REF!,#REF!,#REF!,#REF!,#REF!,#REF!,#REF!,#REF!,#REF!,#REF!,#REF!</definedName>
    <definedName name="__APW_RESTORE_DATA2959__">#REF!,#REF!,#REF!,#REF!,#REF!,#REF!</definedName>
    <definedName name="__APW_RESTORE_DATA296__">#REF!,#REF!,#REF!,#REF!,#REF!,#REF!,#REF!,#REF!,#REF!,#REF!,#REF!,#REF!,#REF!,#REF!,#REF!,#REF!</definedName>
    <definedName name="__APW_RESTORE_DATA2960__">#REF!,#REF!,#REF!,#REF!,#REF!,#REF!,#REF!,#REF!,#REF!,#REF!,#REF!,#REF!,#REF!,#REF!,#REF!,#REF!</definedName>
    <definedName name="__APW_RESTORE_DATA2961__">#REF!,#REF!,#REF!,#REF!,#REF!,#REF!,#REF!,#REF!,#REF!,#REF!,#REF!,#REF!,#REF!,#REF!,#REF!,#REF!</definedName>
    <definedName name="__APW_RESTORE_DATA2962__">#REF!,#REF!,#REF!,#REF!,#REF!,#REF!,#REF!,#REF!,#REF!,#REF!,#REF!,#REF!,#REF!,#REF!,#REF!,#REF!</definedName>
    <definedName name="__APW_RESTORE_DATA2963__">#REF!,#REF!,#REF!,#REF!,#REF!,#REF!,#REF!,#REF!,#REF!,#REF!,#REF!,#REF!,#REF!,#REF!,#REF!,#REF!</definedName>
    <definedName name="__APW_RESTORE_DATA2964__">#REF!,#REF!,#REF!,#REF!,#REF!,#REF!,#REF!,#REF!,#REF!,#REF!,#REF!,#REF!,#REF!,#REF!,#REF!,#REF!</definedName>
    <definedName name="__APW_RESTORE_DATA2965__">#REF!,#REF!,#REF!,#REF!,#REF!,#REF!,#REF!,#REF!,#REF!,#REF!,#REF!,#REF!,#REF!,#REF!,#REF!,#REF!</definedName>
    <definedName name="__APW_RESTORE_DATA2966__">#REF!,#REF!,#REF!,#REF!,#REF!,#REF!,#REF!,#REF!,#REF!,#REF!,#REF!,#REF!,#REF!,#REF!,#REF!</definedName>
    <definedName name="__APW_RESTORE_DATA2967__">#REF!,#REF!,#REF!,#REF!,#REF!,#REF!,#REF!,#REF!,#REF!,#REF!,#REF!,#REF!,#REF!,#REF!,#REF!</definedName>
    <definedName name="__APW_RESTORE_DATA2968__">#REF!,#REF!,#REF!,#REF!,#REF!,#REF!,#REF!,#REF!,#REF!,#REF!,#REF!,#REF!,#REF!,#REF!,#REF!</definedName>
    <definedName name="__APW_RESTORE_DATA2969__">#REF!,#REF!,#REF!,#REF!,#REF!,#REF!,#REF!,#REF!,#REF!,#REF!,#REF!,#REF!,#REF!,#REF!,#REF!</definedName>
    <definedName name="__APW_RESTORE_DATA297__">#REF!,#REF!,#REF!,#REF!,#REF!,#REF!,#REF!,#REF!,#REF!,#REF!,#REF!,#REF!,#REF!,#REF!,#REF!,#REF!</definedName>
    <definedName name="__APW_RESTORE_DATA2970__">#REF!,#REF!,#REF!,#REF!,#REF!,#REF!,#REF!,#REF!,#REF!,#REF!,#REF!,#REF!,#REF!,#REF!,#REF!</definedName>
    <definedName name="__APW_RESTORE_DATA2971__">#REF!,#REF!,#REF!,#REF!,#REF!,#REF!,#REF!,#REF!,#REF!,#REF!,#REF!,#REF!,#REF!,#REF!,#REF!</definedName>
    <definedName name="__APW_RESTORE_DATA2972__">#REF!,#REF!,#REF!,#REF!,#REF!,#REF!,#REF!,#REF!,#REF!,#REF!,#REF!,#REF!,#REF!,#REF!,#REF!</definedName>
    <definedName name="__APW_RESTORE_DATA2973__">#REF!,#REF!,#REF!,#REF!,#REF!,#REF!,#REF!,#REF!,#REF!,#REF!,#REF!,#REF!,#REF!,#REF!,#REF!</definedName>
    <definedName name="__APW_RESTORE_DATA2974__">#REF!,#REF!,#REF!,#REF!,#REF!,#REF!,#REF!,#REF!,#REF!,#REF!,#REF!,#REF!,#REF!,#REF!,#REF!</definedName>
    <definedName name="__APW_RESTORE_DATA2975__">#REF!,#REF!,#REF!,#REF!,#REF!,#REF!,#REF!,#REF!,#REF!,#REF!,#REF!,#REF!,#REF!,#REF!,#REF!</definedName>
    <definedName name="__APW_RESTORE_DATA2976__">#REF!,#REF!,#REF!,#REF!,#REF!,#REF!,#REF!,#REF!,#REF!,#REF!,#REF!,#REF!,#REF!,#REF!,#REF!</definedName>
    <definedName name="__APW_RESTORE_DATA2977__">#REF!,#REF!,#REF!,#REF!,#REF!,#REF!,#REF!,#REF!,#REF!,#REF!,#REF!,#REF!,#REF!,#REF!,#REF!</definedName>
    <definedName name="__APW_RESTORE_DATA2978__">#REF!,#REF!,#REF!,#REF!,#REF!,#REF!,#REF!,#REF!,#REF!,#REF!,#REF!,#REF!,#REF!,#REF!,#REF!</definedName>
    <definedName name="__APW_RESTORE_DATA2979__">#REF!,#REF!,#REF!,#REF!,#REF!,#REF!,#REF!,#REF!,#REF!,#REF!,#REF!,#REF!,#REF!,#REF!,#REF!</definedName>
    <definedName name="__APW_RESTORE_DATA298__">#REF!,#REF!</definedName>
    <definedName name="__APW_RESTORE_DATA2980__">#REF!,#REF!,#REF!,#REF!,#REF!,#REF!,#REF!,#REF!,#REF!,#REF!,#REF!,#REF!,#REF!,#REF!,#REF!</definedName>
    <definedName name="__APW_RESTORE_DATA2981__">#REF!,#REF!,#REF!,#REF!,#REF!,#REF!,#REF!,#REF!,#REF!,#REF!,#REF!,#REF!,#REF!,#REF!,#REF!</definedName>
    <definedName name="__APW_RESTORE_DATA2982__">#REF!,#REF!,#REF!,#REF!,#REF!,#REF!,#REF!,#REF!,#REF!,#REF!,#REF!,#REF!,#REF!,#REF!,#REF!</definedName>
    <definedName name="__APW_RESTORE_DATA2983__">#REF!,#REF!,#REF!,#REF!,#REF!,#REF!,#REF!,#REF!,#REF!,#REF!,#REF!,#REF!,#REF!,#REF!,#REF!</definedName>
    <definedName name="__APW_RESTORE_DATA2984__">#REF!,#REF!,#REF!,#REF!,#REF!,#REF!,#REF!,#REF!,#REF!,#REF!,#REF!,#REF!,#REF!,#REF!,#REF!</definedName>
    <definedName name="__APW_RESTORE_DATA2985__">#REF!,#REF!,#REF!,#REF!,#REF!,#REF!,#REF!,#REF!,#REF!,#REF!,#REF!,#REF!,#REF!,#REF!,#REF!</definedName>
    <definedName name="__APW_RESTORE_DATA2986__">#REF!,#REF!,#REF!,#REF!,#REF!,#REF!,#REF!,#REF!,#REF!,#REF!,#REF!,#REF!,#REF!,#REF!,#REF!</definedName>
    <definedName name="__APW_RESTORE_DATA2987__">#REF!,#REF!,#REF!,#REF!,#REF!,#REF!,#REF!,#REF!,#REF!,#REF!,#REF!,#REF!,#REF!,#REF!,#REF!</definedName>
    <definedName name="__APW_RESTORE_DATA2988__">#REF!,#REF!,#REF!,#REF!,#REF!,#REF!,#REF!,#REF!,#REF!,#REF!,#REF!,#REF!,#REF!,#REF!,#REF!</definedName>
    <definedName name="__APW_RESTORE_DATA2989__">#REF!,#REF!,#REF!,#REF!,#REF!,#REF!,#REF!,#REF!,#REF!,#REF!,#REF!,#REF!,#REF!,#REF!,#REF!</definedName>
    <definedName name="__APW_RESTORE_DATA299__">#REF!,#REF!,#REF!,#REF!,#REF!,#REF!,#REF!,#REF!,#REF!,#REF!,#REF!,#REF!,#REF!,#REF!,#REF!</definedName>
    <definedName name="__APW_RESTORE_DATA2990__">#REF!,#REF!,#REF!,#REF!,#REF!,#REF!,#REF!,#REF!,#REF!,#REF!,#REF!,#REF!,#REF!,#REF!,#REF!</definedName>
    <definedName name="__APW_RESTORE_DATA2991__">#REF!,#REF!,#REF!,#REF!,#REF!,#REF!,#REF!,#REF!,#REF!,#REF!,#REF!,#REF!,#REF!,#REF!,#REF!</definedName>
    <definedName name="__APW_RESTORE_DATA2992__">#REF!,#REF!,#REF!,#REF!,#REF!,#REF!,#REF!,#REF!,#REF!,#REF!,#REF!,#REF!,#REF!,#REF!,#REF!</definedName>
    <definedName name="__APW_RESTORE_DATA2993__">#REF!,#REF!,#REF!,#REF!,#REF!,#REF!,#REF!,#REF!,#REF!,#REF!,#REF!,#REF!,#REF!,#REF!,#REF!</definedName>
    <definedName name="__APW_RESTORE_DATA2994__">#REF!,#REF!,#REF!,#REF!,#REF!,#REF!</definedName>
    <definedName name="__APW_RESTORE_DATA2995__">#REF!,#REF!,#REF!,#REF!,#REF!,#REF!,#REF!,#REF!,#REF!,#REF!,#REF!,#REF!,#REF!,#REF!,#REF!,#REF!</definedName>
    <definedName name="__APW_RESTORE_DATA2996__">#REF!,#REF!,#REF!,#REF!,#REF!,#REF!,#REF!,#REF!,#REF!,#REF!,#REF!,#REF!,#REF!,#REF!,#REF!,#REF!</definedName>
    <definedName name="__APW_RESTORE_DATA2997__">#REF!,#REF!,#REF!,#REF!,#REF!,#REF!,#REF!,#REF!,#REF!,#REF!,#REF!,#REF!,#REF!,#REF!,#REF!,#REF!</definedName>
    <definedName name="__APW_RESTORE_DATA2998__">#REF!,#REF!,#REF!,#REF!,#REF!,#REF!,#REF!,#REF!,#REF!,#REF!,#REF!,#REF!,#REF!,#REF!,#REF!,#REF!</definedName>
    <definedName name="__APW_RESTORE_DATA2999__">#REF!,#REF!,#REF!,#REF!,#REF!,#REF!,#REF!,#REF!,#REF!,#REF!,#REF!,#REF!,#REF!,#REF!,#REF!,#REF!</definedName>
    <definedName name="__APW_RESTORE_DATA3__">#REF!</definedName>
    <definedName name="__APW_RESTORE_DATA30__">#REF!,#REF!,#REF!,#REF!,#REF!,#REF!,#REF!,#REF!,#REF!,#REF!,#REF!,#REF!,#REF!,#REF!,#REF!,#REF!</definedName>
    <definedName name="__APW_RESTORE_DATA300__">#REF!,#REF!,#REF!,#REF!,#REF!,#REF!,#REF!,#REF!,#REF!,#REF!,#REF!,#REF!,#REF!,#REF!,#REF!</definedName>
    <definedName name="__APW_RESTORE_DATA3000__">#REF!,#REF!,#REF!,#REF!,#REF!,#REF!,#REF!,#REF!,#REF!,#REF!,#REF!,#REF!,#REF!,#REF!,#REF!,#REF!</definedName>
    <definedName name="__APW_RESTORE_DATA3001__">#REF!,#REF!,#REF!,#REF!,#REF!,#REF!,#REF!,#REF!,#REF!,#REF!,#REF!,#REF!,#REF!,#REF!,#REF!</definedName>
    <definedName name="__APW_RESTORE_DATA3002__">#REF!,#REF!,#REF!,#REF!,#REF!,#REF!,#REF!,#REF!,#REF!,#REF!,#REF!,#REF!,#REF!,#REF!,#REF!</definedName>
    <definedName name="__APW_RESTORE_DATA3003__">#REF!,#REF!,#REF!,#REF!,#REF!,#REF!,#REF!,#REF!,#REF!,#REF!,#REF!,#REF!,#REF!,#REF!,#REF!</definedName>
    <definedName name="__APW_RESTORE_DATA3004__">#REF!,#REF!,#REF!,#REF!,#REF!,#REF!,#REF!,#REF!,#REF!,#REF!,#REF!,#REF!,#REF!,#REF!,#REF!</definedName>
    <definedName name="__APW_RESTORE_DATA3005__">#REF!,#REF!,#REF!,#REF!,#REF!,#REF!,#REF!,#REF!,#REF!,#REF!,#REF!,#REF!,#REF!,#REF!,#REF!</definedName>
    <definedName name="__APW_RESTORE_DATA3006__">#REF!,#REF!,#REF!,#REF!,#REF!,#REF!,#REF!,#REF!,#REF!,#REF!,#REF!,#REF!,#REF!,#REF!,#REF!</definedName>
    <definedName name="__APW_RESTORE_DATA3007__">#REF!,#REF!,#REF!,#REF!,#REF!,#REF!,#REF!,#REF!,#REF!,#REF!,#REF!,#REF!,#REF!,#REF!,#REF!</definedName>
    <definedName name="__APW_RESTORE_DATA3008__">#REF!,#REF!,#REF!,#REF!,#REF!,#REF!,#REF!,#REF!,#REF!,#REF!,#REF!,#REF!,#REF!,#REF!,#REF!</definedName>
    <definedName name="__APW_RESTORE_DATA3009__">#REF!,#REF!,#REF!,#REF!,#REF!,#REF!,#REF!,#REF!,#REF!,#REF!,#REF!,#REF!,#REF!,#REF!,#REF!</definedName>
    <definedName name="__APW_RESTORE_DATA301__">#REF!,#REF!,#REF!,#REF!,#REF!,#REF!,#REF!,#REF!,#REF!,#REF!,#REF!,#REF!,#REF!,#REF!,#REF!</definedName>
    <definedName name="__APW_RESTORE_DATA3010__">#REF!,#REF!,#REF!,#REF!,#REF!,#REF!,#REF!,#REF!,#REF!,#REF!,#REF!,#REF!,#REF!,#REF!,#REF!</definedName>
    <definedName name="__APW_RESTORE_DATA3011__">#REF!,#REF!,#REF!,#REF!,#REF!,#REF!,#REF!,#REF!,#REF!,#REF!,#REF!,#REF!,#REF!,#REF!,#REF!</definedName>
    <definedName name="__APW_RESTORE_DATA3012__">#REF!,#REF!,#REF!,#REF!,#REF!,#REF!,#REF!,#REF!,#REF!,#REF!,#REF!,#REF!,#REF!,#REF!,#REF!</definedName>
    <definedName name="__APW_RESTORE_DATA3013__">#REF!,#REF!,#REF!,#REF!,#REF!,#REF!,#REF!,#REF!,#REF!,#REF!,#REF!,#REF!,#REF!,#REF!,#REF!</definedName>
    <definedName name="__APW_RESTORE_DATA3014__">#REF!,#REF!,#REF!,#REF!,#REF!,#REF!,#REF!,#REF!,#REF!,#REF!,#REF!,#REF!,#REF!,#REF!,#REF!</definedName>
    <definedName name="__APW_RESTORE_DATA3015__">#REF!,#REF!,#REF!,#REF!,#REF!,#REF!,#REF!,#REF!,#REF!,#REF!,#REF!,#REF!,#REF!,#REF!,#REF!</definedName>
    <definedName name="__APW_RESTORE_DATA3016__">#REF!,#REF!,#REF!,#REF!,#REF!,#REF!,#REF!,#REF!,#REF!,#REF!,#REF!,#REF!,#REF!,#REF!,#REF!</definedName>
    <definedName name="__APW_RESTORE_DATA3017__">#REF!,#REF!,#REF!,#REF!,#REF!,#REF!,#REF!,#REF!,#REF!,#REF!,#REF!,#REF!,#REF!,#REF!,#REF!</definedName>
    <definedName name="__APW_RESTORE_DATA3018__">#REF!,#REF!,#REF!,#REF!,#REF!,#REF!,#REF!,#REF!,#REF!,#REF!,#REF!,#REF!,#REF!,#REF!,#REF!</definedName>
    <definedName name="__APW_RESTORE_DATA3019__">#REF!,#REF!,#REF!,#REF!,#REF!,#REF!,#REF!,#REF!,#REF!,#REF!,#REF!,#REF!,#REF!,#REF!,#REF!</definedName>
    <definedName name="__APW_RESTORE_DATA302__">#REF!,#REF!,#REF!,#REF!,#REF!,#REF!,#REF!,#REF!,#REF!,#REF!,#REF!,#REF!,#REF!,#REF!,#REF!</definedName>
    <definedName name="__APW_RESTORE_DATA3020__">#REF!,#REF!,#REF!,#REF!,#REF!,#REF!,#REF!,#REF!,#REF!,#REF!,#REF!,#REF!,#REF!,#REF!,#REF!</definedName>
    <definedName name="__APW_RESTORE_DATA3021__">#REF!,#REF!,#REF!,#REF!,#REF!,#REF!,#REF!,#REF!,#REF!,#REF!,#REF!,#REF!,#REF!,#REF!,#REF!</definedName>
    <definedName name="__APW_RESTORE_DATA3022__">#REF!,#REF!,#REF!,#REF!,#REF!,#REF!,#REF!,#REF!,#REF!,#REF!,#REF!,#REF!,#REF!,#REF!,#REF!</definedName>
    <definedName name="__APW_RESTORE_DATA3023__">#REF!,#REF!,#REF!,#REF!,#REF!,#REF!,#REF!,#REF!,#REF!,#REF!,#REF!,#REF!,#REF!,#REF!,#REF!</definedName>
    <definedName name="__APW_RESTORE_DATA3024__">#REF!,#REF!,#REF!,#REF!,#REF!,#REF!,#REF!,#REF!,#REF!,#REF!,#REF!,#REF!,#REF!,#REF!,#REF!</definedName>
    <definedName name="__APW_RESTORE_DATA3025__">#REF!,#REF!,#REF!,#REF!,#REF!,#REF!,#REF!,#REF!,#REF!,#REF!,#REF!,#REF!,#REF!,#REF!,#REF!</definedName>
    <definedName name="__APW_RESTORE_DATA3026__">#REF!,#REF!,#REF!,#REF!,#REF!,#REF!,#REF!,#REF!,#REF!,#REF!,#REF!,#REF!,#REF!,#REF!,#REF!</definedName>
    <definedName name="__APW_RESTORE_DATA3027__">#REF!,#REF!,#REF!,#REF!,#REF!,#REF!,#REF!,#REF!,#REF!,#REF!,#REF!,#REF!,#REF!,#REF!,#REF!</definedName>
    <definedName name="__APW_RESTORE_DATA3028__">#REF!,#REF!,#REF!,#REF!,#REF!,#REF!,#REF!,#REF!,#REF!,#REF!,#REF!,#REF!,#REF!,#REF!,#REF!</definedName>
    <definedName name="__APW_RESTORE_DATA3029__">#REF!,#REF!,#REF!,#REF!,#REF!,#REF!</definedName>
    <definedName name="__APW_RESTORE_DATA303__">#REF!,#REF!,#REF!,#REF!,#REF!,#REF!,#REF!,#REF!,#REF!,#REF!,#REF!,#REF!,#REF!,#REF!,#REF!</definedName>
    <definedName name="__APW_RESTORE_DATA3030__">#REF!</definedName>
    <definedName name="__APW_RESTORE_DATA3031__">#REF!</definedName>
    <definedName name="__APW_RESTORE_DATA3032__">#REF!</definedName>
    <definedName name="__APW_RESTORE_DATA3034__">#REF!</definedName>
    <definedName name="__APW_RESTORE_DATA3035__">#REF!,#REF!,#REF!,#REF!,#REF!,#REF!,#REF!,#REF!,#REF!,#REF!,#REF!,#REF!,#REF!,#REF!,#REF!,#REF!</definedName>
    <definedName name="__APW_RESTORE_DATA3036__">#REF!,#REF!,#REF!,#REF!,#REF!,#REF!,#REF!,#REF!,#REF!,#REF!,#REF!,#REF!,#REF!,#REF!,#REF!,#REF!</definedName>
    <definedName name="__APW_RESTORE_DATA3037__">#REF!,#REF!,#REF!,#REF!,#REF!,#REF!,#REF!,#REF!,#REF!,#REF!,#REF!,#REF!,#REF!,#REF!,#REF!,#REF!</definedName>
    <definedName name="__APW_RESTORE_DATA3038__">#REF!,#REF!,#REF!,#REF!,#REF!,#REF!,#REF!,#REF!,#REF!,#REF!,#REF!,#REF!,#REF!,#REF!,#REF!,#REF!</definedName>
    <definedName name="__APW_RESTORE_DATA3039__">#REF!,#REF!,#REF!,#REF!,#REF!,#REF!,#REF!,#REF!,#REF!,#REF!,#REF!,#REF!,#REF!,#REF!,#REF!,#REF!</definedName>
    <definedName name="__APW_RESTORE_DATA304__">#REF!,#REF!,#REF!,#REF!,#REF!,#REF!,#REF!,#REF!,#REF!,#REF!,#REF!,#REF!,#REF!,#REF!,#REF!</definedName>
    <definedName name="__APW_RESTORE_DATA3040__">#REF!,#REF!,#REF!,#REF!,#REF!,#REF!,#REF!,#REF!,#REF!,#REF!,#REF!,#REF!,#REF!,#REF!,#REF!,#REF!</definedName>
    <definedName name="__APW_RESTORE_DATA3041__">#REF!,#REF!,#REF!,#REF!,#REF!,#REF!,#REF!,#REF!,#REF!,#REF!,#REF!,#REF!,#REF!,#REF!,#REF!</definedName>
    <definedName name="__APW_RESTORE_DATA3042__">#REF!,#REF!,#REF!,#REF!,#REF!,#REF!,#REF!,#REF!,#REF!,#REF!,#REF!,#REF!,#REF!,#REF!,#REF!</definedName>
    <definedName name="__APW_RESTORE_DATA3043__">#REF!,#REF!,#REF!,#REF!,#REF!,#REF!,#REF!,#REF!,#REF!,#REF!,#REF!,#REF!,#REF!,#REF!,#REF!</definedName>
    <definedName name="__APW_RESTORE_DATA3044__">#REF!,#REF!,#REF!,#REF!,#REF!,#REF!,#REF!,#REF!,#REF!,#REF!,#REF!,#REF!,#REF!,#REF!,#REF!</definedName>
    <definedName name="__APW_RESTORE_DATA3045__">#REF!,#REF!,#REF!,#REF!,#REF!,#REF!,#REF!,#REF!,#REF!,#REF!,#REF!,#REF!,#REF!,#REF!,#REF!</definedName>
    <definedName name="__APW_RESTORE_DATA3046__">#REF!,#REF!,#REF!,#REF!,#REF!,#REF!,#REF!,#REF!,#REF!,#REF!,#REF!,#REF!,#REF!,#REF!,#REF!</definedName>
    <definedName name="__APW_RESTORE_DATA3047__">#REF!,#REF!,#REF!,#REF!,#REF!,#REF!,#REF!,#REF!,#REF!,#REF!,#REF!,#REF!,#REF!,#REF!,#REF!</definedName>
    <definedName name="__APW_RESTORE_DATA3048__">#REF!,#REF!,#REF!,#REF!,#REF!,#REF!,#REF!,#REF!,#REF!,#REF!,#REF!,#REF!,#REF!,#REF!,#REF!</definedName>
    <definedName name="__APW_RESTORE_DATA3049__">#REF!,#REF!,#REF!,#REF!,#REF!,#REF!,#REF!,#REF!,#REF!,#REF!,#REF!,#REF!,#REF!,#REF!,#REF!</definedName>
    <definedName name="__APW_RESTORE_DATA305__">#REF!,#REF!,#REF!,#REF!,#REF!,#REF!,#REF!,#REF!,#REF!,#REF!,#REF!,#REF!,#REF!,#REF!,#REF!</definedName>
    <definedName name="__APW_RESTORE_DATA3050__">#REF!,#REF!,#REF!,#REF!,#REF!,#REF!,#REF!,#REF!,#REF!,#REF!,#REF!,#REF!,#REF!,#REF!,#REF!</definedName>
    <definedName name="__APW_RESTORE_DATA3051__">#REF!,#REF!,#REF!,#REF!,#REF!,#REF!,#REF!,#REF!,#REF!,#REF!,#REF!,#REF!,#REF!,#REF!,#REF!</definedName>
    <definedName name="__APW_RESTORE_DATA3052__">#REF!,#REF!,#REF!,#REF!,#REF!,#REF!,#REF!,#REF!,#REF!,#REF!,#REF!,#REF!,#REF!,#REF!,#REF!</definedName>
    <definedName name="__APW_RESTORE_DATA3053__">#REF!,#REF!,#REF!,#REF!,#REF!,#REF!,#REF!,#REF!,#REF!,#REF!,#REF!,#REF!,#REF!,#REF!,#REF!</definedName>
    <definedName name="__APW_RESTORE_DATA3054__">#REF!,#REF!,#REF!,#REF!,#REF!,#REF!,#REF!,#REF!,#REF!,#REF!,#REF!,#REF!,#REF!,#REF!,#REF!</definedName>
    <definedName name="__APW_RESTORE_DATA3055__">#REF!,#REF!,#REF!,#REF!,#REF!,#REF!,#REF!,#REF!,#REF!,#REF!,#REF!,#REF!,#REF!,#REF!,#REF!</definedName>
    <definedName name="__APW_RESTORE_DATA3056__">#REF!,#REF!,#REF!,#REF!,#REF!,#REF!,#REF!,#REF!,#REF!,#REF!,#REF!,#REF!,#REF!,#REF!,#REF!</definedName>
    <definedName name="__APW_RESTORE_DATA3057__">#REF!,#REF!,#REF!,#REF!,#REF!,#REF!,#REF!,#REF!,#REF!,#REF!,#REF!,#REF!,#REF!,#REF!,#REF!</definedName>
    <definedName name="__APW_RESTORE_DATA3058__">#REF!,#REF!,#REF!,#REF!,#REF!,#REF!,#REF!,#REF!,#REF!,#REF!,#REF!,#REF!,#REF!,#REF!,#REF!</definedName>
    <definedName name="__APW_RESTORE_DATA3059__">#REF!,#REF!,#REF!,#REF!,#REF!,#REF!,#REF!,#REF!,#REF!,#REF!,#REF!,#REF!,#REF!,#REF!,#REF!</definedName>
    <definedName name="__APW_RESTORE_DATA306__">#REF!,#REF!,#REF!,#REF!,#REF!,#REF!,#REF!,#REF!,#REF!,#REF!,#REF!,#REF!,#REF!,#REF!,#REF!</definedName>
    <definedName name="__APW_RESTORE_DATA3060__">#REF!,#REF!,#REF!,#REF!,#REF!,#REF!,#REF!,#REF!,#REF!,#REF!,#REF!,#REF!,#REF!,#REF!,#REF!</definedName>
    <definedName name="__APW_RESTORE_DATA3061__">#REF!,#REF!,#REF!,#REF!,#REF!,#REF!,#REF!,#REF!,#REF!,#REF!,#REF!,#REF!,#REF!,#REF!,#REF!</definedName>
    <definedName name="__APW_RESTORE_DATA3062__">#REF!,#REF!,#REF!,#REF!,#REF!,#REF!,#REF!,#REF!,#REF!,#REF!,#REF!,#REF!,#REF!,#REF!,#REF!</definedName>
    <definedName name="__APW_RESTORE_DATA3063__">#REF!,#REF!,#REF!,#REF!,#REF!,#REF!,#REF!,#REF!,#REF!,#REF!,#REF!,#REF!,#REF!,#REF!,#REF!</definedName>
    <definedName name="__APW_RESTORE_DATA3064__">#REF!,#REF!,#REF!,#REF!,#REF!,#REF!,#REF!,#REF!,#REF!,#REF!,#REF!,#REF!,#REF!,#REF!,#REF!</definedName>
    <definedName name="__APW_RESTORE_DATA3065__">#REF!,#REF!,#REF!,#REF!,#REF!,#REF!,#REF!,#REF!,#REF!,#REF!,#REF!,#REF!,#REF!,#REF!,#REF!</definedName>
    <definedName name="__APW_RESTORE_DATA3066__">#REF!,#REF!,#REF!,#REF!,#REF!,#REF!,#REF!,#REF!,#REF!,#REF!,#REF!,#REF!,#REF!,#REF!,#REF!</definedName>
    <definedName name="__APW_RESTORE_DATA3067__">#REF!,#REF!,#REF!,#REF!,#REF!,#REF!,#REF!,#REF!,#REF!,#REF!,#REF!,#REF!,#REF!,#REF!,#REF!</definedName>
    <definedName name="__APW_RESTORE_DATA3068__">#REF!,#REF!,#REF!,#REF!,#REF!,#REF!,#REF!,#REF!,#REF!,#REF!,#REF!,#REF!,#REF!,#REF!,#REF!</definedName>
    <definedName name="__APW_RESTORE_DATA3069__">#REF!,#REF!,#REF!,#REF!,#REF!,#REF!</definedName>
    <definedName name="__APW_RESTORE_DATA307__">#REF!,#REF!,#REF!,#REF!,#REF!,#REF!,#REF!,#REF!,#REF!,#REF!,#REF!,#REF!,#REF!,#REF!,#REF!</definedName>
    <definedName name="__APW_RESTORE_DATA3070__">#REF!,#REF!,#REF!,#REF!,#REF!,#REF!,#REF!,#REF!,#REF!,#REF!,#REF!,#REF!,#REF!,#REF!,#REF!,#REF!</definedName>
    <definedName name="__APW_RESTORE_DATA3071__">#REF!,#REF!,#REF!,#REF!,#REF!,#REF!,#REF!,#REF!,#REF!,#REF!,#REF!,#REF!,#REF!,#REF!,#REF!,#REF!</definedName>
    <definedName name="__APW_RESTORE_DATA3072__">#REF!,#REF!,#REF!,#REF!,#REF!,#REF!,#REF!,#REF!,#REF!,#REF!,#REF!,#REF!,#REF!,#REF!,#REF!,#REF!</definedName>
    <definedName name="__APW_RESTORE_DATA3073__">#REF!,#REF!,#REF!,#REF!,#REF!,#REF!,#REF!,#REF!,#REF!,#REF!,#REF!,#REF!,#REF!,#REF!,#REF!,#REF!</definedName>
    <definedName name="__APW_RESTORE_DATA3074__">#REF!,#REF!,#REF!,#REF!,#REF!,#REF!,#REF!,#REF!,#REF!,#REF!,#REF!,#REF!,#REF!,#REF!,#REF!,#REF!</definedName>
    <definedName name="__APW_RESTORE_DATA3075__">#REF!,#REF!,#REF!,#REF!,#REF!,#REF!,#REF!,#REF!,#REF!,#REF!,#REF!,#REF!,#REF!,#REF!,#REF!,#REF!</definedName>
    <definedName name="__APW_RESTORE_DATA3076__">#REF!,#REF!,#REF!,#REF!,#REF!,#REF!,#REF!,#REF!,#REF!,#REF!,#REF!,#REF!,#REF!,#REF!,#REF!</definedName>
    <definedName name="__APW_RESTORE_DATA3077__">#REF!,#REF!,#REF!,#REF!,#REF!,#REF!,#REF!,#REF!,#REF!,#REF!,#REF!,#REF!,#REF!,#REF!,#REF!</definedName>
    <definedName name="__APW_RESTORE_DATA3078__">#REF!,#REF!,#REF!,#REF!,#REF!,#REF!,#REF!,#REF!,#REF!,#REF!,#REF!,#REF!,#REF!,#REF!,#REF!</definedName>
    <definedName name="__APW_RESTORE_DATA3079__">#REF!,#REF!,#REF!,#REF!,#REF!,#REF!,#REF!,#REF!,#REF!,#REF!,#REF!,#REF!,#REF!,#REF!,#REF!</definedName>
    <definedName name="__APW_RESTORE_DATA308__">#REF!,#REF!,#REF!,#REF!,#REF!,#REF!,#REF!,#REF!,#REF!,#REF!,#REF!,#REF!,#REF!,#REF!,#REF!</definedName>
    <definedName name="__APW_RESTORE_DATA3080__">#REF!,#REF!,#REF!,#REF!,#REF!,#REF!,#REF!,#REF!,#REF!,#REF!,#REF!,#REF!,#REF!,#REF!,#REF!</definedName>
    <definedName name="__APW_RESTORE_DATA3081__">#REF!,#REF!,#REF!,#REF!,#REF!,#REF!,#REF!,#REF!,#REF!,#REF!,#REF!,#REF!,#REF!,#REF!,#REF!</definedName>
    <definedName name="__APW_RESTORE_DATA3082__">#REF!,#REF!,#REF!,#REF!,#REF!,#REF!,#REF!,#REF!,#REF!,#REF!,#REF!,#REF!,#REF!,#REF!,#REF!</definedName>
    <definedName name="__APW_RESTORE_DATA3083__">#REF!,#REF!,#REF!,#REF!,#REF!,#REF!,#REF!,#REF!,#REF!,#REF!,#REF!,#REF!,#REF!,#REF!,#REF!</definedName>
    <definedName name="__APW_RESTORE_DATA3084__">#REF!,#REF!,#REF!,#REF!,#REF!,#REF!,#REF!,#REF!,#REF!,#REF!,#REF!,#REF!,#REF!,#REF!,#REF!</definedName>
    <definedName name="__APW_RESTORE_DATA3085__">#REF!,#REF!,#REF!,#REF!,#REF!,#REF!,#REF!,#REF!,#REF!,#REF!,#REF!,#REF!,#REF!,#REF!,#REF!</definedName>
    <definedName name="__APW_RESTORE_DATA3086__">#REF!,#REF!,#REF!,#REF!,#REF!,#REF!,#REF!,#REF!,#REF!,#REF!,#REF!,#REF!,#REF!,#REF!,#REF!</definedName>
    <definedName name="__APW_RESTORE_DATA3087__">#REF!,#REF!,#REF!,#REF!,#REF!,#REF!,#REF!,#REF!,#REF!,#REF!,#REF!,#REF!,#REF!,#REF!,#REF!</definedName>
    <definedName name="__APW_RESTORE_DATA3088__">#REF!,#REF!,#REF!,#REF!,#REF!,#REF!,#REF!,#REF!,#REF!,#REF!,#REF!,#REF!,#REF!,#REF!,#REF!</definedName>
    <definedName name="__APW_RESTORE_DATA3089__">#REF!,#REF!,#REF!,#REF!,#REF!,#REF!,#REF!,#REF!,#REF!,#REF!,#REF!,#REF!,#REF!,#REF!,#REF!</definedName>
    <definedName name="__APW_RESTORE_DATA309__">#REF!,#REF!,#REF!,#REF!,#REF!,#REF!,#REF!,#REF!,#REF!,#REF!,#REF!,#REF!,#REF!,#REF!,#REF!</definedName>
    <definedName name="__APW_RESTORE_DATA3090__">#REF!,#REF!,#REF!,#REF!,#REF!,#REF!,#REF!,#REF!,#REF!,#REF!,#REF!,#REF!,#REF!,#REF!,#REF!</definedName>
    <definedName name="__APW_RESTORE_DATA3091__">#REF!,#REF!,#REF!,#REF!,#REF!,#REF!,#REF!,#REF!,#REF!,#REF!,#REF!,#REF!,#REF!,#REF!,#REF!</definedName>
    <definedName name="__APW_RESTORE_DATA3092__">#REF!,#REF!,#REF!,#REF!,#REF!,#REF!,#REF!,#REF!,#REF!,#REF!,#REF!,#REF!,#REF!,#REF!,#REF!</definedName>
    <definedName name="__APW_RESTORE_DATA3093__">#REF!,#REF!,#REF!,#REF!,#REF!,#REF!,#REF!,#REF!,#REF!,#REF!,#REF!,#REF!,#REF!,#REF!,#REF!</definedName>
    <definedName name="__APW_RESTORE_DATA3094__">#REF!,#REF!,#REF!,#REF!,#REF!,#REF!,#REF!,#REF!,#REF!,#REF!,#REF!,#REF!,#REF!,#REF!,#REF!</definedName>
    <definedName name="__APW_RESTORE_DATA3095__">#REF!,#REF!,#REF!,#REF!,#REF!,#REF!,#REF!,#REF!,#REF!,#REF!,#REF!,#REF!,#REF!,#REF!,#REF!</definedName>
    <definedName name="__APW_RESTORE_DATA3096__">#REF!,#REF!,#REF!,#REF!,#REF!,#REF!,#REF!,#REF!,#REF!,#REF!,#REF!,#REF!,#REF!,#REF!,#REF!</definedName>
    <definedName name="__APW_RESTORE_DATA3097__">#REF!,#REF!,#REF!,#REF!,#REF!,#REF!,#REF!,#REF!,#REF!,#REF!,#REF!,#REF!,#REF!,#REF!,#REF!</definedName>
    <definedName name="__APW_RESTORE_DATA3098__">#REF!,#REF!,#REF!,#REF!,#REF!,#REF!,#REF!,#REF!,#REF!,#REF!,#REF!,#REF!,#REF!,#REF!,#REF!</definedName>
    <definedName name="__APW_RESTORE_DATA3099__">#REF!,#REF!,#REF!,#REF!,#REF!,#REF!,#REF!,#REF!,#REF!,#REF!,#REF!,#REF!,#REF!,#REF!,#REF!</definedName>
    <definedName name="__APW_RESTORE_DATA31__">#REF!,#REF!,#REF!,#REF!,#REF!,#REF!,#REF!,#REF!,#REF!,#REF!,#REF!,#REF!,#REF!,#REF!,#REF!</definedName>
    <definedName name="__APW_RESTORE_DATA310__">#REF!,#REF!,#REF!,#REF!,#REF!,#REF!,#REF!,#REF!,#REF!,#REF!,#REF!,#REF!,#REF!,#REF!,#REF!</definedName>
    <definedName name="__APW_RESTORE_DATA3100__">#REF!,#REF!,#REF!,#REF!,#REF!,#REF!,#REF!,#REF!,#REF!,#REF!,#REF!,#REF!,#REF!,#REF!,#REF!</definedName>
    <definedName name="__APW_RESTORE_DATA3101__">#REF!,#REF!,#REF!,#REF!,#REF!,#REF!,#REF!,#REF!,#REF!,#REF!,#REF!,#REF!,#REF!,#REF!,#REF!</definedName>
    <definedName name="__APW_RESTORE_DATA3102__">#REF!,#REF!,#REF!,#REF!,#REF!,#REF!,#REF!,#REF!,#REF!,#REF!,#REF!,#REF!,#REF!,#REF!,#REF!</definedName>
    <definedName name="__APW_RESTORE_DATA3103__">#REF!,#REF!,#REF!,#REF!,#REF!,#REF!,#REF!,#REF!,#REF!,#REF!,#REF!,#REF!,#REF!,#REF!,#REF!</definedName>
    <definedName name="__APW_RESTORE_DATA3104__">#REF!,#REF!,#REF!,#REF!,#REF!,#REF!</definedName>
    <definedName name="__APW_RESTORE_DATA3105__">#REF!,#REF!,#REF!,#REF!,#REF!,#REF!,#REF!,#REF!,#REF!,#REF!,#REF!,#REF!,#REF!,#REF!,#REF!,#REF!</definedName>
    <definedName name="__APW_RESTORE_DATA3106__">#REF!,#REF!,#REF!,#REF!,#REF!,#REF!,#REF!,#REF!,#REF!,#REF!,#REF!,#REF!,#REF!,#REF!,#REF!,#REF!</definedName>
    <definedName name="__APW_RESTORE_DATA3107__">#REF!,#REF!,#REF!,#REF!,#REF!,#REF!,#REF!,#REF!,#REF!,#REF!,#REF!,#REF!,#REF!,#REF!,#REF!,#REF!</definedName>
    <definedName name="__APW_RESTORE_DATA3108__">#REF!,#REF!,#REF!,#REF!,#REF!,#REF!,#REF!,#REF!,#REF!,#REF!,#REF!,#REF!,#REF!,#REF!,#REF!,#REF!</definedName>
    <definedName name="__APW_RESTORE_DATA3109__">#REF!,#REF!,#REF!,#REF!,#REF!,#REF!,#REF!,#REF!,#REF!,#REF!,#REF!,#REF!,#REF!,#REF!,#REF!,#REF!</definedName>
    <definedName name="__APW_RESTORE_DATA311__">#REF!,#REF!,#REF!,#REF!,#REF!,#REF!,#REF!,#REF!,#REF!,#REF!,#REF!,#REF!,#REF!,#REF!,#REF!</definedName>
    <definedName name="__APW_RESTORE_DATA3110__">#REF!,#REF!,#REF!,#REF!,#REF!,#REF!,#REF!,#REF!,#REF!,#REF!,#REF!,#REF!,#REF!,#REF!,#REF!,#REF!</definedName>
    <definedName name="__APW_RESTORE_DATA3111__">#REF!,#REF!,#REF!,#REF!,#REF!,#REF!,#REF!,#REF!,#REF!,#REF!,#REF!,#REF!,#REF!,#REF!,#REF!</definedName>
    <definedName name="__APW_RESTORE_DATA3112__">#REF!,#REF!,#REF!,#REF!,#REF!,#REF!,#REF!,#REF!,#REF!,#REF!,#REF!,#REF!,#REF!,#REF!,#REF!</definedName>
    <definedName name="__APW_RESTORE_DATA3113__">#REF!,#REF!,#REF!,#REF!,#REF!,#REF!,#REF!,#REF!,#REF!,#REF!,#REF!,#REF!,#REF!,#REF!,#REF!</definedName>
    <definedName name="__APW_RESTORE_DATA3114__">#REF!,#REF!,#REF!,#REF!,#REF!,#REF!,#REF!,#REF!,#REF!,#REF!,#REF!,#REF!,#REF!,#REF!,#REF!</definedName>
    <definedName name="__APW_RESTORE_DATA3115__">#REF!,#REF!,#REF!,#REF!,#REF!,#REF!,#REF!,#REF!,#REF!,#REF!,#REF!,#REF!,#REF!,#REF!,#REF!</definedName>
    <definedName name="__APW_RESTORE_DATA3116__">#REF!,#REF!,#REF!,#REF!,#REF!,#REF!,#REF!,#REF!,#REF!,#REF!,#REF!,#REF!,#REF!,#REF!,#REF!</definedName>
    <definedName name="__APW_RESTORE_DATA3117__">#REF!,#REF!,#REF!,#REF!,#REF!,#REF!,#REF!,#REF!,#REF!,#REF!,#REF!,#REF!,#REF!,#REF!,#REF!</definedName>
    <definedName name="__APW_RESTORE_DATA3118__">#REF!,#REF!,#REF!,#REF!,#REF!,#REF!,#REF!,#REF!,#REF!,#REF!,#REF!,#REF!,#REF!,#REF!,#REF!</definedName>
    <definedName name="__APW_RESTORE_DATA3119__">#REF!,#REF!,#REF!,#REF!,#REF!,#REF!,#REF!,#REF!,#REF!,#REF!,#REF!,#REF!,#REF!,#REF!,#REF!</definedName>
    <definedName name="__APW_RESTORE_DATA312__">#REF!,#REF!,#REF!,#REF!,#REF!,#REF!,#REF!,#REF!,#REF!,#REF!,#REF!,#REF!,#REF!,#REF!,#REF!</definedName>
    <definedName name="__APW_RESTORE_DATA3120__">#REF!,#REF!,#REF!,#REF!,#REF!,#REF!,#REF!,#REF!,#REF!,#REF!,#REF!,#REF!,#REF!,#REF!,#REF!</definedName>
    <definedName name="__APW_RESTORE_DATA3121__">#REF!,#REF!,#REF!,#REF!,#REF!,#REF!,#REF!,#REF!,#REF!,#REF!,#REF!,#REF!,#REF!,#REF!,#REF!</definedName>
    <definedName name="__APW_RESTORE_DATA3122__">#REF!,#REF!,#REF!,#REF!,#REF!,#REF!,#REF!,#REF!,#REF!,#REF!,#REF!,#REF!,#REF!,#REF!,#REF!</definedName>
    <definedName name="__APW_RESTORE_DATA3123__">#REF!,#REF!,#REF!,#REF!,#REF!,#REF!,#REF!,#REF!,#REF!,#REF!,#REF!,#REF!,#REF!,#REF!,#REF!</definedName>
    <definedName name="__APW_RESTORE_DATA3124__">#REF!,#REF!,#REF!,#REF!,#REF!,#REF!,#REF!,#REF!,#REF!,#REF!,#REF!,#REF!,#REF!,#REF!,#REF!</definedName>
    <definedName name="__APW_RESTORE_DATA3125__">#REF!,#REF!,#REF!,#REF!,#REF!,#REF!,#REF!,#REF!,#REF!,#REF!,#REF!,#REF!,#REF!,#REF!,#REF!</definedName>
    <definedName name="__APW_RESTORE_DATA3126__">#REF!,#REF!,#REF!,#REF!,#REF!,#REF!,#REF!,#REF!,#REF!,#REF!,#REF!,#REF!,#REF!,#REF!,#REF!</definedName>
    <definedName name="__APW_RESTORE_DATA3127__">#REF!,#REF!,#REF!,#REF!,#REF!,#REF!,#REF!,#REF!,#REF!,#REF!,#REF!,#REF!,#REF!,#REF!,#REF!</definedName>
    <definedName name="__APW_RESTORE_DATA3128__">#REF!,#REF!,#REF!,#REF!,#REF!,#REF!,#REF!,#REF!,#REF!,#REF!,#REF!,#REF!,#REF!,#REF!,#REF!</definedName>
    <definedName name="__APW_RESTORE_DATA3129__">#REF!,#REF!,#REF!,#REF!,#REF!,#REF!,#REF!,#REF!,#REF!,#REF!,#REF!,#REF!,#REF!,#REF!,#REF!</definedName>
    <definedName name="__APW_RESTORE_DATA313__">#REF!,#REF!</definedName>
    <definedName name="__APW_RESTORE_DATA3130__">#REF!,#REF!,#REF!,#REF!,#REF!,#REF!,#REF!,#REF!,#REF!,#REF!,#REF!,#REF!,#REF!,#REF!,#REF!</definedName>
    <definedName name="__APW_RESTORE_DATA3131__">#REF!,#REF!,#REF!,#REF!,#REF!,#REF!,#REF!,#REF!,#REF!,#REF!,#REF!,#REF!,#REF!,#REF!,#REF!</definedName>
    <definedName name="__APW_RESTORE_DATA3132__">#REF!,#REF!,#REF!,#REF!,#REF!,#REF!,#REF!,#REF!,#REF!,#REF!,#REF!,#REF!,#REF!,#REF!,#REF!</definedName>
    <definedName name="__APW_RESTORE_DATA3133__">#REF!,#REF!,#REF!,#REF!,#REF!,#REF!,#REF!,#REF!,#REF!,#REF!,#REF!,#REF!,#REF!,#REF!,#REF!</definedName>
    <definedName name="__APW_RESTORE_DATA3134__">#REF!,#REF!,#REF!,#REF!,#REF!,#REF!,#REF!,#REF!,#REF!,#REF!,#REF!,#REF!,#REF!,#REF!,#REF!</definedName>
    <definedName name="__APW_RESTORE_DATA3135__">#REF!,#REF!,#REF!,#REF!,#REF!,#REF!,#REF!,#REF!,#REF!,#REF!,#REF!,#REF!,#REF!,#REF!,#REF!</definedName>
    <definedName name="__APW_RESTORE_DATA3136__">#REF!,#REF!,#REF!,#REF!,#REF!,#REF!,#REF!,#REF!,#REF!,#REF!,#REF!,#REF!,#REF!,#REF!,#REF!</definedName>
    <definedName name="__APW_RESTORE_DATA3137__">#REF!,#REF!,#REF!,#REF!,#REF!,#REF!,#REF!,#REF!,#REF!,#REF!,#REF!,#REF!,#REF!,#REF!,#REF!</definedName>
    <definedName name="__APW_RESTORE_DATA3138__">#REF!,#REF!,#REF!,#REF!,#REF!,#REF!,#REF!,#REF!,#REF!,#REF!,#REF!,#REF!,#REF!,#REF!,#REF!</definedName>
    <definedName name="__APW_RESTORE_DATA3139__">#REF!,#REF!,#REF!,#REF!,#REF!,#REF!</definedName>
    <definedName name="__APW_RESTORE_DATA314__">#REF!,#REF!</definedName>
    <definedName name="__APW_RESTORE_DATA3140__">#REF!,#REF!,#REF!,#REF!,#REF!,#REF!,#REF!,#REF!,#REF!,#REF!,#REF!,#REF!,#REF!,#REF!,#REF!,#REF!</definedName>
    <definedName name="__APW_RESTORE_DATA3141__">#REF!,#REF!,#REF!,#REF!,#REF!,#REF!,#REF!,#REF!,#REF!,#REF!,#REF!,#REF!,#REF!,#REF!,#REF!,#REF!</definedName>
    <definedName name="__APW_RESTORE_DATA3142__">#REF!,#REF!,#REF!,#REF!,#REF!,#REF!,#REF!,#REF!,#REF!,#REF!,#REF!,#REF!,#REF!,#REF!,#REF!,#REF!</definedName>
    <definedName name="__APW_RESTORE_DATA3143__">#REF!,#REF!,#REF!,#REF!,#REF!,#REF!,#REF!,#REF!,#REF!,#REF!,#REF!,#REF!,#REF!,#REF!,#REF!,#REF!</definedName>
    <definedName name="__APW_RESTORE_DATA3144__">#REF!,#REF!,#REF!,#REF!,#REF!,#REF!,#REF!,#REF!,#REF!,#REF!,#REF!,#REF!,#REF!,#REF!,#REF!,#REF!</definedName>
    <definedName name="__APW_RESTORE_DATA3145__">#REF!,#REF!,#REF!,#REF!,#REF!,#REF!,#REF!,#REF!,#REF!,#REF!,#REF!,#REF!,#REF!,#REF!,#REF!,#REF!</definedName>
    <definedName name="__APW_RESTORE_DATA3146__">#REF!,#REF!,#REF!,#REF!,#REF!,#REF!,#REF!,#REF!,#REF!,#REF!,#REF!,#REF!,#REF!,#REF!,#REF!</definedName>
    <definedName name="__APW_RESTORE_DATA3147__">#REF!,#REF!,#REF!,#REF!,#REF!,#REF!,#REF!,#REF!,#REF!,#REF!,#REF!,#REF!,#REF!,#REF!,#REF!</definedName>
    <definedName name="__APW_RESTORE_DATA3148__">#REF!,#REF!,#REF!,#REF!,#REF!,#REF!,#REF!,#REF!,#REF!,#REF!,#REF!,#REF!,#REF!,#REF!,#REF!</definedName>
    <definedName name="__APW_RESTORE_DATA3149__">#REF!,#REF!,#REF!,#REF!,#REF!,#REF!,#REF!,#REF!,#REF!,#REF!,#REF!,#REF!,#REF!,#REF!,#REF!</definedName>
    <definedName name="__APW_RESTORE_DATA315__">#REF!,#REF!,#REF!,#REF!,#REF!,#REF!,#REF!,#REF!,#REF!,#REF!,#REF!,#REF!,#REF!,#REF!,#REF!</definedName>
    <definedName name="__APW_RESTORE_DATA3150__">#REF!,#REF!,#REF!,#REF!,#REF!,#REF!,#REF!,#REF!,#REF!,#REF!,#REF!,#REF!,#REF!,#REF!,#REF!</definedName>
    <definedName name="__APW_RESTORE_DATA3151__">#REF!,#REF!,#REF!,#REF!,#REF!,#REF!,#REF!,#REF!,#REF!,#REF!,#REF!,#REF!,#REF!,#REF!,#REF!</definedName>
    <definedName name="__APW_RESTORE_DATA3152__">#REF!,#REF!,#REF!,#REF!,#REF!,#REF!,#REF!,#REF!,#REF!,#REF!,#REF!,#REF!,#REF!,#REF!,#REF!</definedName>
    <definedName name="__APW_RESTORE_DATA3153__">#REF!,#REF!,#REF!,#REF!,#REF!,#REF!,#REF!,#REF!,#REF!,#REF!,#REF!,#REF!,#REF!,#REF!,#REF!</definedName>
    <definedName name="__APW_RESTORE_DATA3154__">#REF!,#REF!,#REF!,#REF!,#REF!,#REF!,#REF!,#REF!,#REF!,#REF!,#REF!,#REF!,#REF!,#REF!,#REF!</definedName>
    <definedName name="__APW_RESTORE_DATA3155__">#REF!,#REF!,#REF!,#REF!,#REF!,#REF!,#REF!,#REF!,#REF!,#REF!,#REF!,#REF!,#REF!,#REF!,#REF!</definedName>
    <definedName name="__APW_RESTORE_DATA3156__">#REF!,#REF!,#REF!,#REF!,#REF!,#REF!,#REF!,#REF!,#REF!,#REF!,#REF!,#REF!,#REF!,#REF!,#REF!</definedName>
    <definedName name="__APW_RESTORE_DATA3157__">#REF!,#REF!,#REF!,#REF!,#REF!,#REF!,#REF!,#REF!,#REF!,#REF!,#REF!,#REF!,#REF!,#REF!,#REF!</definedName>
    <definedName name="__APW_RESTORE_DATA3158__">#REF!,#REF!,#REF!,#REF!,#REF!,#REF!,#REF!,#REF!,#REF!,#REF!,#REF!,#REF!,#REF!,#REF!,#REF!</definedName>
    <definedName name="__APW_RESTORE_DATA3159__">#REF!,#REF!,#REF!,#REF!,#REF!,#REF!,#REF!,#REF!,#REF!,#REF!,#REF!,#REF!,#REF!,#REF!,#REF!</definedName>
    <definedName name="__APW_RESTORE_DATA316__">#REF!,#REF!,#REF!,#REF!,#REF!,#REF!,#REF!,#REF!,#REF!,#REF!,#REF!,#REF!,#REF!,#REF!,#REF!</definedName>
    <definedName name="__APW_RESTORE_DATA3160__">#REF!,#REF!,#REF!,#REF!,#REF!,#REF!,#REF!,#REF!,#REF!,#REF!,#REF!,#REF!,#REF!,#REF!,#REF!</definedName>
    <definedName name="__APW_RESTORE_DATA3161__">#REF!,#REF!,#REF!,#REF!,#REF!,#REF!,#REF!,#REF!,#REF!,#REF!,#REF!,#REF!,#REF!,#REF!,#REF!</definedName>
    <definedName name="__APW_RESTORE_DATA3162__">#REF!,#REF!,#REF!,#REF!,#REF!,#REF!,#REF!,#REF!,#REF!,#REF!,#REF!,#REF!,#REF!,#REF!,#REF!</definedName>
    <definedName name="__APW_RESTORE_DATA3163__">#REF!,#REF!,#REF!,#REF!,#REF!,#REF!,#REF!,#REF!,#REF!,#REF!,#REF!,#REF!,#REF!,#REF!,#REF!</definedName>
    <definedName name="__APW_RESTORE_DATA3164__">#REF!,#REF!,#REF!,#REF!,#REF!,#REF!,#REF!,#REF!,#REF!,#REF!,#REF!,#REF!,#REF!,#REF!,#REF!</definedName>
    <definedName name="__APW_RESTORE_DATA3165__">#REF!,#REF!,#REF!,#REF!,#REF!,#REF!,#REF!,#REF!,#REF!,#REF!,#REF!,#REF!,#REF!,#REF!,#REF!</definedName>
    <definedName name="__APW_RESTORE_DATA3166__">#REF!,#REF!,#REF!,#REF!,#REF!,#REF!,#REF!,#REF!,#REF!,#REF!,#REF!,#REF!,#REF!,#REF!,#REF!</definedName>
    <definedName name="__APW_RESTORE_DATA3167__">#REF!,#REF!,#REF!,#REF!,#REF!,#REF!,#REF!,#REF!,#REF!,#REF!,#REF!,#REF!,#REF!,#REF!,#REF!</definedName>
    <definedName name="__APW_RESTORE_DATA3168__">#REF!,#REF!,#REF!,#REF!,#REF!,#REF!,#REF!,#REF!,#REF!,#REF!,#REF!,#REF!,#REF!,#REF!,#REF!</definedName>
    <definedName name="__APW_RESTORE_DATA3169__">#REF!,#REF!,#REF!,#REF!,#REF!,#REF!,#REF!,#REF!,#REF!,#REF!,#REF!,#REF!,#REF!,#REF!,#REF!</definedName>
    <definedName name="__APW_RESTORE_DATA317__">#REF!,#REF!,#REF!,#REF!,#REF!,#REF!,#REF!,#REF!,#REF!,#REF!,#REF!,#REF!,#REF!,#REF!,#REF!</definedName>
    <definedName name="__APW_RESTORE_DATA3170__">#REF!,#REF!,#REF!,#REF!,#REF!,#REF!,#REF!,#REF!,#REF!,#REF!,#REF!,#REF!,#REF!,#REF!,#REF!</definedName>
    <definedName name="__APW_RESTORE_DATA3171__">#REF!,#REF!,#REF!,#REF!,#REF!,#REF!,#REF!,#REF!,#REF!,#REF!,#REF!,#REF!,#REF!,#REF!,#REF!</definedName>
    <definedName name="__APW_RESTORE_DATA3172__">#REF!,#REF!,#REF!,#REF!,#REF!,#REF!,#REF!,#REF!,#REF!,#REF!,#REF!,#REF!,#REF!,#REF!,#REF!</definedName>
    <definedName name="__APW_RESTORE_DATA3173__">#REF!,#REF!,#REF!,#REF!,#REF!,#REF!,#REF!,#REF!,#REF!,#REF!,#REF!,#REF!,#REF!,#REF!,#REF!</definedName>
    <definedName name="__APW_RESTORE_DATA3174__">#REF!,#REF!,#REF!,#REF!,#REF!,#REF!</definedName>
    <definedName name="__APW_RESTORE_DATA3175__">#REF!</definedName>
    <definedName name="__APW_RESTORE_DATA3176__">#REF!</definedName>
    <definedName name="__APW_RESTORE_DATA3177__">#REF!</definedName>
    <definedName name="__APW_RESTORE_DATA3179__">#REF!</definedName>
    <definedName name="__APW_RESTORE_DATA318__">#REF!,#REF!,#REF!,#REF!,#REF!,#REF!,#REF!,#REF!,#REF!,#REF!,#REF!,#REF!,#REF!,#REF!,#REF!</definedName>
    <definedName name="__APW_RESTORE_DATA3180__">#REF!</definedName>
    <definedName name="__APW_RESTORE_DATA3181__">#REF!,#REF!,#REF!,#REF!,#REF!,#REF!,#REF!,#REF!,#REF!,#REF!,#REF!,#REF!,#REF!,#REF!,#REF!,#REF!</definedName>
    <definedName name="__APW_RESTORE_DATA3182__">#REF!,#REF!,#REF!,#REF!,#REF!,#REF!,#REF!,#REF!,#REF!,#REF!,#REF!,#REF!,#REF!,#REF!,#REF!,#REF!</definedName>
    <definedName name="__APW_RESTORE_DATA3183__">#REF!,#REF!,#REF!,#REF!,#REF!,#REF!,#REF!,#REF!,#REF!,#REF!,#REF!,#REF!,#REF!,#REF!,#REF!,#REF!</definedName>
    <definedName name="__APW_RESTORE_DATA3184__">#REF!,#REF!,#REF!,#REF!,#REF!,#REF!,#REF!,#REF!,#REF!,#REF!,#REF!,#REF!,#REF!,#REF!,#REF!,#REF!</definedName>
    <definedName name="__APW_RESTORE_DATA3185__">#REF!,#REF!,#REF!,#REF!,#REF!,#REF!,#REF!,#REF!,#REF!,#REF!,#REF!,#REF!,#REF!,#REF!,#REF!,#REF!</definedName>
    <definedName name="__APW_RESTORE_DATA3186__">#REF!,#REF!,#REF!,#REF!,#REF!,#REF!,#REF!,#REF!,#REF!,#REF!,#REF!,#REF!,#REF!,#REF!,#REF!,#REF!</definedName>
    <definedName name="__APW_RESTORE_DATA3187__">#REF!,#REF!,#REF!,#REF!,#REF!,#REF!,#REF!,#REF!,#REF!,#REF!,#REF!,#REF!,#REF!,#REF!,#REF!</definedName>
    <definedName name="__APW_RESTORE_DATA3188__">#REF!,#REF!,#REF!,#REF!,#REF!,#REF!,#REF!,#REF!,#REF!,#REF!,#REF!,#REF!,#REF!,#REF!,#REF!</definedName>
    <definedName name="__APW_RESTORE_DATA3189__">#REF!,#REF!,#REF!,#REF!,#REF!,#REF!,#REF!,#REF!,#REF!,#REF!,#REF!,#REF!,#REF!,#REF!,#REF!</definedName>
    <definedName name="__APW_RESTORE_DATA319__">#REF!,#REF!,#REF!,#REF!,#REF!,#REF!,#REF!,#REF!,#REF!,#REF!,#REF!,#REF!,#REF!,#REF!,#REF!</definedName>
    <definedName name="__APW_RESTORE_DATA3190__">#REF!,#REF!,#REF!,#REF!,#REF!,#REF!,#REF!,#REF!,#REF!,#REF!,#REF!,#REF!,#REF!,#REF!,#REF!</definedName>
    <definedName name="__APW_RESTORE_DATA3191__">#REF!,#REF!,#REF!,#REF!,#REF!,#REF!,#REF!,#REF!,#REF!,#REF!,#REF!,#REF!,#REF!,#REF!,#REF!</definedName>
    <definedName name="__APW_RESTORE_DATA3192__">#REF!,#REF!,#REF!,#REF!,#REF!,#REF!,#REF!,#REF!,#REF!,#REF!,#REF!,#REF!,#REF!,#REF!,#REF!</definedName>
    <definedName name="__APW_RESTORE_DATA3193__">#REF!,#REF!,#REF!,#REF!,#REF!,#REF!,#REF!,#REF!,#REF!,#REF!,#REF!,#REF!,#REF!,#REF!,#REF!</definedName>
    <definedName name="__APW_RESTORE_DATA3194__">#REF!,#REF!,#REF!,#REF!,#REF!,#REF!,#REF!,#REF!,#REF!,#REF!,#REF!,#REF!,#REF!,#REF!,#REF!</definedName>
    <definedName name="__APW_RESTORE_DATA3195__">#REF!,#REF!,#REF!,#REF!,#REF!,#REF!,#REF!,#REF!,#REF!,#REF!,#REF!,#REF!,#REF!,#REF!,#REF!</definedName>
    <definedName name="__APW_RESTORE_DATA3196__">#REF!,#REF!,#REF!,#REF!,#REF!,#REF!,#REF!,#REF!,#REF!,#REF!,#REF!,#REF!,#REF!,#REF!,#REF!</definedName>
    <definedName name="__APW_RESTORE_DATA3197__">#REF!,#REF!,#REF!,#REF!,#REF!,#REF!,#REF!,#REF!,#REF!,#REF!,#REF!,#REF!,#REF!,#REF!,#REF!</definedName>
    <definedName name="__APW_RESTORE_DATA3198__">#REF!,#REF!,#REF!,#REF!,#REF!,#REF!,#REF!,#REF!,#REF!,#REF!,#REF!,#REF!,#REF!,#REF!,#REF!</definedName>
    <definedName name="__APW_RESTORE_DATA3199__">#REF!,#REF!,#REF!,#REF!,#REF!,#REF!,#REF!,#REF!,#REF!,#REF!,#REF!,#REF!,#REF!,#REF!,#REF!</definedName>
    <definedName name="__APW_RESTORE_DATA32__">#REF!</definedName>
    <definedName name="__APW_RESTORE_DATA320__">#REF!,#REF!,#REF!,#REF!,#REF!,#REF!,#REF!,#REF!,#REF!,#REF!,#REF!,#REF!,#REF!,#REF!,#REF!</definedName>
    <definedName name="__APW_RESTORE_DATA3200__">#REF!,#REF!,#REF!,#REF!,#REF!,#REF!,#REF!,#REF!,#REF!,#REF!,#REF!,#REF!,#REF!,#REF!,#REF!</definedName>
    <definedName name="__APW_RESTORE_DATA3201__">#REF!,#REF!,#REF!,#REF!,#REF!,#REF!,#REF!,#REF!,#REF!,#REF!,#REF!,#REF!,#REF!,#REF!,#REF!</definedName>
    <definedName name="__APW_RESTORE_DATA3202__">#REF!,#REF!,#REF!,#REF!,#REF!,#REF!,#REF!,#REF!,#REF!,#REF!,#REF!,#REF!,#REF!,#REF!,#REF!</definedName>
    <definedName name="__APW_RESTORE_DATA3203__">#REF!,#REF!,#REF!,#REF!,#REF!,#REF!,#REF!,#REF!,#REF!,#REF!,#REF!,#REF!,#REF!,#REF!,#REF!</definedName>
    <definedName name="__APW_RESTORE_DATA3204__">#REF!,#REF!,#REF!,#REF!,#REF!,#REF!,#REF!,#REF!,#REF!,#REF!,#REF!,#REF!,#REF!,#REF!,#REF!</definedName>
    <definedName name="__APW_RESTORE_DATA3205__">#REF!,#REF!,#REF!,#REF!,#REF!,#REF!,#REF!,#REF!,#REF!,#REF!,#REF!,#REF!,#REF!,#REF!,#REF!</definedName>
    <definedName name="__APW_RESTORE_DATA3206__">#REF!,#REF!,#REF!,#REF!,#REF!,#REF!,#REF!,#REF!,#REF!,#REF!,#REF!,#REF!,#REF!,#REF!,#REF!</definedName>
    <definedName name="__APW_RESTORE_DATA3207__">#REF!,#REF!,#REF!,#REF!,#REF!,#REF!,#REF!,#REF!,#REF!,#REF!,#REF!,#REF!,#REF!,#REF!,#REF!</definedName>
    <definedName name="__APW_RESTORE_DATA3208__">#REF!,#REF!,#REF!,#REF!,#REF!,#REF!,#REF!,#REF!,#REF!,#REF!,#REF!,#REF!,#REF!,#REF!,#REF!</definedName>
    <definedName name="__APW_RESTORE_DATA3209__">#REF!,#REF!,#REF!,#REF!,#REF!,#REF!,#REF!,#REF!,#REF!,#REF!,#REF!,#REF!,#REF!,#REF!,#REF!</definedName>
    <definedName name="__APW_RESTORE_DATA321__">#REF!,#REF!,#REF!,#REF!,#REF!,#REF!,#REF!,#REF!,#REF!,#REF!,#REF!,#REF!,#REF!,#REF!,#REF!</definedName>
    <definedName name="__APW_RESTORE_DATA3210__">#REF!,#REF!,#REF!,#REF!,#REF!,#REF!,#REF!,#REF!,#REF!,#REF!,#REF!,#REF!,#REF!,#REF!,#REF!</definedName>
    <definedName name="__APW_RESTORE_DATA3211__">#REF!,#REF!,#REF!,#REF!,#REF!,#REF!,#REF!,#REF!,#REF!,#REF!,#REF!,#REF!,#REF!,#REF!,#REF!</definedName>
    <definedName name="__APW_RESTORE_DATA3212__">#REF!,#REF!,#REF!,#REF!,#REF!,#REF!,#REF!,#REF!,#REF!,#REF!,#REF!,#REF!,#REF!,#REF!,#REF!</definedName>
    <definedName name="__APW_RESTORE_DATA3213__">#REF!,#REF!,#REF!,#REF!,#REF!,#REF!,#REF!,#REF!,#REF!,#REF!,#REF!,#REF!,#REF!,#REF!,#REF!</definedName>
    <definedName name="__APW_RESTORE_DATA3214__">#REF!,#REF!,#REF!,#REF!,#REF!,#REF!,#REF!,#REF!,#REF!,#REF!,#REF!,#REF!,#REF!,#REF!,#REF!</definedName>
    <definedName name="__APW_RESTORE_DATA3215__">#REF!,#REF!,#REF!,#REF!,#REF!,#REF!</definedName>
    <definedName name="__APW_RESTORE_DATA3216__">#REF!,#REF!,#REF!,#REF!,#REF!,#REF!,#REF!,#REF!,#REF!,#REF!,#REF!,#REF!,#REF!,#REF!,#REF!,#REF!</definedName>
    <definedName name="__APW_RESTORE_DATA3217__">#REF!,#REF!,#REF!,#REF!,#REF!,#REF!,#REF!,#REF!,#REF!,#REF!,#REF!,#REF!,#REF!,#REF!,#REF!,#REF!</definedName>
    <definedName name="__APW_RESTORE_DATA3218__">#REF!,#REF!,#REF!,#REF!,#REF!,#REF!,#REF!,#REF!,#REF!,#REF!,#REF!,#REF!,#REF!,#REF!,#REF!,#REF!</definedName>
    <definedName name="__APW_RESTORE_DATA3219__">#REF!,#REF!,#REF!,#REF!,#REF!,#REF!,#REF!,#REF!,#REF!,#REF!,#REF!,#REF!,#REF!,#REF!,#REF!,#REF!</definedName>
    <definedName name="__APW_RESTORE_DATA322__">#REF!,#REF!,#REF!,#REF!,#REF!,#REF!,#REF!,#REF!,#REF!,#REF!,#REF!,#REF!,#REF!,#REF!,#REF!</definedName>
    <definedName name="__APW_RESTORE_DATA3220__">#REF!,#REF!,#REF!,#REF!,#REF!,#REF!,#REF!,#REF!,#REF!,#REF!,#REF!,#REF!,#REF!,#REF!,#REF!,#REF!</definedName>
    <definedName name="__APW_RESTORE_DATA3221__">#REF!,#REF!,#REF!,#REF!,#REF!,#REF!,#REF!,#REF!,#REF!,#REF!,#REF!,#REF!,#REF!,#REF!,#REF!,#REF!</definedName>
    <definedName name="__APW_RESTORE_DATA3222__">#REF!,#REF!,#REF!,#REF!,#REF!,#REF!,#REF!,#REF!,#REF!,#REF!,#REF!,#REF!,#REF!,#REF!,#REF!</definedName>
    <definedName name="__APW_RESTORE_DATA3223__">#REF!,#REF!,#REF!,#REF!,#REF!,#REF!,#REF!,#REF!,#REF!,#REF!,#REF!,#REF!,#REF!,#REF!,#REF!</definedName>
    <definedName name="__APW_RESTORE_DATA3224__">#REF!,#REF!,#REF!,#REF!,#REF!,#REF!,#REF!,#REF!,#REF!,#REF!,#REF!,#REF!,#REF!,#REF!,#REF!</definedName>
    <definedName name="__APW_RESTORE_DATA3225__">#REF!,#REF!,#REF!,#REF!,#REF!,#REF!,#REF!,#REF!,#REF!,#REF!,#REF!,#REF!,#REF!,#REF!,#REF!</definedName>
    <definedName name="__APW_RESTORE_DATA3226__">#REF!,#REF!,#REF!,#REF!,#REF!,#REF!,#REF!,#REF!,#REF!,#REF!,#REF!,#REF!,#REF!,#REF!,#REF!</definedName>
    <definedName name="__APW_RESTORE_DATA3227__">#REF!,#REF!,#REF!,#REF!,#REF!,#REF!,#REF!,#REF!,#REF!,#REF!,#REF!,#REF!,#REF!,#REF!,#REF!</definedName>
    <definedName name="__APW_RESTORE_DATA3228__">#REF!,#REF!,#REF!,#REF!,#REF!,#REF!,#REF!,#REF!,#REF!,#REF!,#REF!,#REF!,#REF!,#REF!,#REF!</definedName>
    <definedName name="__APW_RESTORE_DATA3229__">#REF!,#REF!,#REF!,#REF!,#REF!,#REF!,#REF!,#REF!,#REF!,#REF!,#REF!,#REF!,#REF!,#REF!,#REF!</definedName>
    <definedName name="__APW_RESTORE_DATA323__">#REF!,#REF!,#REF!,#REF!,#REF!,#REF!,#REF!,#REF!,#REF!,#REF!,#REF!,#REF!,#REF!,#REF!,#REF!</definedName>
    <definedName name="__APW_RESTORE_DATA3230__">#REF!,#REF!,#REF!,#REF!,#REF!,#REF!,#REF!,#REF!,#REF!,#REF!,#REF!,#REF!,#REF!,#REF!,#REF!</definedName>
    <definedName name="__APW_RESTORE_DATA3231__">#REF!,#REF!,#REF!,#REF!,#REF!,#REF!,#REF!,#REF!,#REF!,#REF!,#REF!,#REF!,#REF!,#REF!,#REF!</definedName>
    <definedName name="__APW_RESTORE_DATA3232__">#REF!,#REF!,#REF!,#REF!,#REF!,#REF!,#REF!,#REF!,#REF!,#REF!,#REF!,#REF!,#REF!,#REF!,#REF!</definedName>
    <definedName name="__APW_RESTORE_DATA3233__">#REF!,#REF!,#REF!,#REF!,#REF!,#REF!,#REF!,#REF!,#REF!,#REF!,#REF!,#REF!,#REF!,#REF!,#REF!</definedName>
    <definedName name="__APW_RESTORE_DATA3234__">#REF!,#REF!,#REF!,#REF!,#REF!,#REF!,#REF!,#REF!,#REF!,#REF!,#REF!,#REF!,#REF!,#REF!,#REF!</definedName>
    <definedName name="__APW_RESTORE_DATA3235__">#REF!,#REF!,#REF!,#REF!,#REF!,#REF!,#REF!,#REF!,#REF!,#REF!,#REF!,#REF!,#REF!,#REF!,#REF!</definedName>
    <definedName name="__APW_RESTORE_DATA3236__">#REF!,#REF!,#REF!,#REF!,#REF!,#REF!,#REF!,#REF!,#REF!,#REF!,#REF!,#REF!,#REF!,#REF!,#REF!</definedName>
    <definedName name="__APW_RESTORE_DATA3237__">#REF!,#REF!,#REF!,#REF!,#REF!,#REF!,#REF!,#REF!,#REF!,#REF!,#REF!,#REF!,#REF!,#REF!,#REF!</definedName>
    <definedName name="__APW_RESTORE_DATA3238__">#REF!,#REF!,#REF!,#REF!,#REF!,#REF!,#REF!,#REF!,#REF!,#REF!,#REF!,#REF!,#REF!,#REF!,#REF!</definedName>
    <definedName name="__APW_RESTORE_DATA3239__">#REF!,#REF!,#REF!,#REF!,#REF!,#REF!,#REF!,#REF!,#REF!,#REF!,#REF!,#REF!,#REF!,#REF!,#REF!</definedName>
    <definedName name="__APW_RESTORE_DATA324__">#REF!,#REF!,#REF!,#REF!,#REF!,#REF!,#REF!,#REF!,#REF!,#REF!,#REF!,#REF!,#REF!,#REF!,#REF!</definedName>
    <definedName name="__APW_RESTORE_DATA3240__">#REF!,#REF!,#REF!,#REF!,#REF!,#REF!,#REF!,#REF!,#REF!,#REF!,#REF!,#REF!,#REF!,#REF!,#REF!</definedName>
    <definedName name="__APW_RESTORE_DATA3241__">#REF!,#REF!,#REF!,#REF!,#REF!,#REF!,#REF!,#REF!,#REF!,#REF!,#REF!,#REF!,#REF!,#REF!,#REF!</definedName>
    <definedName name="__APW_RESTORE_DATA3242__">#REF!,#REF!,#REF!,#REF!,#REF!,#REF!,#REF!,#REF!,#REF!,#REF!,#REF!,#REF!,#REF!,#REF!,#REF!</definedName>
    <definedName name="__APW_RESTORE_DATA3243__">#REF!,#REF!,#REF!,#REF!,#REF!,#REF!,#REF!,#REF!,#REF!,#REF!,#REF!,#REF!,#REF!,#REF!,#REF!</definedName>
    <definedName name="__APW_RESTORE_DATA3244__">#REF!,#REF!,#REF!,#REF!,#REF!,#REF!,#REF!,#REF!,#REF!,#REF!,#REF!,#REF!,#REF!,#REF!,#REF!</definedName>
    <definedName name="__APW_RESTORE_DATA3245__">#REF!,#REF!,#REF!,#REF!,#REF!,#REF!,#REF!,#REF!,#REF!,#REF!,#REF!,#REF!,#REF!,#REF!,#REF!</definedName>
    <definedName name="__APW_RESTORE_DATA3246__">#REF!,#REF!,#REF!,#REF!,#REF!,#REF!,#REF!,#REF!,#REF!,#REF!,#REF!,#REF!,#REF!,#REF!,#REF!</definedName>
    <definedName name="__APW_RESTORE_DATA3247__">#REF!,#REF!,#REF!,#REF!,#REF!,#REF!,#REF!,#REF!,#REF!,#REF!,#REF!,#REF!,#REF!,#REF!,#REF!</definedName>
    <definedName name="__APW_RESTORE_DATA3248__">#REF!,#REF!,#REF!,#REF!,#REF!,#REF!,#REF!,#REF!,#REF!,#REF!,#REF!,#REF!,#REF!,#REF!,#REF!</definedName>
    <definedName name="__APW_RESTORE_DATA3249__">#REF!,#REF!,#REF!,#REF!,#REF!,#REF!,#REF!,#REF!,#REF!,#REF!,#REF!,#REF!,#REF!,#REF!,#REF!</definedName>
    <definedName name="__APW_RESTORE_DATA325__">#REF!,#REF!,#REF!,#REF!,#REF!,#REF!,#REF!,#REF!,#REF!,#REF!,#REF!,#REF!,#REF!,#REF!,#REF!</definedName>
    <definedName name="__APW_RESTORE_DATA3250__">#REF!,#REF!,#REF!,#REF!,#REF!,#REF!</definedName>
    <definedName name="__APW_RESTORE_DATA3251__">#REF!,#REF!,#REF!,#REF!,#REF!,#REF!,#REF!,#REF!,#REF!,#REF!,#REF!,#REF!,#REF!,#REF!,#REF!,#REF!</definedName>
    <definedName name="__APW_RESTORE_DATA3252__">#REF!,#REF!,#REF!,#REF!,#REF!,#REF!,#REF!,#REF!,#REF!,#REF!,#REF!,#REF!,#REF!,#REF!,#REF!,#REF!</definedName>
    <definedName name="__APW_RESTORE_DATA3253__">#REF!,#REF!,#REF!,#REF!,#REF!,#REF!,#REF!,#REF!,#REF!,#REF!,#REF!,#REF!,#REF!,#REF!,#REF!,#REF!</definedName>
    <definedName name="__APW_RESTORE_DATA3254__">#REF!,#REF!,#REF!,#REF!,#REF!,#REF!,#REF!,#REF!,#REF!,#REF!,#REF!,#REF!,#REF!,#REF!,#REF!,#REF!</definedName>
    <definedName name="__APW_RESTORE_DATA3255__">#REF!,#REF!,#REF!,#REF!,#REF!,#REF!,#REF!,#REF!,#REF!,#REF!,#REF!,#REF!,#REF!,#REF!,#REF!,#REF!</definedName>
    <definedName name="__APW_RESTORE_DATA3256__">#REF!,#REF!,#REF!,#REF!,#REF!,#REF!,#REF!,#REF!,#REF!,#REF!,#REF!,#REF!,#REF!,#REF!,#REF!,#REF!</definedName>
    <definedName name="__APW_RESTORE_DATA3257__">#REF!,#REF!,#REF!,#REF!,#REF!,#REF!,#REF!,#REF!,#REF!,#REF!,#REF!,#REF!,#REF!,#REF!,#REF!</definedName>
    <definedName name="__APW_RESTORE_DATA3258__">#REF!,#REF!,#REF!,#REF!,#REF!,#REF!,#REF!,#REF!,#REF!,#REF!,#REF!,#REF!,#REF!,#REF!,#REF!</definedName>
    <definedName name="__APW_RESTORE_DATA3259__">#REF!,#REF!,#REF!,#REF!,#REF!,#REF!,#REF!,#REF!,#REF!,#REF!,#REF!,#REF!,#REF!,#REF!,#REF!</definedName>
    <definedName name="__APW_RESTORE_DATA326__">#REF!,#REF!,#REF!,#REF!,#REF!,#REF!,#REF!,#REF!,#REF!,#REF!,#REF!,#REF!,#REF!,#REF!,#REF!</definedName>
    <definedName name="__APW_RESTORE_DATA3260__">#REF!,#REF!,#REF!,#REF!,#REF!,#REF!,#REF!,#REF!,#REF!,#REF!,#REF!,#REF!,#REF!,#REF!,#REF!</definedName>
    <definedName name="__APW_RESTORE_DATA3261__">#REF!,#REF!,#REF!,#REF!,#REF!,#REF!,#REF!,#REF!,#REF!,#REF!,#REF!,#REF!,#REF!,#REF!,#REF!</definedName>
    <definedName name="__APW_RESTORE_DATA3262__">#REF!,#REF!,#REF!,#REF!,#REF!,#REF!,#REF!,#REF!,#REF!,#REF!,#REF!,#REF!,#REF!,#REF!,#REF!</definedName>
    <definedName name="__APW_RESTORE_DATA3263__">#REF!,#REF!,#REF!,#REF!,#REF!,#REF!,#REF!,#REF!,#REF!,#REF!,#REF!,#REF!,#REF!,#REF!,#REF!</definedName>
    <definedName name="__APW_RESTORE_DATA3264__">#REF!,#REF!,#REF!,#REF!,#REF!,#REF!,#REF!,#REF!,#REF!,#REF!,#REF!,#REF!,#REF!,#REF!,#REF!</definedName>
    <definedName name="__APW_RESTORE_DATA3265__">#REF!,#REF!,#REF!,#REF!,#REF!,#REF!,#REF!,#REF!,#REF!,#REF!,#REF!,#REF!,#REF!,#REF!,#REF!</definedName>
    <definedName name="__APW_RESTORE_DATA3266__">#REF!,#REF!,#REF!,#REF!,#REF!,#REF!,#REF!,#REF!,#REF!,#REF!,#REF!,#REF!,#REF!,#REF!,#REF!</definedName>
    <definedName name="__APW_RESTORE_DATA3267__">#REF!,#REF!,#REF!,#REF!,#REF!,#REF!,#REF!,#REF!,#REF!,#REF!,#REF!,#REF!,#REF!,#REF!,#REF!</definedName>
    <definedName name="__APW_RESTORE_DATA3268__">#REF!,#REF!,#REF!,#REF!,#REF!,#REF!,#REF!,#REF!,#REF!,#REF!,#REF!,#REF!,#REF!,#REF!,#REF!</definedName>
    <definedName name="__APW_RESTORE_DATA3269__">#REF!,#REF!,#REF!,#REF!,#REF!,#REF!,#REF!,#REF!,#REF!,#REF!,#REF!,#REF!,#REF!,#REF!,#REF!</definedName>
    <definedName name="__APW_RESTORE_DATA327__">#REF!,#REF!</definedName>
    <definedName name="__APW_RESTORE_DATA3270__">#REF!,#REF!,#REF!,#REF!,#REF!,#REF!,#REF!,#REF!,#REF!,#REF!,#REF!,#REF!,#REF!,#REF!,#REF!</definedName>
    <definedName name="__APW_RESTORE_DATA3271__">#REF!,#REF!,#REF!,#REF!,#REF!,#REF!,#REF!,#REF!,#REF!,#REF!,#REF!,#REF!,#REF!,#REF!,#REF!</definedName>
    <definedName name="__APW_RESTORE_DATA3272__">#REF!,#REF!,#REF!,#REF!,#REF!,#REF!,#REF!,#REF!,#REF!,#REF!,#REF!,#REF!,#REF!,#REF!,#REF!</definedName>
    <definedName name="__APW_RESTORE_DATA3273__">#REF!,#REF!,#REF!,#REF!,#REF!,#REF!,#REF!,#REF!,#REF!,#REF!,#REF!,#REF!,#REF!,#REF!,#REF!</definedName>
    <definedName name="__APW_RESTORE_DATA3274__">#REF!,#REF!,#REF!,#REF!,#REF!,#REF!,#REF!,#REF!,#REF!,#REF!,#REF!,#REF!,#REF!,#REF!,#REF!</definedName>
    <definedName name="__APW_RESTORE_DATA3275__">#REF!,#REF!,#REF!,#REF!,#REF!,#REF!,#REF!,#REF!,#REF!,#REF!,#REF!,#REF!,#REF!,#REF!,#REF!</definedName>
    <definedName name="__APW_RESTORE_DATA3276__">#REF!,#REF!,#REF!,#REF!,#REF!,#REF!,#REF!,#REF!,#REF!,#REF!,#REF!,#REF!,#REF!,#REF!,#REF!</definedName>
    <definedName name="__APW_RESTORE_DATA3277__">#REF!,#REF!,#REF!,#REF!,#REF!,#REF!,#REF!,#REF!,#REF!,#REF!,#REF!,#REF!,#REF!,#REF!,#REF!</definedName>
    <definedName name="__APW_RESTORE_DATA3278__">#REF!,#REF!,#REF!,#REF!,#REF!,#REF!,#REF!,#REF!,#REF!,#REF!,#REF!,#REF!,#REF!,#REF!,#REF!</definedName>
    <definedName name="__APW_RESTORE_DATA3279__">#REF!,#REF!,#REF!,#REF!,#REF!,#REF!,#REF!,#REF!,#REF!,#REF!,#REF!,#REF!,#REF!,#REF!,#REF!</definedName>
    <definedName name="__APW_RESTORE_DATA328__">#REF!,#REF!,#REF!,#REF!,#REF!,#REF!,#REF!,#REF!,#REF!,#REF!,#REF!,#REF!,#REF!,#REF!,#REF!,#REF!</definedName>
    <definedName name="__APW_RESTORE_DATA3280__">#REF!,#REF!,#REF!,#REF!,#REF!,#REF!,#REF!,#REF!,#REF!,#REF!,#REF!,#REF!,#REF!,#REF!,#REF!</definedName>
    <definedName name="__APW_RESTORE_DATA3281__">#REF!,#REF!,#REF!,#REF!,#REF!,#REF!,#REF!,#REF!,#REF!,#REF!,#REF!,#REF!,#REF!,#REF!,#REF!</definedName>
    <definedName name="__APW_RESTORE_DATA3282__">#REF!,#REF!,#REF!,#REF!,#REF!,#REF!,#REF!,#REF!,#REF!,#REF!,#REF!,#REF!,#REF!,#REF!,#REF!</definedName>
    <definedName name="__APW_RESTORE_DATA3283__">#REF!,#REF!,#REF!,#REF!,#REF!,#REF!,#REF!,#REF!,#REF!,#REF!,#REF!,#REF!,#REF!,#REF!,#REF!</definedName>
    <definedName name="__APW_RESTORE_DATA3284__">#REF!,#REF!,#REF!,#REF!,#REF!,#REF!,#REF!,#REF!,#REF!,#REF!,#REF!,#REF!,#REF!,#REF!,#REF!</definedName>
    <definedName name="__APW_RESTORE_DATA3285__">#REF!,#REF!,#REF!,#REF!,#REF!,#REF!</definedName>
    <definedName name="__APW_RESTORE_DATA3286__">#REF!,#REF!,#REF!,#REF!,#REF!,#REF!,#REF!,#REF!,#REF!,#REF!,#REF!,#REF!,#REF!,#REF!,#REF!,#REF!</definedName>
    <definedName name="__APW_RESTORE_DATA3287__">#REF!,#REF!,#REF!,#REF!,#REF!,#REF!,#REF!,#REF!,#REF!,#REF!,#REF!,#REF!,#REF!,#REF!,#REF!,#REF!</definedName>
    <definedName name="__APW_RESTORE_DATA3288__">#REF!,#REF!,#REF!,#REF!,#REF!,#REF!,#REF!,#REF!,#REF!,#REF!,#REF!,#REF!,#REF!,#REF!,#REF!,#REF!</definedName>
    <definedName name="__APW_RESTORE_DATA3289__">#REF!,#REF!,#REF!,#REF!,#REF!,#REF!,#REF!,#REF!,#REF!,#REF!,#REF!,#REF!,#REF!,#REF!,#REF!,#REF!</definedName>
    <definedName name="__APW_RESTORE_DATA329__">#REF!,#REF!,#REF!,#REF!,#REF!,#REF!,#REF!,#REF!,#REF!,#REF!,#REF!,#REF!,#REF!,#REF!,#REF!,#REF!</definedName>
    <definedName name="__APW_RESTORE_DATA3290__">#REF!,#REF!,#REF!,#REF!,#REF!,#REF!,#REF!,#REF!,#REF!,#REF!,#REF!,#REF!,#REF!,#REF!,#REF!,#REF!</definedName>
    <definedName name="__APW_RESTORE_DATA3291__">#REF!,#REF!,#REF!,#REF!,#REF!,#REF!,#REF!,#REF!,#REF!,#REF!,#REF!,#REF!,#REF!,#REF!,#REF!,#REF!</definedName>
    <definedName name="__APW_RESTORE_DATA3292__">#REF!,#REF!,#REF!,#REF!,#REF!,#REF!,#REF!,#REF!,#REF!,#REF!,#REF!,#REF!,#REF!,#REF!,#REF!</definedName>
    <definedName name="__APW_RESTORE_DATA3293__">#REF!,#REF!,#REF!,#REF!,#REF!,#REF!,#REF!,#REF!,#REF!,#REF!,#REF!,#REF!,#REF!,#REF!,#REF!</definedName>
    <definedName name="__APW_RESTORE_DATA3294__">#REF!,#REF!,#REF!,#REF!,#REF!,#REF!,#REF!,#REF!,#REF!,#REF!,#REF!,#REF!,#REF!,#REF!,#REF!</definedName>
    <definedName name="__APW_RESTORE_DATA3295__">#REF!,#REF!,#REF!,#REF!,#REF!,#REF!,#REF!,#REF!,#REF!,#REF!,#REF!,#REF!,#REF!,#REF!,#REF!</definedName>
    <definedName name="__APW_RESTORE_DATA3296__">#REF!,#REF!,#REF!,#REF!,#REF!,#REF!,#REF!,#REF!,#REF!,#REF!,#REF!,#REF!,#REF!,#REF!,#REF!</definedName>
    <definedName name="__APW_RESTORE_DATA3297__">#REF!,#REF!,#REF!,#REF!,#REF!,#REF!,#REF!,#REF!,#REF!,#REF!,#REF!,#REF!,#REF!,#REF!,#REF!</definedName>
    <definedName name="__APW_RESTORE_DATA3298__">#REF!,#REF!,#REF!,#REF!,#REF!,#REF!,#REF!,#REF!,#REF!,#REF!,#REF!,#REF!,#REF!,#REF!,#REF!</definedName>
    <definedName name="__APW_RESTORE_DATA3299__">#REF!,#REF!,#REF!,#REF!,#REF!,#REF!,#REF!,#REF!,#REF!,#REF!,#REF!,#REF!,#REF!,#REF!,#REF!</definedName>
    <definedName name="__APW_RESTORE_DATA33__">#REF!</definedName>
    <definedName name="__APW_RESTORE_DATA330__">#REF!,#REF!,#REF!,#REF!,#REF!,#REF!,#REF!,#REF!,#REF!,#REF!,#REF!,#REF!,#REF!,#REF!,#REF!,#REF!</definedName>
    <definedName name="__APW_RESTORE_DATA3300__">#REF!,#REF!,#REF!,#REF!,#REF!,#REF!,#REF!,#REF!,#REF!,#REF!,#REF!,#REF!,#REF!,#REF!,#REF!</definedName>
    <definedName name="__APW_RESTORE_DATA3301__">#REF!,#REF!,#REF!,#REF!,#REF!,#REF!,#REF!,#REF!,#REF!,#REF!,#REF!,#REF!,#REF!,#REF!,#REF!</definedName>
    <definedName name="__APW_RESTORE_DATA3302__">#REF!,#REF!,#REF!,#REF!,#REF!,#REF!,#REF!,#REF!,#REF!,#REF!,#REF!,#REF!,#REF!,#REF!,#REF!</definedName>
    <definedName name="__APW_RESTORE_DATA3303__">#REF!,#REF!,#REF!,#REF!,#REF!,#REF!,#REF!,#REF!,#REF!,#REF!,#REF!,#REF!,#REF!,#REF!,#REF!</definedName>
    <definedName name="__APW_RESTORE_DATA3304__">#REF!,#REF!,#REF!,#REF!,#REF!,#REF!,#REF!,#REF!,#REF!,#REF!,#REF!,#REF!,#REF!,#REF!,#REF!</definedName>
    <definedName name="__APW_RESTORE_DATA3305__">#REF!,#REF!,#REF!,#REF!,#REF!,#REF!,#REF!,#REF!,#REF!,#REF!,#REF!,#REF!,#REF!,#REF!,#REF!</definedName>
    <definedName name="__APW_RESTORE_DATA3306__">#REF!,#REF!,#REF!,#REF!,#REF!,#REF!,#REF!,#REF!,#REF!,#REF!,#REF!,#REF!,#REF!,#REF!,#REF!</definedName>
    <definedName name="__APW_RESTORE_DATA3307__">#REF!,#REF!,#REF!,#REF!,#REF!,#REF!,#REF!,#REF!,#REF!,#REF!,#REF!,#REF!,#REF!,#REF!,#REF!</definedName>
    <definedName name="__APW_RESTORE_DATA3308__">#REF!,#REF!,#REF!,#REF!,#REF!,#REF!,#REF!,#REF!,#REF!,#REF!,#REF!,#REF!,#REF!,#REF!,#REF!</definedName>
    <definedName name="__APW_RESTORE_DATA3309__">#REF!,#REF!,#REF!,#REF!,#REF!,#REF!,#REF!,#REF!,#REF!,#REF!,#REF!,#REF!,#REF!,#REF!,#REF!</definedName>
    <definedName name="__APW_RESTORE_DATA331__">#REF!,#REF!,#REF!,#REF!,#REF!,#REF!,#REF!,#REF!,#REF!,#REF!,#REF!,#REF!,#REF!,#REF!,#REF!,#REF!</definedName>
    <definedName name="__APW_RESTORE_DATA3310__">#REF!,#REF!,#REF!,#REF!,#REF!,#REF!,#REF!,#REF!,#REF!,#REF!,#REF!,#REF!,#REF!,#REF!,#REF!</definedName>
    <definedName name="__APW_RESTORE_DATA3311__">#REF!,#REF!,#REF!,#REF!,#REF!,#REF!,#REF!,#REF!,#REF!,#REF!,#REF!,#REF!,#REF!,#REF!,#REF!</definedName>
    <definedName name="__APW_RESTORE_DATA3312__">#REF!,#REF!,#REF!,#REF!,#REF!,#REF!,#REF!,#REF!,#REF!,#REF!,#REF!,#REF!,#REF!,#REF!,#REF!</definedName>
    <definedName name="__APW_RESTORE_DATA3313__">#REF!,#REF!,#REF!,#REF!,#REF!,#REF!,#REF!,#REF!,#REF!,#REF!,#REF!,#REF!,#REF!,#REF!,#REF!</definedName>
    <definedName name="__APW_RESTORE_DATA3314__">#REF!,#REF!,#REF!,#REF!,#REF!,#REF!,#REF!,#REF!,#REF!,#REF!,#REF!,#REF!,#REF!,#REF!,#REF!</definedName>
    <definedName name="__APW_RESTORE_DATA3315__">#REF!,#REF!,#REF!,#REF!,#REF!,#REF!,#REF!,#REF!,#REF!,#REF!,#REF!,#REF!,#REF!,#REF!,#REF!</definedName>
    <definedName name="__APW_RESTORE_DATA3316__">#REF!,#REF!,#REF!,#REF!,#REF!,#REF!,#REF!,#REF!,#REF!,#REF!,#REF!,#REF!,#REF!,#REF!,#REF!</definedName>
    <definedName name="__APW_RESTORE_DATA3317__">#REF!,#REF!,#REF!,#REF!,#REF!,#REF!,#REF!,#REF!,#REF!,#REF!,#REF!,#REF!,#REF!,#REF!,#REF!</definedName>
    <definedName name="__APW_RESTORE_DATA3318__">#REF!,#REF!,#REF!,#REF!,#REF!,#REF!,#REF!,#REF!,#REF!,#REF!,#REF!,#REF!,#REF!,#REF!,#REF!</definedName>
    <definedName name="__APW_RESTORE_DATA3319__">#REF!,#REF!,#REF!,#REF!,#REF!,#REF!,#REF!,#REF!,#REF!,#REF!,#REF!,#REF!,#REF!,#REF!,#REF!</definedName>
    <definedName name="__APW_RESTORE_DATA332__">#REF!,#REF!</definedName>
    <definedName name="__APW_RESTORE_DATA3320__">#REF!,#REF!,#REF!,#REF!,#REF!,#REF!</definedName>
    <definedName name="__APW_RESTORE_DATA333__">#REF!,#REF!,#REF!,#REF!,#REF!,#REF!,#REF!,#REF!,#REF!,#REF!,#REF!,#REF!,#REF!,#REF!,#REF!,#REF!</definedName>
    <definedName name="__APW_RESTORE_DATA334__">#REF!,#REF!,#REF!,#REF!,#REF!,#REF!,#REF!,#REF!,#REF!,#REF!,#REF!,#REF!,#REF!,#REF!,#REF!</definedName>
    <definedName name="__APW_RESTORE_DATA335__">#REF!,#REF!,#REF!,#REF!,#REF!,#REF!,#REF!,#REF!,#REF!,#REF!,#REF!,#REF!,#REF!,#REF!,#REF!</definedName>
    <definedName name="__APW_RESTORE_DATA336__">#REF!,#REF!,#REF!,#REF!,#REF!,#REF!,#REF!,#REF!,#REF!,#REF!,#REF!,#REF!,#REF!,#REF!,#REF!</definedName>
    <definedName name="__APW_RESTORE_DATA337__">#REF!,#REF!</definedName>
    <definedName name="__APW_RESTORE_DATA338__">#REF!,#REF!,#REF!,#REF!,#REF!,#REF!,#REF!,#REF!,#REF!,#REF!,#REF!,#REF!,#REF!,#REF!,#REF!</definedName>
    <definedName name="__APW_RESTORE_DATA339__">#REF!,#REF!,#REF!,#REF!,#REF!,#REF!,#REF!,#REF!,#REF!,#REF!,#REF!,#REF!,#REF!,#REF!,#REF!</definedName>
    <definedName name="__APW_RESTORE_DATA34__">#REF!,#REF!,#REF!,#REF!,#REF!,#REF!,#REF!,#REF!,#REF!,#REF!,#REF!,#REF!,#REF!,#REF!,#REF!,#REF!</definedName>
    <definedName name="__APW_RESTORE_DATA340__">#REF!,#REF!,#REF!,#REF!,#REF!,#REF!,#REF!,#REF!,#REF!,#REF!,#REF!,#REF!,#REF!,#REF!,#REF!</definedName>
    <definedName name="__APW_RESTORE_DATA341__">#REF!,#REF!,#REF!,#REF!,#REF!,#REF!,#REF!,#REF!,#REF!,#REF!,#REF!,#REF!,#REF!,#REF!,#REF!</definedName>
    <definedName name="__APW_RESTORE_DATA342__">#REF!,#REF!,#REF!,#REF!,#REF!,#REF!,#REF!,#REF!,#REF!,#REF!,#REF!,#REF!,#REF!,#REF!,#REF!</definedName>
    <definedName name="__APW_RESTORE_DATA343__">#REF!,#REF!,#REF!,#REF!,#REF!,#REF!,#REF!,#REF!,#REF!,#REF!,#REF!,#REF!,#REF!,#REF!,#REF!</definedName>
    <definedName name="__APW_RESTORE_DATA344__">#REF!,#REF!,#REF!,#REF!,#REF!,#REF!,#REF!,#REF!,#REF!,#REF!,#REF!,#REF!,#REF!,#REF!,#REF!</definedName>
    <definedName name="__APW_RESTORE_DATA345__">#REF!,#REF!,#REF!,#REF!,#REF!,#REF!,#REF!,#REF!,#REF!,#REF!,#REF!,#REF!,#REF!,#REF!,#REF!</definedName>
    <definedName name="__APW_RESTORE_DATA346__">#REF!,#REF!,#REF!,#REF!,#REF!,#REF!,#REF!,#REF!,#REF!,#REF!,#REF!,#REF!,#REF!,#REF!,#REF!</definedName>
    <definedName name="__APW_RESTORE_DATA347__">#REF!,#REF!,#REF!,#REF!,#REF!,#REF!,#REF!,#REF!,#REF!,#REF!,#REF!,#REF!,#REF!,#REF!,#REF!</definedName>
    <definedName name="__APW_RESTORE_DATA348__">#REF!,#REF!,#REF!,#REF!,#REF!,#REF!,#REF!,#REF!,#REF!,#REF!,#REF!,#REF!,#REF!,#REF!,#REF!</definedName>
    <definedName name="__APW_RESTORE_DATA349__">#REF!,#REF!,#REF!,#REF!,#REF!,#REF!,#REF!,#REF!,#REF!,#REF!,#REF!,#REF!,#REF!,#REF!,#REF!</definedName>
    <definedName name="__APW_RESTORE_DATA35__">#REF!,#REF!,#REF!,#REF!,#REF!,#REF!,#REF!,#REF!,#REF!,#REF!,#REF!,#REF!,#REF!,#REF!,#REF!</definedName>
    <definedName name="__APW_RESTORE_DATA350__">#REF!,#REF!,#REF!,#REF!,#REF!,#REF!,#REF!,#REF!,#REF!,#REF!,#REF!,#REF!,#REF!,#REF!,#REF!</definedName>
    <definedName name="__APW_RESTORE_DATA351__">#REF!,#REF!,#REF!,#REF!,#REF!,#REF!,#REF!,#REF!,#REF!,#REF!,#REF!,#REF!,#REF!,#REF!,#REF!</definedName>
    <definedName name="__APW_RESTORE_DATA352__">#REF!,#REF!</definedName>
    <definedName name="__APW_RESTORE_DATA353__">#REF!,#REF!</definedName>
    <definedName name="__APW_RESTORE_DATA354__">#REF!,#REF!,#REF!,#REF!,#REF!,#REF!,#REF!,#REF!,#REF!,#REF!,#REF!,#REF!,#REF!,#REF!,#REF!</definedName>
    <definedName name="__APW_RESTORE_DATA355__">#REF!,#REF!,#REF!,#REF!,#REF!,#REF!,#REF!,#REF!,#REF!,#REF!,#REF!,#REF!,#REF!,#REF!,#REF!</definedName>
    <definedName name="__APW_RESTORE_DATA356__">#REF!,#REF!,#REF!,#REF!,#REF!,#REF!,#REF!,#REF!,#REF!,#REF!,#REF!,#REF!,#REF!,#REF!,#REF!</definedName>
    <definedName name="__APW_RESTORE_DATA357__">#REF!,#REF!,#REF!,#REF!,#REF!,#REF!,#REF!,#REF!,#REF!,#REF!,#REF!,#REF!,#REF!,#REF!,#REF!</definedName>
    <definedName name="__APW_RESTORE_DATA358__">#REF!,#REF!,#REF!,#REF!,#REF!,#REF!,#REF!,#REF!,#REF!,#REF!,#REF!,#REF!,#REF!,#REF!,#REF!</definedName>
    <definedName name="__APW_RESTORE_DATA359__">#REF!,#REF!,#REF!,#REF!,#REF!,#REF!,#REF!,#REF!,#REF!,#REF!,#REF!,#REF!,#REF!,#REF!,#REF!</definedName>
    <definedName name="__APW_RESTORE_DATA36__">#REF!,#REF!,#REF!,#REF!,#REF!,#REF!,#REF!,#REF!,#REF!,#REF!,#REF!,#REF!,#REF!,#REF!,#REF!,#REF!</definedName>
    <definedName name="__APW_RESTORE_DATA360__">#REF!,#REF!,#REF!,#REF!,#REF!,#REF!,#REF!,#REF!,#REF!,#REF!,#REF!,#REF!,#REF!,#REF!,#REF!</definedName>
    <definedName name="__APW_RESTORE_DATA361__">#REF!,#REF!,#REF!,#REF!,#REF!,#REF!,#REF!,#REF!,#REF!,#REF!,#REF!,#REF!,#REF!,#REF!,#REF!</definedName>
    <definedName name="__APW_RESTORE_DATA362__">#REF!,#REF!,#REF!,#REF!,#REF!,#REF!</definedName>
    <definedName name="__APW_RESTORE_DATA363__">#REF!,#REF!,#REF!,#REF!,#REF!,#REF!,#REF!,#REF!,#REF!,#REF!,#REF!,#REF!,#REF!,#REF!,#REF!,#REF!</definedName>
    <definedName name="__APW_RESTORE_DATA364__">#REF!,#REF!,#REF!,#REF!,#REF!,#REF!,#REF!,#REF!,#REF!,#REF!,#REF!,#REF!,#REF!,#REF!,#REF!,#REF!</definedName>
    <definedName name="__APW_RESTORE_DATA365__">#REF!,#REF!,#REF!,#REF!,#REF!,#REF!,#REF!,#REF!,#REF!,#REF!,#REF!,#REF!,#REF!,#REF!,#REF!,#REF!</definedName>
    <definedName name="__APW_RESTORE_DATA366__">#REF!,#REF!</definedName>
    <definedName name="__APW_RESTORE_DATA367__">#REF!,#REF!,#REF!,#REF!,#REF!,#REF!,#REF!,#REF!,#REF!,#REF!,#REF!,#REF!,#REF!,#REF!,#REF!,#REF!</definedName>
    <definedName name="__APW_RESTORE_DATA368__">#REF!,#REF!,#REF!,#REF!,#REF!,#REF!,#REF!,#REF!,#REF!,#REF!,#REF!,#REF!,#REF!,#REF!,#REF!,#REF!</definedName>
    <definedName name="__APW_RESTORE_DATA369__">#REF!,#REF!,#REF!,#REF!,#REF!,#REF!,#REF!,#REF!,#REF!,#REF!,#REF!,#REF!,#REF!,#REF!,#REF!</definedName>
    <definedName name="__APW_RESTORE_DATA37__">#REF!,#REF!,#REF!,#REF!,#REF!,#REF!,#REF!,#REF!,#REF!,#REF!,#REF!,#REF!,#REF!,#REF!,#REF!</definedName>
    <definedName name="__APW_RESTORE_DATA370__">#REF!,#REF!,#REF!,#REF!,#REF!,#REF!,#REF!,#REF!,#REF!,#REF!,#REF!,#REF!,#REF!,#REF!,#REF!</definedName>
    <definedName name="__APW_RESTORE_DATA371__">#REF!,#REF!</definedName>
    <definedName name="__APW_RESTORE_DATA372__">#REF!,#REF!,#REF!,#REF!,#REF!,#REF!,#REF!,#REF!,#REF!,#REF!,#REF!,#REF!,#REF!,#REF!,#REF!</definedName>
    <definedName name="__APW_RESTORE_DATA373__">#REF!,#REF!,#REF!,#REF!,#REF!,#REF!,#REF!,#REF!,#REF!,#REF!,#REF!,#REF!,#REF!,#REF!,#REF!</definedName>
    <definedName name="__APW_RESTORE_DATA374__">#REF!,#REF!,#REF!,#REF!,#REF!,#REF!,#REF!,#REF!,#REF!,#REF!,#REF!,#REF!,#REF!,#REF!,#REF!</definedName>
    <definedName name="__APW_RESTORE_DATA375__">#REF!,#REF!,#REF!,#REF!,#REF!,#REF!,#REF!,#REF!,#REF!,#REF!,#REF!,#REF!,#REF!,#REF!,#REF!</definedName>
    <definedName name="__APW_RESTORE_DATA376__">#REF!,#REF!</definedName>
    <definedName name="__APW_RESTORE_DATA377__">#REF!,#REF!,#REF!,#REF!,#REF!,#REF!,#REF!,#REF!,#REF!,#REF!,#REF!,#REF!,#REF!,#REF!,#REF!</definedName>
    <definedName name="__APW_RESTORE_DATA378__">#REF!,#REF!,#REF!,#REF!,#REF!,#REF!,#REF!,#REF!,#REF!,#REF!,#REF!,#REF!,#REF!,#REF!,#REF!</definedName>
    <definedName name="__APW_RESTORE_DATA379__">#REF!,#REF!,#REF!,#REF!,#REF!,#REF!,#REF!,#REF!,#REF!,#REF!,#REF!,#REF!,#REF!,#REF!,#REF!</definedName>
    <definedName name="__APW_RESTORE_DATA38__">#REF!,#REF!,#REF!,#REF!,#REF!,#REF!,#REF!,#REF!,#REF!,#REF!,#REF!,#REF!,#REF!,#REF!,#REF!</definedName>
    <definedName name="__APW_RESTORE_DATA380__">#REF!,#REF!,#REF!,#REF!,#REF!,#REF!,#REF!,#REF!,#REF!,#REF!,#REF!,#REF!,#REF!,#REF!,#REF!</definedName>
    <definedName name="__APW_RESTORE_DATA381__">#REF!,#REF!,#REF!,#REF!,#REF!,#REF!,#REF!,#REF!,#REF!,#REF!,#REF!,#REF!,#REF!,#REF!,#REF!</definedName>
    <definedName name="__APW_RESTORE_DATA382__">#REF!,#REF!,#REF!,#REF!,#REF!,#REF!,#REF!,#REF!,#REF!,#REF!,#REF!,#REF!,#REF!,#REF!,#REF!</definedName>
    <definedName name="__APW_RESTORE_DATA383__">#REF!,#REF!,#REF!,#REF!,#REF!,#REF!,#REF!,#REF!,#REF!,#REF!,#REF!,#REF!,#REF!,#REF!,#REF!</definedName>
    <definedName name="__APW_RESTORE_DATA384__">#REF!,#REF!,#REF!,#REF!,#REF!,#REF!,#REF!,#REF!,#REF!,#REF!,#REF!,#REF!,#REF!,#REF!,#REF!</definedName>
    <definedName name="__APW_RESTORE_DATA385__">#REF!,#REF!,#REF!,#REF!,#REF!,#REF!,#REF!,#REF!,#REF!,#REF!,#REF!,#REF!,#REF!,#REF!,#REF!</definedName>
    <definedName name="__APW_RESTORE_DATA386__">#REF!,#REF!,#REF!,#REF!,#REF!,#REF!,#REF!,#REF!,#REF!,#REF!,#REF!,#REF!,#REF!,#REF!,#REF!</definedName>
    <definedName name="__APW_RESTORE_DATA387__">#REF!,#REF!,#REF!,#REF!,#REF!,#REF!,#REF!,#REF!,#REF!,#REF!,#REF!,#REF!,#REF!,#REF!,#REF!</definedName>
    <definedName name="__APW_RESTORE_DATA388__">#REF!,#REF!,#REF!,#REF!,#REF!,#REF!,#REF!,#REF!,#REF!,#REF!,#REF!,#REF!,#REF!,#REF!,#REF!</definedName>
    <definedName name="__APW_RESTORE_DATA389__">#REF!,#REF!,#REF!,#REF!,#REF!,#REF!,#REF!,#REF!,#REF!,#REF!,#REF!,#REF!,#REF!,#REF!,#REF!</definedName>
    <definedName name="__APW_RESTORE_DATA39__">#REF!</definedName>
    <definedName name="__APW_RESTORE_DATA390__">#REF!,#REF!,#REF!,#REF!,#REF!,#REF!,#REF!,#REF!,#REF!,#REF!,#REF!,#REF!,#REF!,#REF!,#REF!</definedName>
    <definedName name="__APW_RESTORE_DATA391__">#REF!,#REF!</definedName>
    <definedName name="__APW_RESTORE_DATA392__">#REF!,#REF!</definedName>
    <definedName name="__APW_RESTORE_DATA393__">#REF!,#REF!,#REF!,#REF!,#REF!,#REF!,#REF!,#REF!,#REF!,#REF!,#REF!,#REF!,#REF!,#REF!,#REF!</definedName>
    <definedName name="__APW_RESTORE_DATA394__">#REF!,#REF!,#REF!,#REF!,#REF!,#REF!,#REF!,#REF!,#REF!,#REF!,#REF!,#REF!,#REF!,#REF!,#REF!</definedName>
    <definedName name="__APW_RESTORE_DATA395__">#REF!,#REF!,#REF!,#REF!,#REF!,#REF!,#REF!,#REF!,#REF!,#REF!,#REF!,#REF!,#REF!,#REF!,#REF!</definedName>
    <definedName name="__APW_RESTORE_DATA396__">#REF!,#REF!,#REF!,#REF!,#REF!,#REF!,#REF!,#REF!,#REF!,#REF!,#REF!,#REF!,#REF!,#REF!,#REF!</definedName>
    <definedName name="__APW_RESTORE_DATA397__">#REF!,#REF!,#REF!,#REF!,#REF!,#REF!</definedName>
    <definedName name="__APW_RESTORE_DATA398__">#REF!,#REF!,#REF!,#REF!,#REF!,#REF!,#REF!,#REF!,#REF!,#REF!,#REF!,#REF!,#REF!,#REF!,#REF!,#REF!</definedName>
    <definedName name="__APW_RESTORE_DATA399__">#REF!,#REF!,#REF!,#REF!,#REF!,#REF!,#REF!,#REF!,#REF!,#REF!,#REF!,#REF!,#REF!,#REF!,#REF!,#REF!</definedName>
    <definedName name="__APW_RESTORE_DATA4__">#REF!</definedName>
    <definedName name="__APW_RESTORE_DATA40__">#REF!</definedName>
    <definedName name="__APW_RESTORE_DATA400__">#REF!,#REF!,#REF!,#REF!,#REF!,#REF!,#REF!,#REF!,#REF!,#REF!,#REF!,#REF!,#REF!,#REF!,#REF!,#REF!</definedName>
    <definedName name="__APW_RESTORE_DATA401__">#REF!,#REF!,#REF!,#REF!,#REF!,#REF!,#REF!,#REF!,#REF!,#REF!,#REF!,#REF!,#REF!,#REF!,#REF!,#REF!</definedName>
    <definedName name="__APW_RESTORE_DATA402__">#REF!,#REF!,#REF!,#REF!,#REF!,#REF!,#REF!,#REF!,#REF!,#REF!,#REF!,#REF!,#REF!,#REF!,#REF!,#REF!</definedName>
    <definedName name="__APW_RESTORE_DATA403__">#REF!,#REF!,#REF!,#REF!,#REF!,#REF!,#REF!,#REF!,#REF!,#REF!,#REF!,#REF!,#REF!,#REF!,#REF!,#REF!</definedName>
    <definedName name="__APW_RESTORE_DATA404__">#REF!,#REF!,#REF!,#REF!,#REF!,#REF!,#REF!,#REF!,#REF!,#REF!,#REF!,#REF!,#REF!,#REF!,#REF!</definedName>
    <definedName name="__APW_RESTORE_DATA405__">#REF!,#REF!</definedName>
    <definedName name="__APW_RESTORE_DATA406__">#REF!,#REF!,#REF!,#REF!,#REF!,#REF!,#REF!,#REF!,#REF!,#REF!,#REF!,#REF!,#REF!,#REF!,#REF!</definedName>
    <definedName name="__APW_RESTORE_DATA407__">#REF!,#REF!,#REF!,#REF!,#REF!,#REF!,#REF!,#REF!,#REF!,#REF!,#REF!,#REF!,#REF!,#REF!,#REF!</definedName>
    <definedName name="__APW_RESTORE_DATA408__">#REF!,#REF!,#REF!,#REF!,#REF!,#REF!,#REF!,#REF!,#REF!,#REF!,#REF!,#REF!,#REF!,#REF!,#REF!</definedName>
    <definedName name="__APW_RESTORE_DATA409__">#REF!,#REF!,#REF!,#REF!,#REF!,#REF!,#REF!,#REF!,#REF!,#REF!,#REF!,#REF!,#REF!,#REF!,#REF!</definedName>
    <definedName name="__APW_RESTORE_DATA41__">#REF!</definedName>
    <definedName name="__APW_RESTORE_DATA410__">#REF!,#REF!</definedName>
    <definedName name="__APW_RESTORE_DATA411__">#REF!,#REF!,#REF!,#REF!,#REF!,#REF!,#REF!,#REF!,#REF!,#REF!,#REF!,#REF!,#REF!,#REF!,#REF!</definedName>
    <definedName name="__APW_RESTORE_DATA412__">#REF!,#REF!,#REF!,#REF!,#REF!,#REF!,#REF!,#REF!,#REF!,#REF!,#REF!,#REF!,#REF!,#REF!,#REF!</definedName>
    <definedName name="__APW_RESTORE_DATA413__">#REF!,#REF!,#REF!,#REF!,#REF!,#REF!,#REF!,#REF!,#REF!,#REF!,#REF!,#REF!,#REF!,#REF!,#REF!</definedName>
    <definedName name="__APW_RESTORE_DATA414__">#REF!,#REF!,#REF!,#REF!,#REF!,#REF!,#REF!,#REF!,#REF!,#REF!,#REF!,#REF!,#REF!,#REF!,#REF!</definedName>
    <definedName name="__APW_RESTORE_DATA415__">#REF!,#REF!</definedName>
    <definedName name="__APW_RESTORE_DATA416__">#REF!,#REF!,#REF!,#REF!,#REF!,#REF!,#REF!,#REF!,#REF!,#REF!,#REF!,#REF!,#REF!,#REF!,#REF!</definedName>
    <definedName name="__APW_RESTORE_DATA417__">#REF!,#REF!,#REF!,#REF!,#REF!,#REF!,#REF!,#REF!,#REF!,#REF!,#REF!,#REF!,#REF!,#REF!,#REF!</definedName>
    <definedName name="__APW_RESTORE_DATA418__">#REF!,#REF!,#REF!,#REF!,#REF!,#REF!,#REF!,#REF!,#REF!,#REF!,#REF!,#REF!,#REF!,#REF!,#REF!</definedName>
    <definedName name="__APW_RESTORE_DATA419__">#REF!,#REF!,#REF!,#REF!,#REF!,#REF!,#REF!,#REF!,#REF!,#REF!,#REF!,#REF!,#REF!,#REF!,#REF!</definedName>
    <definedName name="__APW_RESTORE_DATA42__">#REF!,#REF!,#REF!,#REF!,#REF!,#REF!,#REF!,#REF!,#REF!,#REF!,#REF!,#REF!,#REF!,#REF!,#REF!,#REF!</definedName>
    <definedName name="__APW_RESTORE_DATA420__">#REF!,#REF!,#REF!,#REF!,#REF!,#REF!,#REF!,#REF!,#REF!,#REF!,#REF!,#REF!,#REF!,#REF!,#REF!</definedName>
    <definedName name="__APW_RESTORE_DATA421__">#REF!,#REF!,#REF!,#REF!,#REF!,#REF!,#REF!,#REF!,#REF!,#REF!,#REF!,#REF!,#REF!,#REF!,#REF!</definedName>
    <definedName name="__APW_RESTORE_DATA422__">#REF!,#REF!,#REF!,#REF!,#REF!,#REF!,#REF!,#REF!,#REF!,#REF!,#REF!,#REF!,#REF!,#REF!,#REF!</definedName>
    <definedName name="__APW_RESTORE_DATA423__">#REF!,#REF!,#REF!,#REF!,#REF!,#REF!,#REF!,#REF!,#REF!,#REF!,#REF!,#REF!,#REF!,#REF!,#REF!</definedName>
    <definedName name="__APW_RESTORE_DATA424__">#REF!,#REF!,#REF!,#REF!,#REF!,#REF!,#REF!,#REF!,#REF!,#REF!,#REF!,#REF!,#REF!,#REF!,#REF!</definedName>
    <definedName name="__APW_RESTORE_DATA425__">#REF!,#REF!,#REF!,#REF!,#REF!,#REF!,#REF!,#REF!,#REF!,#REF!,#REF!,#REF!,#REF!,#REF!,#REF!</definedName>
    <definedName name="__APW_RESTORE_DATA426__">#REF!,#REF!,#REF!,#REF!,#REF!,#REF!,#REF!,#REF!,#REF!,#REF!,#REF!,#REF!,#REF!,#REF!,#REF!</definedName>
    <definedName name="__APW_RESTORE_DATA427__">#REF!,#REF!,#REF!,#REF!,#REF!,#REF!,#REF!,#REF!,#REF!,#REF!,#REF!,#REF!,#REF!,#REF!,#REF!</definedName>
    <definedName name="__APW_RESTORE_DATA428__">#REF!,#REF!,#REF!,#REF!,#REF!,#REF!,#REF!,#REF!,#REF!,#REF!,#REF!,#REF!,#REF!,#REF!,#REF!</definedName>
    <definedName name="__APW_RESTORE_DATA429__">#REF!,#REF!,#REF!,#REF!,#REF!,#REF!,#REF!,#REF!,#REF!,#REF!,#REF!,#REF!,#REF!,#REF!,#REF!</definedName>
    <definedName name="__APW_RESTORE_DATA43__">#REF!,#REF!,#REF!,#REF!,#REF!,#REF!,#REF!,#REF!,#REF!,#REF!,#REF!,#REF!,#REF!,#REF!,#REF!</definedName>
    <definedName name="__APW_RESTORE_DATA430__">#REF!,#REF!</definedName>
    <definedName name="__APW_RESTORE_DATA431__">#REF!,#REF!</definedName>
    <definedName name="__APW_RESTORE_DATA432__">#REF!,#REF!,#REF!,#REF!,#REF!,#REF!</definedName>
    <definedName name="__APW_RESTORE_DATA433__">#REF!</definedName>
    <definedName name="__APW_RESTORE_DATA434__">#REF!</definedName>
    <definedName name="__APW_RESTORE_DATA435__">#REF!</definedName>
    <definedName name="__APW_RESTORE_DATA436__">#REF!,#REF!,#REF!,#REF!,#REF!,#REF!,#REF!,#REF!,#REF!,#REF!,#REF!,#REF!,#REF!,#REF!,#REF!,#REF!</definedName>
    <definedName name="__APW_RESTORE_DATA437__">#REF!,#REF!,#REF!,#REF!,#REF!,#REF!,#REF!,#REF!,#REF!,#REF!,#REF!,#REF!,#REF!,#REF!,#REF!,#REF!</definedName>
    <definedName name="__APW_RESTORE_DATA438__">#REF!,#REF!,#REF!,#REF!,#REF!,#REF!,#REF!,#REF!,#REF!,#REF!,#REF!,#REF!,#REF!,#REF!,#REF!,#REF!</definedName>
    <definedName name="__APW_RESTORE_DATA439__">#REF!,#REF!,#REF!,#REF!,#REF!,#REF!,#REF!,#REF!,#REF!,#REF!,#REF!,#REF!,#REF!,#REF!,#REF!,#REF!</definedName>
    <definedName name="__APW_RESTORE_DATA44__">#REF!,#REF!,#REF!,#REF!,#REF!,#REF!,#REF!,#REF!,#REF!,#REF!,#REF!,#REF!,#REF!,#REF!,#REF!,#REF!</definedName>
    <definedName name="__APW_RESTORE_DATA440__">#REF!,#REF!,#REF!,#REF!,#REF!,#REF!,#REF!,#REF!,#REF!,#REF!,#REF!,#REF!,#REF!,#REF!,#REF!,#REF!</definedName>
    <definedName name="__APW_RESTORE_DATA441__">#REF!,#REF!,#REF!,#REF!,#REF!,#REF!,#REF!,#REF!,#REF!,#REF!,#REF!,#REF!,#REF!,#REF!,#REF!,#REF!</definedName>
    <definedName name="__APW_RESTORE_DATA442__">#REF!,#REF!,#REF!,#REF!,#REF!,#REF!,#REF!,#REF!,#REF!,#REF!,#REF!,#REF!,#REF!,#REF!,#REF!</definedName>
    <definedName name="__APW_RESTORE_DATA443__">#REF!,#REF!,#REF!,#REF!,#REF!,#REF!,#REF!,#REF!,#REF!,#REF!,#REF!,#REF!,#REF!,#REF!,#REF!</definedName>
    <definedName name="__APW_RESTORE_DATA444__">#REF!,#REF!</definedName>
    <definedName name="__APW_RESTORE_DATA445__">#REF!,#REF!,#REF!,#REF!,#REF!,#REF!,#REF!,#REF!,#REF!,#REF!,#REF!,#REF!,#REF!,#REF!,#REF!</definedName>
    <definedName name="__APW_RESTORE_DATA446__">#REF!,#REF!,#REF!,#REF!,#REF!,#REF!,#REF!,#REF!,#REF!,#REF!,#REF!,#REF!,#REF!,#REF!,#REF!</definedName>
    <definedName name="__APW_RESTORE_DATA447__">#REF!,#REF!,#REF!,#REF!,#REF!,#REF!,#REF!,#REF!,#REF!,#REF!,#REF!,#REF!,#REF!,#REF!,#REF!</definedName>
    <definedName name="__APW_RESTORE_DATA448__">#REF!,#REF!,#REF!,#REF!,#REF!,#REF!,#REF!,#REF!,#REF!,#REF!,#REF!,#REF!,#REF!,#REF!,#REF!</definedName>
    <definedName name="__APW_RESTORE_DATA449__">#REF!,#REF!</definedName>
    <definedName name="__APW_RESTORE_DATA45__">#REF!,#REF!,#REF!,#REF!,#REF!,#REF!,#REF!,#REF!,#REF!,#REF!,#REF!,#REF!,#REF!,#REF!,#REF!</definedName>
    <definedName name="__APW_RESTORE_DATA450__">#REF!,#REF!,#REF!,#REF!,#REF!,#REF!,#REF!,#REF!,#REF!,#REF!,#REF!,#REF!,#REF!,#REF!,#REF!</definedName>
    <definedName name="__APW_RESTORE_DATA451__">#REF!,#REF!,#REF!,#REF!,#REF!,#REF!,#REF!,#REF!,#REF!,#REF!,#REF!,#REF!,#REF!,#REF!,#REF!</definedName>
    <definedName name="__APW_RESTORE_DATA452__">#REF!,#REF!,#REF!,#REF!,#REF!,#REF!,#REF!,#REF!,#REF!,#REF!,#REF!,#REF!,#REF!,#REF!,#REF!</definedName>
    <definedName name="__APW_RESTORE_DATA453__">#REF!,#REF!,#REF!,#REF!,#REF!,#REF!,#REF!,#REF!,#REF!,#REF!,#REF!,#REF!,#REF!,#REF!,#REF!</definedName>
    <definedName name="__APW_RESTORE_DATA454__">#REF!,#REF!</definedName>
    <definedName name="__APW_RESTORE_DATA455__">#REF!,#REF!,#REF!,#REF!,#REF!,#REF!,#REF!,#REF!,#REF!,#REF!,#REF!,#REF!,#REF!,#REF!,#REF!</definedName>
    <definedName name="__APW_RESTORE_DATA456__">#REF!,#REF!,#REF!,#REF!,#REF!,#REF!,#REF!,#REF!,#REF!,#REF!,#REF!,#REF!,#REF!,#REF!,#REF!</definedName>
    <definedName name="__APW_RESTORE_DATA457__">#REF!,#REF!,#REF!,#REF!,#REF!,#REF!,#REF!,#REF!,#REF!,#REF!,#REF!,#REF!,#REF!,#REF!,#REF!</definedName>
    <definedName name="__APW_RESTORE_DATA458__">#REF!,#REF!,#REF!,#REF!,#REF!,#REF!,#REF!,#REF!,#REF!,#REF!,#REF!,#REF!,#REF!,#REF!,#REF!</definedName>
    <definedName name="__APW_RESTORE_DATA459__">#REF!,#REF!,#REF!,#REF!,#REF!,#REF!,#REF!,#REF!,#REF!,#REF!,#REF!,#REF!,#REF!,#REF!,#REF!</definedName>
    <definedName name="__APW_RESTORE_DATA46__">#REF!</definedName>
    <definedName name="__APW_RESTORE_DATA460__">#REF!,#REF!,#REF!,#REF!,#REF!,#REF!,#REF!,#REF!,#REF!,#REF!,#REF!,#REF!,#REF!,#REF!,#REF!</definedName>
    <definedName name="__APW_RESTORE_DATA461__">#REF!,#REF!,#REF!,#REF!,#REF!,#REF!,#REF!,#REF!,#REF!,#REF!,#REF!,#REF!,#REF!,#REF!,#REF!</definedName>
    <definedName name="__APW_RESTORE_DATA462__">#REF!,#REF!,#REF!,#REF!,#REF!,#REF!,#REF!,#REF!,#REF!,#REF!,#REF!,#REF!,#REF!,#REF!,#REF!</definedName>
    <definedName name="__APW_RESTORE_DATA463__">#REF!,#REF!,#REF!,#REF!,#REF!,#REF!,#REF!,#REF!,#REF!,#REF!,#REF!,#REF!,#REF!,#REF!,#REF!</definedName>
    <definedName name="__APW_RESTORE_DATA464__">#REF!,#REF!,#REF!,#REF!,#REF!,#REF!,#REF!,#REF!,#REF!,#REF!,#REF!,#REF!,#REF!,#REF!,#REF!</definedName>
    <definedName name="__APW_RESTORE_DATA465__">#REF!,#REF!,#REF!,#REF!,#REF!,#REF!,#REF!,#REF!,#REF!,#REF!,#REF!,#REF!,#REF!,#REF!,#REF!</definedName>
    <definedName name="__APW_RESTORE_DATA466__">#REF!,#REF!,#REF!,#REF!,#REF!,#REF!,#REF!,#REF!,#REF!,#REF!,#REF!,#REF!,#REF!,#REF!,#REF!</definedName>
    <definedName name="__APW_RESTORE_DATA467__">#REF!,#REF!,#REF!,#REF!,#REF!,#REF!,#REF!,#REF!,#REF!,#REF!,#REF!,#REF!,#REF!,#REF!,#REF!</definedName>
    <definedName name="__APW_RESTORE_DATA468__">#REF!,#REF!,#REF!,#REF!,#REF!,#REF!,#REF!,#REF!,#REF!,#REF!,#REF!,#REF!,#REF!,#REF!,#REF!</definedName>
    <definedName name="__APW_RESTORE_DATA469__">#REF!,#REF!</definedName>
    <definedName name="__APW_RESTORE_DATA47__">#REF!</definedName>
    <definedName name="__APW_RESTORE_DATA470__">#REF!,#REF!</definedName>
    <definedName name="__APW_RESTORE_DATA471__">#REF!,#REF!,#REF!,#REF!,#REF!,#REF!,#REF!,#REF!,#REF!,#REF!,#REF!,#REF!,#REF!,#REF!,#REF!,#REF!</definedName>
    <definedName name="__APW_RESTORE_DATA472__">#REF!,#REF!,#REF!,#REF!,#REF!,#REF!,#REF!,#REF!,#REF!,#REF!,#REF!,#REF!,#REF!,#REF!,#REF!,#REF!</definedName>
    <definedName name="__APW_RESTORE_DATA473__">#REF!,#REF!,#REF!,#REF!,#REF!,#REF!,#REF!,#REF!,#REF!,#REF!,#REF!,#REF!,#REF!,#REF!,#REF!,#REF!</definedName>
    <definedName name="__APW_RESTORE_DATA474__">#REF!,#REF!,#REF!,#REF!,#REF!,#REF!,#REF!,#REF!,#REF!,#REF!,#REF!,#REF!,#REF!,#REF!,#REF!,#REF!</definedName>
    <definedName name="__APW_RESTORE_DATA475__">#REF!,#REF!,#REF!,#REF!,#REF!,#REF!,#REF!,#REF!,#REF!,#REF!,#REF!,#REF!,#REF!,#REF!,#REF!,#REF!</definedName>
    <definedName name="__APW_RESTORE_DATA476__">#REF!,#REF!,#REF!,#REF!,#REF!,#REF!,#REF!,#REF!,#REF!,#REF!,#REF!,#REF!,#REF!,#REF!,#REF!,#REF!</definedName>
    <definedName name="__APW_RESTORE_DATA477__">#REF!,#REF!,#REF!,#REF!,#REF!,#REF!,#REF!,#REF!,#REF!,#REF!,#REF!,#REF!,#REF!,#REF!,#REF!</definedName>
    <definedName name="__APW_RESTORE_DATA478__">#REF!,#REF!,#REF!,#REF!,#REF!,#REF!,#REF!,#REF!,#REF!,#REF!,#REF!,#REF!,#REF!,#REF!,#REF!</definedName>
    <definedName name="__APW_RESTORE_DATA479__">#REF!,#REF!,#REF!,#REF!,#REF!,#REF!,#REF!,#REF!,#REF!,#REF!,#REF!,#REF!,#REF!,#REF!,#REF!</definedName>
    <definedName name="__APW_RESTORE_DATA48__">#REF!,#REF!,#REF!,#REF!,#REF!,#REF!,#REF!,#REF!,#REF!,#REF!,#REF!,#REF!,#REF!,#REF!,#REF!,#REF!</definedName>
    <definedName name="__APW_RESTORE_DATA480__">#REF!,#REF!,#REF!,#REF!,#REF!,#REF!,#REF!,#REF!,#REF!,#REF!,#REF!,#REF!,#REF!,#REF!,#REF!</definedName>
    <definedName name="__APW_RESTORE_DATA481__">#REF!,#REF!,#REF!,#REF!,#REF!,#REF!,#REF!,#REF!,#REF!,#REF!,#REF!,#REF!,#REF!,#REF!,#REF!</definedName>
    <definedName name="__APW_RESTORE_DATA482__">#REF!,#REF!,#REF!,#REF!,#REF!,#REF!,#REF!,#REF!,#REF!,#REF!,#REF!,#REF!,#REF!,#REF!,#REF!</definedName>
    <definedName name="__APW_RESTORE_DATA483__">#REF!,#REF!</definedName>
    <definedName name="__APW_RESTORE_DATA484__">#REF!,#REF!,#REF!,#REF!,#REF!,#REF!,#REF!,#REF!,#REF!,#REF!,#REF!,#REF!,#REF!,#REF!,#REF!</definedName>
    <definedName name="__APW_RESTORE_DATA485__">#REF!,#REF!,#REF!,#REF!,#REF!,#REF!,#REF!,#REF!,#REF!,#REF!,#REF!,#REF!,#REF!,#REF!,#REF!</definedName>
    <definedName name="__APW_RESTORE_DATA486__">#REF!,#REF!,#REF!,#REF!,#REF!,#REF!,#REF!,#REF!,#REF!,#REF!,#REF!,#REF!,#REF!,#REF!,#REF!</definedName>
    <definedName name="__APW_RESTORE_DATA487__">#REF!,#REF!,#REF!,#REF!,#REF!,#REF!,#REF!,#REF!,#REF!,#REF!,#REF!,#REF!,#REF!,#REF!,#REF!</definedName>
    <definedName name="__APW_RESTORE_DATA488__">#REF!,#REF!</definedName>
    <definedName name="__APW_RESTORE_DATA489__">#REF!,#REF!,#REF!,#REF!,#REF!,#REF!,#REF!,#REF!,#REF!,#REF!,#REF!,#REF!,#REF!,#REF!,#REF!</definedName>
    <definedName name="__APW_RESTORE_DATA49__">#REF!,#REF!,#REF!,#REF!,#REF!,#REF!,#REF!,#REF!,#REF!,#REF!,#REF!,#REF!,#REF!,#REF!,#REF!</definedName>
    <definedName name="__APW_RESTORE_DATA490__">#REF!,#REF!,#REF!,#REF!,#REF!,#REF!,#REF!,#REF!,#REF!,#REF!,#REF!,#REF!,#REF!,#REF!,#REF!</definedName>
    <definedName name="__APW_RESTORE_DATA491__">#REF!,#REF!,#REF!,#REF!,#REF!,#REF!,#REF!,#REF!,#REF!,#REF!,#REF!,#REF!,#REF!,#REF!,#REF!</definedName>
    <definedName name="__APW_RESTORE_DATA492__">#REF!,#REF!,#REF!,#REF!,#REF!,#REF!,#REF!,#REF!,#REF!,#REF!,#REF!,#REF!,#REF!,#REF!,#REF!</definedName>
    <definedName name="__APW_RESTORE_DATA493__">#REF!,#REF!</definedName>
    <definedName name="__APW_RESTORE_DATA494__">#REF!,#REF!,#REF!,#REF!,#REF!,#REF!,#REF!,#REF!,#REF!,#REF!,#REF!,#REF!,#REF!,#REF!,#REF!</definedName>
    <definedName name="__APW_RESTORE_DATA495__">#REF!,#REF!,#REF!,#REF!,#REF!,#REF!,#REF!,#REF!,#REF!,#REF!,#REF!,#REF!,#REF!,#REF!,#REF!</definedName>
    <definedName name="__APW_RESTORE_DATA496__">#REF!,#REF!,#REF!,#REF!,#REF!,#REF!,#REF!,#REF!,#REF!,#REF!,#REF!,#REF!,#REF!,#REF!,#REF!</definedName>
    <definedName name="__APW_RESTORE_DATA497__">#REF!,#REF!,#REF!,#REF!,#REF!,#REF!,#REF!,#REF!,#REF!,#REF!,#REF!,#REF!,#REF!,#REF!,#REF!</definedName>
    <definedName name="__APW_RESTORE_DATA498__">#REF!,#REF!,#REF!,#REF!,#REF!,#REF!,#REF!,#REF!,#REF!,#REF!,#REF!,#REF!,#REF!,#REF!,#REF!</definedName>
    <definedName name="__APW_RESTORE_DATA499__">#REF!,#REF!,#REF!,#REF!,#REF!,#REF!,#REF!,#REF!,#REF!,#REF!,#REF!,#REF!,#REF!,#REF!,#REF!</definedName>
    <definedName name="__APW_RESTORE_DATA5__">#REF!</definedName>
    <definedName name="__APW_RESTORE_DATA50__">#REF!,#REF!,#REF!,#REF!,#REF!,#REF!,#REF!,#REF!,#REF!,#REF!,#REF!,#REF!,#REF!,#REF!,#REF!,#REF!</definedName>
    <definedName name="__APW_RESTORE_DATA500__">#REF!,#REF!,#REF!,#REF!,#REF!,#REF!,#REF!,#REF!,#REF!,#REF!,#REF!,#REF!,#REF!,#REF!,#REF!</definedName>
    <definedName name="__APW_RESTORE_DATA501__">#REF!,#REF!,#REF!,#REF!,#REF!,#REF!,#REF!,#REF!,#REF!,#REF!,#REF!,#REF!,#REF!,#REF!,#REF!</definedName>
    <definedName name="__APW_RESTORE_DATA502__">#REF!,#REF!,#REF!,#REF!,#REF!,#REF!,#REF!,#REF!,#REF!,#REF!,#REF!,#REF!,#REF!,#REF!,#REF!</definedName>
    <definedName name="__APW_RESTORE_DATA503__">#REF!,#REF!,#REF!,#REF!,#REF!,#REF!,#REF!,#REF!,#REF!,#REF!,#REF!,#REF!,#REF!,#REF!,#REF!</definedName>
    <definedName name="__APW_RESTORE_DATA504__">#REF!,#REF!,#REF!,#REF!,#REF!,#REF!,#REF!,#REF!,#REF!,#REF!,#REF!,#REF!,#REF!,#REF!,#REF!</definedName>
    <definedName name="__APW_RESTORE_DATA505__">#REF!,#REF!,#REF!,#REF!,#REF!,#REF!</definedName>
    <definedName name="__APW_RESTORE_DATA506__">#REF!,#REF!,#REF!,#REF!,#REF!,#REF!,#REF!,#REF!,#REF!,#REF!,#REF!,#REF!,#REF!,#REF!,#REF!,#REF!</definedName>
    <definedName name="__APW_RESTORE_DATA507__">#REF!,#REF!,#REF!,#REF!,#REF!,#REF!,#REF!,#REF!,#REF!,#REF!,#REF!,#REF!,#REF!,#REF!,#REF!,#REF!</definedName>
    <definedName name="__APW_RESTORE_DATA508__">#REF!,#REF!</definedName>
    <definedName name="__APW_RESTORE_DATA509__">#REF!,#REF!</definedName>
    <definedName name="__APW_RESTORE_DATA51__">#REF!,#REF!,#REF!,#REF!,#REF!,#REF!,#REF!,#REF!,#REF!,#REF!,#REF!,#REF!,#REF!,#REF!,#REF!</definedName>
    <definedName name="__APW_RESTORE_DATA510__">#REF!,#REF!,#REF!,#REF!,#REF!,#REF!,#REF!,#REF!,#REF!,#REF!,#REF!,#REF!,#REF!,#REF!,#REF!,#REF!</definedName>
    <definedName name="__APW_RESTORE_DATA511__">#REF!,#REF!,#REF!,#REF!,#REF!,#REF!,#REF!,#REF!,#REF!,#REF!,#REF!,#REF!,#REF!,#REF!,#REF!,#REF!</definedName>
    <definedName name="__APW_RESTORE_DATA512__">#REF!,#REF!,#REF!,#REF!,#REF!,#REF!,#REF!,#REF!,#REF!,#REF!,#REF!,#REF!,#REF!,#REF!,#REF!</definedName>
    <definedName name="__APW_RESTORE_DATA513__">#REF!,#REF!,#REF!,#REF!,#REF!,#REF!,#REF!,#REF!,#REF!,#REF!,#REF!,#REF!,#REF!,#REF!,#REF!</definedName>
    <definedName name="__APW_RESTORE_DATA514__">#REF!,#REF!,#REF!,#REF!,#REF!,#REF!,#REF!,#REF!,#REF!,#REF!,#REF!,#REF!,#REF!,#REF!,#REF!</definedName>
    <definedName name="__APW_RESTORE_DATA515__">#REF!,#REF!,#REF!,#REF!,#REF!,#REF!,#REF!,#REF!,#REF!,#REF!,#REF!,#REF!,#REF!,#REF!,#REF!</definedName>
    <definedName name="__APW_RESTORE_DATA516__">#REF!,#REF!,#REF!,#REF!,#REF!,#REF!,#REF!,#REF!,#REF!,#REF!,#REF!,#REF!,#REF!,#REF!,#REF!</definedName>
    <definedName name="__APW_RESTORE_DATA517__">#REF!,#REF!,#REF!,#REF!,#REF!,#REF!,#REF!,#REF!,#REF!,#REF!,#REF!,#REF!,#REF!,#REF!,#REF!</definedName>
    <definedName name="__APW_RESTORE_DATA518__">#REF!,#REF!,#REF!,#REF!,#REF!,#REF!,#REF!,#REF!,#REF!,#REF!,#REF!,#REF!,#REF!,#REF!,#REF!</definedName>
    <definedName name="__APW_RESTORE_DATA519__">#REF!,#REF!,#REF!,#REF!,#REF!,#REF!,#REF!,#REF!,#REF!,#REF!,#REF!,#REF!,#REF!,#REF!,#REF!</definedName>
    <definedName name="__APW_RESTORE_DATA52__">#REF!,#REF!,#REF!,#REF!,#REF!,#REF!,#REF!,#REF!,#REF!,#REF!,#REF!,#REF!,#REF!,#REF!,#REF!,#REF!</definedName>
    <definedName name="__APW_RESTORE_DATA520__">#REF!,#REF!,#REF!,#REF!,#REF!,#REF!,#REF!,#REF!,#REF!,#REF!,#REF!,#REF!,#REF!,#REF!,#REF!</definedName>
    <definedName name="__APW_RESTORE_DATA521__">#REF!,#REF!,#REF!,#REF!,#REF!,#REF!,#REF!,#REF!,#REF!,#REF!,#REF!,#REF!,#REF!,#REF!,#REF!</definedName>
    <definedName name="__APW_RESTORE_DATA522__">#REF!,#REF!</definedName>
    <definedName name="__APW_RESTORE_DATA523__">#REF!,#REF!,#REF!,#REF!,#REF!,#REF!,#REF!,#REF!,#REF!,#REF!,#REF!,#REF!,#REF!,#REF!,#REF!</definedName>
    <definedName name="__APW_RESTORE_DATA524__">#REF!,#REF!,#REF!,#REF!,#REF!,#REF!,#REF!,#REF!,#REF!,#REF!,#REF!,#REF!,#REF!,#REF!,#REF!</definedName>
    <definedName name="__APW_RESTORE_DATA525__">#REF!,#REF!,#REF!,#REF!,#REF!,#REF!,#REF!,#REF!,#REF!,#REF!,#REF!,#REF!,#REF!,#REF!,#REF!</definedName>
    <definedName name="__APW_RESTORE_DATA526__">#REF!,#REF!,#REF!,#REF!,#REF!,#REF!,#REF!,#REF!,#REF!,#REF!,#REF!,#REF!,#REF!,#REF!,#REF!</definedName>
    <definedName name="__APW_RESTORE_DATA527__">#REF!,#REF!</definedName>
    <definedName name="__APW_RESTORE_DATA528__">#REF!,#REF!,#REF!,#REF!,#REF!,#REF!,#REF!,#REF!,#REF!,#REF!,#REF!,#REF!,#REF!,#REF!,#REF!</definedName>
    <definedName name="__APW_RESTORE_DATA529__">#REF!,#REF!,#REF!,#REF!,#REF!,#REF!,#REF!,#REF!,#REF!,#REF!,#REF!,#REF!,#REF!,#REF!,#REF!</definedName>
    <definedName name="__APW_RESTORE_DATA53__">#REF!,#REF!,#REF!,#REF!,#REF!,#REF!,#REF!,#REF!,#REF!,#REF!,#REF!,#REF!,#REF!,#REF!,#REF!</definedName>
    <definedName name="__APW_RESTORE_DATA530__">#REF!,#REF!,#REF!,#REF!,#REF!,#REF!,#REF!,#REF!,#REF!,#REF!,#REF!,#REF!,#REF!,#REF!,#REF!</definedName>
    <definedName name="__APW_RESTORE_DATA531__">#REF!,#REF!,#REF!,#REF!,#REF!,#REF!,#REF!,#REF!,#REF!,#REF!,#REF!,#REF!,#REF!,#REF!,#REF!</definedName>
    <definedName name="__APW_RESTORE_DATA532__">#REF!,#REF!</definedName>
    <definedName name="__APW_RESTORE_DATA533__">#REF!,#REF!,#REF!,#REF!,#REF!,#REF!,#REF!,#REF!,#REF!,#REF!,#REF!,#REF!,#REF!,#REF!,#REF!</definedName>
    <definedName name="__APW_RESTORE_DATA534__">#REF!,#REF!,#REF!,#REF!,#REF!,#REF!,#REF!,#REF!,#REF!,#REF!,#REF!,#REF!,#REF!,#REF!,#REF!</definedName>
    <definedName name="__APW_RESTORE_DATA535__">#REF!,#REF!,#REF!,#REF!,#REF!,#REF!,#REF!,#REF!,#REF!,#REF!,#REF!,#REF!,#REF!,#REF!,#REF!</definedName>
    <definedName name="__APW_RESTORE_DATA536__">#REF!,#REF!,#REF!,#REF!,#REF!,#REF!,#REF!,#REF!,#REF!,#REF!,#REF!,#REF!,#REF!,#REF!,#REF!</definedName>
    <definedName name="__APW_RESTORE_DATA537__">#REF!,#REF!,#REF!,#REF!,#REF!,#REF!,#REF!,#REF!,#REF!,#REF!,#REF!,#REF!,#REF!,#REF!,#REF!</definedName>
    <definedName name="__APW_RESTORE_DATA538__">#REF!,#REF!,#REF!,#REF!,#REF!,#REF!,#REF!,#REF!,#REF!,#REF!,#REF!,#REF!,#REF!,#REF!,#REF!</definedName>
    <definedName name="__APW_RESTORE_DATA539__">#REF!,#REF!,#REF!,#REF!,#REF!,#REF!,#REF!,#REF!,#REF!,#REF!,#REF!,#REF!,#REF!,#REF!,#REF!</definedName>
    <definedName name="__APW_RESTORE_DATA54__">#REF!</definedName>
    <definedName name="__APW_RESTORE_DATA540__">#REF!,#REF!,#REF!,#REF!,#REF!,#REF!</definedName>
    <definedName name="__APW_RESTORE_DATA541__">#REF!,#REF!,#REF!,#REF!,#REF!,#REF!,#REF!,#REF!,#REF!,#REF!,#REF!,#REF!,#REF!,#REF!,#REF!,#REF!</definedName>
    <definedName name="__APW_RESTORE_DATA542__">#REF!,#REF!,#REF!,#REF!,#REF!,#REF!,#REF!,#REF!,#REF!,#REF!,#REF!,#REF!,#REF!,#REF!,#REF!,#REF!</definedName>
    <definedName name="__APW_RESTORE_DATA543__">#REF!,#REF!,#REF!,#REF!,#REF!,#REF!,#REF!,#REF!,#REF!,#REF!,#REF!,#REF!,#REF!,#REF!,#REF!,#REF!</definedName>
    <definedName name="__APW_RESTORE_DATA544__">#REF!,#REF!,#REF!,#REF!,#REF!,#REF!,#REF!,#REF!,#REF!,#REF!,#REF!,#REF!,#REF!,#REF!,#REF!,#REF!</definedName>
    <definedName name="__APW_RESTORE_DATA545__">#REF!,#REF!,#REF!,#REF!,#REF!,#REF!,#REF!,#REF!,#REF!,#REF!,#REF!,#REF!,#REF!,#REF!,#REF!,#REF!</definedName>
    <definedName name="__APW_RESTORE_DATA546__">#REF!,#REF!,#REF!,#REF!,#REF!,#REF!,#REF!,#REF!,#REF!,#REF!,#REF!,#REF!,#REF!,#REF!,#REF!,#REF!</definedName>
    <definedName name="__APW_RESTORE_DATA547__">#REF!,#REF!</definedName>
    <definedName name="__APW_RESTORE_DATA548__">#REF!,#REF!</definedName>
    <definedName name="__APW_RESTORE_DATA549__">#REF!,#REF!,#REF!,#REF!,#REF!,#REF!,#REF!,#REF!,#REF!,#REF!,#REF!,#REF!,#REF!,#REF!,#REF!</definedName>
    <definedName name="__APW_RESTORE_DATA55__">#REF!</definedName>
    <definedName name="__APW_RESTORE_DATA550__">#REF!,#REF!,#REF!,#REF!,#REF!,#REF!,#REF!,#REF!,#REF!,#REF!,#REF!,#REF!,#REF!,#REF!,#REF!</definedName>
    <definedName name="__APW_RESTORE_DATA551__">#REF!,#REF!,#REF!,#REF!,#REF!,#REF!,#REF!,#REF!,#REF!,#REF!,#REF!,#REF!,#REF!,#REF!,#REF!</definedName>
    <definedName name="__APW_RESTORE_DATA552__">#REF!,#REF!,#REF!,#REF!,#REF!,#REF!,#REF!,#REF!,#REF!,#REF!,#REF!,#REF!,#REF!,#REF!,#REF!</definedName>
    <definedName name="__APW_RESTORE_DATA553__">#REF!,#REF!,#REF!,#REF!,#REF!,#REF!,#REF!,#REF!,#REF!,#REF!,#REF!,#REF!,#REF!,#REF!,#REF!</definedName>
    <definedName name="__APW_RESTORE_DATA554__">#REF!,#REF!,#REF!,#REF!,#REF!,#REF!,#REF!,#REF!,#REF!,#REF!,#REF!,#REF!,#REF!,#REF!,#REF!</definedName>
    <definedName name="__APW_RESTORE_DATA555__">#REF!,#REF!,#REF!,#REF!,#REF!,#REF!,#REF!,#REF!,#REF!,#REF!,#REF!,#REF!,#REF!,#REF!,#REF!</definedName>
    <definedName name="__APW_RESTORE_DATA556__">#REF!,#REF!,#REF!,#REF!,#REF!,#REF!,#REF!,#REF!,#REF!,#REF!,#REF!,#REF!,#REF!,#REF!,#REF!</definedName>
    <definedName name="__APW_RESTORE_DATA557__">#REF!,#REF!,#REF!,#REF!,#REF!,#REF!,#REF!,#REF!,#REF!,#REF!,#REF!,#REF!,#REF!,#REF!,#REF!</definedName>
    <definedName name="__APW_RESTORE_DATA558__">#REF!,#REF!,#REF!,#REF!,#REF!,#REF!,#REF!,#REF!,#REF!,#REF!,#REF!,#REF!,#REF!,#REF!,#REF!</definedName>
    <definedName name="__APW_RESTORE_DATA559__">#REF!,#REF!,#REF!,#REF!,#REF!,#REF!,#REF!,#REF!,#REF!,#REF!,#REF!,#REF!,#REF!,#REF!,#REF!</definedName>
    <definedName name="__APW_RESTORE_DATA56__">#REF!,#REF!,#REF!,#REF!,#REF!,#REF!,#REF!,#REF!,#REF!,#REF!,#REF!,#REF!,#REF!,#REF!,#REF!,#REF!</definedName>
    <definedName name="__APW_RESTORE_DATA560__">#REF!,#REF!,#REF!,#REF!,#REF!,#REF!,#REF!,#REF!,#REF!,#REF!,#REF!,#REF!,#REF!,#REF!,#REF!</definedName>
    <definedName name="__APW_RESTORE_DATA561__">#REF!,#REF!</definedName>
    <definedName name="__APW_RESTORE_DATA562__">#REF!,#REF!,#REF!,#REF!,#REF!,#REF!,#REF!,#REF!,#REF!,#REF!,#REF!,#REF!,#REF!,#REF!,#REF!</definedName>
    <definedName name="__APW_RESTORE_DATA563__">#REF!,#REF!,#REF!,#REF!,#REF!,#REF!,#REF!,#REF!,#REF!,#REF!,#REF!,#REF!,#REF!,#REF!,#REF!</definedName>
    <definedName name="__APW_RESTORE_DATA564__">#REF!,#REF!,#REF!,#REF!,#REF!,#REF!,#REF!,#REF!,#REF!,#REF!,#REF!,#REF!,#REF!,#REF!,#REF!</definedName>
    <definedName name="__APW_RESTORE_DATA565__">#REF!,#REF!,#REF!,#REF!,#REF!,#REF!,#REF!,#REF!,#REF!,#REF!,#REF!,#REF!,#REF!,#REF!,#REF!</definedName>
    <definedName name="__APW_RESTORE_DATA566__">#REF!,#REF!</definedName>
    <definedName name="__APW_RESTORE_DATA567__">#REF!,#REF!,#REF!,#REF!,#REF!,#REF!,#REF!,#REF!,#REF!,#REF!,#REF!,#REF!,#REF!,#REF!,#REF!</definedName>
    <definedName name="__APW_RESTORE_DATA568__">#REF!,#REF!,#REF!,#REF!,#REF!,#REF!,#REF!,#REF!,#REF!,#REF!,#REF!,#REF!,#REF!,#REF!,#REF!</definedName>
    <definedName name="__APW_RESTORE_DATA569__">#REF!,#REF!,#REF!,#REF!,#REF!,#REF!,#REF!,#REF!,#REF!,#REF!,#REF!,#REF!,#REF!,#REF!,#REF!</definedName>
    <definedName name="__APW_RESTORE_DATA57__">#REF!,#REF!,#REF!,#REF!,#REF!,#REF!,#REF!,#REF!,#REF!,#REF!,#REF!,#REF!,#REF!,#REF!,#REF!</definedName>
    <definedName name="__APW_RESTORE_DATA570__">#REF!,#REF!,#REF!,#REF!,#REF!,#REF!,#REF!,#REF!,#REF!,#REF!,#REF!,#REF!,#REF!,#REF!,#REF!</definedName>
    <definedName name="__APW_RESTORE_DATA571__">#REF!,#REF!</definedName>
    <definedName name="__APW_RESTORE_DATA572__">#REF!,#REF!,#REF!,#REF!,#REF!,#REF!,#REF!,#REF!,#REF!,#REF!,#REF!,#REF!,#REF!,#REF!,#REF!</definedName>
    <definedName name="__APW_RESTORE_DATA573__">#REF!,#REF!,#REF!,#REF!,#REF!,#REF!,#REF!,#REF!,#REF!,#REF!,#REF!,#REF!,#REF!,#REF!,#REF!</definedName>
    <definedName name="__APW_RESTORE_DATA574__">#REF!,#REF!,#REF!,#REF!,#REF!,#REF!,#REF!,#REF!,#REF!,#REF!,#REF!,#REF!,#REF!,#REF!,#REF!</definedName>
    <definedName name="__APW_RESTORE_DATA575__">#REF!,#REF!,#REF!,#REF!,#REF!,#REF!</definedName>
    <definedName name="__APW_RESTORE_DATA576__">#REF!</definedName>
    <definedName name="__APW_RESTORE_DATA577__">#REF!,#REF!,#REF!,#REF!,#REF!,#REF!,#REF!,#REF!,#REF!,#REF!,#REF!,#REF!,#REF!,#REF!,#REF!,#REF!</definedName>
    <definedName name="__APW_RESTORE_DATA578__">#REF!,#REF!,#REF!,#REF!,#REF!,#REF!,#REF!,#REF!,#REF!,#REF!,#REF!,#REF!,#REF!,#REF!,#REF!,#REF!</definedName>
    <definedName name="__APW_RESTORE_DATA579__">#REF!,#REF!,#REF!,#REF!,#REF!,#REF!,#REF!,#REF!,#REF!,#REF!,#REF!,#REF!,#REF!,#REF!,#REF!,#REF!</definedName>
    <definedName name="__APW_RESTORE_DATA58__">#REF!,#REF!,#REF!,#REF!,#REF!,#REF!,#REF!,#REF!,#REF!,#REF!,#REF!,#REF!,#REF!,#REF!,#REF!,#REF!</definedName>
    <definedName name="__APW_RESTORE_DATA580__">#REF!,#REF!,#REF!,#REF!,#REF!,#REF!,#REF!,#REF!,#REF!,#REF!,#REF!,#REF!,#REF!,#REF!,#REF!,#REF!</definedName>
    <definedName name="__APW_RESTORE_DATA581__">#REF!,#REF!,#REF!,#REF!,#REF!,#REF!,#REF!,#REF!,#REF!,#REF!,#REF!,#REF!,#REF!,#REF!,#REF!,#REF!</definedName>
    <definedName name="__APW_RESTORE_DATA582__">#REF!,#REF!,#REF!,#REF!,#REF!,#REF!,#REF!,#REF!,#REF!,#REF!,#REF!,#REF!,#REF!,#REF!,#REF!,#REF!</definedName>
    <definedName name="__APW_RESTORE_DATA583__">#REF!,#REF!,#REF!,#REF!,#REF!,#REF!,#REF!,#REF!,#REF!,#REF!,#REF!,#REF!,#REF!,#REF!,#REF!</definedName>
    <definedName name="__APW_RESTORE_DATA584__">#REF!,#REF!,#REF!,#REF!,#REF!,#REF!,#REF!,#REF!,#REF!,#REF!,#REF!,#REF!,#REF!,#REF!,#REF!</definedName>
    <definedName name="__APW_RESTORE_DATA585__">#REF!,#REF!,#REF!,#REF!,#REF!,#REF!,#REF!,#REF!,#REF!,#REF!,#REF!,#REF!,#REF!,#REF!,#REF!</definedName>
    <definedName name="__APW_RESTORE_DATA586__">#REF!,#REF!</definedName>
    <definedName name="__APW_RESTORE_DATA587__">#REF!,#REF!</definedName>
    <definedName name="__APW_RESTORE_DATA588__">#REF!,#REF!,#REF!,#REF!,#REF!,#REF!,#REF!,#REF!,#REF!,#REF!,#REF!,#REF!,#REF!,#REF!,#REF!</definedName>
    <definedName name="__APW_RESTORE_DATA589__">#REF!,#REF!,#REF!,#REF!,#REF!,#REF!,#REF!,#REF!,#REF!,#REF!,#REF!,#REF!,#REF!,#REF!,#REF!</definedName>
    <definedName name="__APW_RESTORE_DATA59__">#REF!,#REF!,#REF!,#REF!,#REF!,#REF!,#REF!,#REF!,#REF!,#REF!,#REF!,#REF!,#REF!,#REF!,#REF!</definedName>
    <definedName name="__APW_RESTORE_DATA590__">#REF!,#REF!,#REF!,#REF!,#REF!,#REF!,#REF!,#REF!,#REF!,#REF!,#REF!,#REF!,#REF!,#REF!,#REF!</definedName>
    <definedName name="__APW_RESTORE_DATA591__">#REF!,#REF!,#REF!,#REF!,#REF!,#REF!,#REF!,#REF!,#REF!,#REF!,#REF!,#REF!,#REF!,#REF!,#REF!</definedName>
    <definedName name="__APW_RESTORE_DATA592__">#REF!,#REF!,#REF!,#REF!,#REF!,#REF!,#REF!,#REF!,#REF!,#REF!,#REF!,#REF!,#REF!,#REF!,#REF!</definedName>
    <definedName name="__APW_RESTORE_DATA593__">#REF!,#REF!,#REF!,#REF!,#REF!,#REF!,#REF!,#REF!,#REF!,#REF!,#REF!,#REF!,#REF!,#REF!,#REF!</definedName>
    <definedName name="__APW_RESTORE_DATA594__">#REF!,#REF!,#REF!,#REF!,#REF!,#REF!,#REF!,#REF!,#REF!,#REF!,#REF!,#REF!,#REF!,#REF!,#REF!</definedName>
    <definedName name="__APW_RESTORE_DATA595__">#REF!,#REF!,#REF!,#REF!,#REF!,#REF!,#REF!,#REF!,#REF!,#REF!,#REF!,#REF!,#REF!,#REF!,#REF!</definedName>
    <definedName name="__APW_RESTORE_DATA596__">#REF!,#REF!,#REF!,#REF!,#REF!,#REF!,#REF!,#REF!,#REF!,#REF!,#REF!,#REF!,#REF!,#REF!,#REF!</definedName>
    <definedName name="__APW_RESTORE_DATA597__">#REF!,#REF!,#REF!,#REF!,#REF!,#REF!,#REF!,#REF!,#REF!,#REF!,#REF!,#REF!,#REF!,#REF!,#REF!</definedName>
    <definedName name="__APW_RESTORE_DATA598__">#REF!,#REF!,#REF!,#REF!,#REF!,#REF!,#REF!,#REF!,#REF!,#REF!,#REF!,#REF!,#REF!,#REF!,#REF!</definedName>
    <definedName name="__APW_RESTORE_DATA599__">#REF!,#REF!,#REF!,#REF!,#REF!,#REF!,#REF!,#REF!,#REF!,#REF!,#REF!,#REF!,#REF!,#REF!,#REF!</definedName>
    <definedName name="__APW_RESTORE_DATA6__">#REF!</definedName>
    <definedName name="__APW_RESTORE_DATA60__">#REF!,#REF!,#REF!,#REF!,#REF!,#REF!,#REF!,#REF!,#REF!,#REF!,#REF!,#REF!,#REF!,#REF!,#REF!,#REF!</definedName>
    <definedName name="__APW_RESTORE_DATA600__">#REF!,#REF!</definedName>
    <definedName name="__APW_RESTORE_DATA601__">#REF!,#REF!,#REF!,#REF!,#REF!,#REF!,#REF!,#REF!,#REF!,#REF!,#REF!,#REF!,#REF!,#REF!,#REF!</definedName>
    <definedName name="__APW_RESTORE_DATA602__">#REF!,#REF!,#REF!,#REF!,#REF!,#REF!,#REF!,#REF!,#REF!,#REF!,#REF!,#REF!,#REF!,#REF!,#REF!</definedName>
    <definedName name="__APW_RESTORE_DATA603__">#REF!,#REF!,#REF!,#REF!,#REF!,#REF!,#REF!,#REF!,#REF!,#REF!,#REF!,#REF!,#REF!,#REF!,#REF!</definedName>
    <definedName name="__APW_RESTORE_DATA604__">#REF!,#REF!,#REF!,#REF!,#REF!,#REF!,#REF!,#REF!,#REF!,#REF!,#REF!,#REF!,#REF!,#REF!,#REF!</definedName>
    <definedName name="__APW_RESTORE_DATA605__">#REF!,#REF!</definedName>
    <definedName name="__APW_RESTORE_DATA606__">#REF!,#REF!,#REF!,#REF!,#REF!,#REF!,#REF!,#REF!,#REF!,#REF!,#REF!,#REF!,#REF!,#REF!,#REF!</definedName>
    <definedName name="__APW_RESTORE_DATA607__">#REF!,#REF!,#REF!,#REF!,#REF!,#REF!,#REF!,#REF!,#REF!,#REF!,#REF!,#REF!,#REF!,#REF!,#REF!</definedName>
    <definedName name="__APW_RESTORE_DATA608__">#REF!,#REF!,#REF!,#REF!,#REF!,#REF!,#REF!,#REF!,#REF!,#REF!,#REF!,#REF!,#REF!,#REF!,#REF!</definedName>
    <definedName name="__APW_RESTORE_DATA609__">#REF!,#REF!,#REF!,#REF!,#REF!,#REF!,#REF!,#REF!,#REF!,#REF!,#REF!,#REF!,#REF!,#REF!,#REF!</definedName>
    <definedName name="__APW_RESTORE_DATA61__">#REF!,#REF!,#REF!,#REF!,#REF!,#REF!,#REF!,#REF!,#REF!,#REF!,#REF!,#REF!,#REF!,#REF!,#REF!</definedName>
    <definedName name="__APW_RESTORE_DATA610__">#REF!,#REF!</definedName>
    <definedName name="__APW_RESTORE_DATA611__">#REF!,#REF!,#REF!,#REF!,#REF!,#REF!</definedName>
    <definedName name="__APW_RESTORE_DATA612__">#REF!,#REF!,#REF!,#REF!,#REF!,#REF!,#REF!,#REF!,#REF!,#REF!,#REF!,#REF!,#REF!,#REF!,#REF!,#REF!</definedName>
    <definedName name="__APW_RESTORE_DATA613__">#REF!,#REF!,#REF!,#REF!,#REF!,#REF!,#REF!,#REF!,#REF!,#REF!,#REF!,#REF!,#REF!,#REF!,#REF!,#REF!</definedName>
    <definedName name="__APW_RESTORE_DATA614__">#REF!,#REF!,#REF!,#REF!,#REF!,#REF!,#REF!,#REF!,#REF!,#REF!,#REF!,#REF!,#REF!,#REF!,#REF!,#REF!</definedName>
    <definedName name="__APW_RESTORE_DATA615__">#REF!,#REF!,#REF!,#REF!,#REF!,#REF!,#REF!,#REF!,#REF!,#REF!,#REF!,#REF!,#REF!,#REF!,#REF!,#REF!</definedName>
    <definedName name="__APW_RESTORE_DATA616__">#REF!,#REF!,#REF!,#REF!,#REF!,#REF!,#REF!,#REF!,#REF!,#REF!,#REF!,#REF!,#REF!,#REF!,#REF!,#REF!</definedName>
    <definedName name="__APW_RESTORE_DATA617__">#REF!,#REF!,#REF!,#REF!,#REF!,#REF!,#REF!,#REF!,#REF!,#REF!,#REF!,#REF!,#REF!,#REF!,#REF!,#REF!</definedName>
    <definedName name="__APW_RESTORE_DATA618__">#REF!,#REF!,#REF!,#REF!,#REF!,#REF!,#REF!,#REF!,#REF!,#REF!,#REF!,#REF!,#REF!,#REF!,#REF!</definedName>
    <definedName name="__APW_RESTORE_DATA619__">#REF!,#REF!,#REF!,#REF!,#REF!,#REF!,#REF!,#REF!,#REF!,#REF!,#REF!,#REF!,#REF!,#REF!,#REF!</definedName>
    <definedName name="__APW_RESTORE_DATA62__">#REF!,#REF!,#REF!,#REF!,#REF!,#REF!,#REF!,#REF!,#REF!,#REF!,#REF!,#REF!,#REF!,#REF!,#REF!</definedName>
    <definedName name="__APW_RESTORE_DATA620__">#REF!,#REF!,#REF!,#REF!,#REF!,#REF!,#REF!,#REF!,#REF!,#REF!,#REF!,#REF!,#REF!,#REF!,#REF!</definedName>
    <definedName name="__APW_RESTORE_DATA621__">#REF!,#REF!,#REF!,#REF!,#REF!,#REF!,#REF!,#REF!,#REF!,#REF!,#REF!,#REF!,#REF!,#REF!,#REF!</definedName>
    <definedName name="__APW_RESTORE_DATA622__">#REF!,#REF!,#REF!,#REF!,#REF!,#REF!,#REF!,#REF!,#REF!,#REF!,#REF!,#REF!,#REF!,#REF!,#REF!</definedName>
    <definedName name="__APW_RESTORE_DATA623__">#REF!,#REF!,#REF!,#REF!,#REF!,#REF!,#REF!,#REF!,#REF!,#REF!,#REF!,#REF!,#REF!,#REF!,#REF!</definedName>
    <definedName name="__APW_RESTORE_DATA624__">#REF!,#REF!,#REF!,#REF!,#REF!,#REF!,#REF!,#REF!,#REF!,#REF!,#REF!,#REF!,#REF!,#REF!,#REF!</definedName>
    <definedName name="__APW_RESTORE_DATA625__">#REF!,#REF!</definedName>
    <definedName name="__APW_RESTORE_DATA626__">#REF!,#REF!</definedName>
    <definedName name="__APW_RESTORE_DATA627__">#REF!,#REF!,#REF!,#REF!,#REF!,#REF!,#REF!,#REF!,#REF!,#REF!,#REF!,#REF!,#REF!,#REF!,#REF!</definedName>
    <definedName name="__APW_RESTORE_DATA628__">#REF!,#REF!,#REF!,#REF!,#REF!,#REF!,#REF!,#REF!,#REF!,#REF!,#REF!,#REF!,#REF!,#REF!,#REF!</definedName>
    <definedName name="__APW_RESTORE_DATA629__">#REF!,#REF!,#REF!,#REF!,#REF!,#REF!,#REF!,#REF!,#REF!,#REF!,#REF!,#REF!,#REF!,#REF!,#REF!</definedName>
    <definedName name="__APW_RESTORE_DATA63__">#REF!,#REF!,#REF!,#REF!,#REF!,#REF!,#REF!,#REF!,#REF!,#REF!,#REF!,#REF!,#REF!,#REF!,#REF!</definedName>
    <definedName name="__APW_RESTORE_DATA630__">#REF!,#REF!,#REF!,#REF!,#REF!,#REF!,#REF!,#REF!,#REF!,#REF!,#REF!,#REF!,#REF!,#REF!,#REF!</definedName>
    <definedName name="__APW_RESTORE_DATA631__">#REF!,#REF!,#REF!,#REF!,#REF!,#REF!,#REF!,#REF!,#REF!,#REF!,#REF!,#REF!,#REF!,#REF!,#REF!</definedName>
    <definedName name="__APW_RESTORE_DATA632__">#REF!,#REF!,#REF!,#REF!,#REF!,#REF!,#REF!,#REF!,#REF!,#REF!,#REF!,#REF!,#REF!,#REF!,#REF!</definedName>
    <definedName name="__APW_RESTORE_DATA633__">#REF!,#REF!,#REF!,#REF!,#REF!,#REF!,#REF!,#REF!,#REF!,#REF!,#REF!,#REF!,#REF!,#REF!,#REF!</definedName>
    <definedName name="__APW_RESTORE_DATA634__">#REF!,#REF!,#REF!,#REF!,#REF!,#REF!,#REF!,#REF!,#REF!,#REF!,#REF!,#REF!,#REF!,#REF!,#REF!</definedName>
    <definedName name="__APW_RESTORE_DATA635__">#REF!,#REF!,#REF!,#REF!,#REF!,#REF!,#REF!,#REF!,#REF!,#REF!,#REF!,#REF!,#REF!,#REF!,#REF!</definedName>
    <definedName name="__APW_RESTORE_DATA636__">#REF!,#REF!,#REF!,#REF!,#REF!,#REF!,#REF!,#REF!,#REF!,#REF!,#REF!,#REF!,#REF!,#REF!,#REF!</definedName>
    <definedName name="__APW_RESTORE_DATA637__">#REF!,#REF!,#REF!,#REF!,#REF!,#REF!,#REF!,#REF!,#REF!,#REF!,#REF!,#REF!,#REF!,#REF!,#REF!</definedName>
    <definedName name="__APW_RESTORE_DATA638__">#REF!,#REF!,#REF!,#REF!,#REF!,#REF!,#REF!,#REF!,#REF!,#REF!,#REF!,#REF!,#REF!,#REF!,#REF!</definedName>
    <definedName name="__APW_RESTORE_DATA639__">#REF!,#REF!</definedName>
    <definedName name="__APW_RESTORE_DATA64__">#REF!,#REF!,#REF!,#REF!,#REF!,#REF!,#REF!,#REF!,#REF!,#REF!,#REF!,#REF!,#REF!,#REF!,#REF!</definedName>
    <definedName name="__APW_RESTORE_DATA640__">#REF!,#REF!,#REF!,#REF!,#REF!,#REF!,#REF!,#REF!,#REF!,#REF!,#REF!,#REF!,#REF!,#REF!,#REF!</definedName>
    <definedName name="__APW_RESTORE_DATA641__">#REF!,#REF!,#REF!,#REF!,#REF!,#REF!,#REF!,#REF!,#REF!,#REF!,#REF!,#REF!,#REF!,#REF!,#REF!</definedName>
    <definedName name="__APW_RESTORE_DATA642__">#REF!,#REF!,#REF!,#REF!,#REF!,#REF!,#REF!,#REF!,#REF!,#REF!,#REF!,#REF!,#REF!,#REF!,#REF!</definedName>
    <definedName name="__APW_RESTORE_DATA643__">#REF!,#REF!,#REF!,#REF!,#REF!,#REF!,#REF!,#REF!,#REF!,#REF!,#REF!,#REF!,#REF!,#REF!,#REF!</definedName>
    <definedName name="__APW_RESTORE_DATA644__">#REF!,#REF!</definedName>
    <definedName name="__APW_RESTORE_DATA645__">#REF!,#REF!,#REF!,#REF!,#REF!,#REF!,#REF!,#REF!,#REF!,#REF!,#REF!,#REF!,#REF!,#REF!,#REF!</definedName>
    <definedName name="__APW_RESTORE_DATA646__">#REF!,#REF!,#REF!,#REF!,#REF!,#REF!</definedName>
    <definedName name="__APW_RESTORE_DATA647__">#REF!,#REF!,#REF!,#REF!,#REF!,#REF!,#REF!,#REF!,#REF!,#REF!,#REF!,#REF!,#REF!,#REF!,#REF!,#REF!</definedName>
    <definedName name="__APW_RESTORE_DATA648__">#REF!,#REF!,#REF!,#REF!,#REF!,#REF!,#REF!,#REF!,#REF!,#REF!,#REF!,#REF!,#REF!,#REF!,#REF!,#REF!</definedName>
    <definedName name="__APW_RESTORE_DATA649__">#REF!,#REF!</definedName>
    <definedName name="__APW_RESTORE_DATA65__">#REF!,#REF!,#REF!,#REF!,#REF!,#REF!,#REF!,#REF!,#REF!,#REF!,#REF!,#REF!,#REF!,#REF!,#REF!</definedName>
    <definedName name="__APW_RESTORE_DATA650__">#REF!,#REF!,#REF!,#REF!,#REF!,#REF!,#REF!,#REF!,#REF!,#REF!,#REF!,#REF!,#REF!,#REF!,#REF!,#REF!</definedName>
    <definedName name="__APW_RESTORE_DATA651__">#REF!,#REF!,#REF!,#REF!,#REF!,#REF!,#REF!,#REF!,#REF!,#REF!,#REF!,#REF!,#REF!,#REF!,#REF!,#REF!</definedName>
    <definedName name="__APW_RESTORE_DATA652__">#REF!,#REF!,#REF!,#REF!,#REF!,#REF!,#REF!,#REF!,#REF!,#REF!,#REF!,#REF!,#REF!,#REF!,#REF!,#REF!</definedName>
    <definedName name="__APW_RESTORE_DATA653__">#REF!,#REF!,#REF!,#REF!,#REF!,#REF!,#REF!,#REF!,#REF!,#REF!,#REF!,#REF!,#REF!,#REF!,#REF!</definedName>
    <definedName name="__APW_RESTORE_DATA654__">#REF!,#REF!,#REF!,#REF!,#REF!,#REF!,#REF!,#REF!,#REF!,#REF!,#REF!,#REF!,#REF!,#REF!,#REF!</definedName>
    <definedName name="__APW_RESTORE_DATA655__">#REF!,#REF!,#REF!,#REF!,#REF!,#REF!,#REF!,#REF!,#REF!,#REF!,#REF!,#REF!,#REF!,#REF!,#REF!</definedName>
    <definedName name="__APW_RESTORE_DATA656__">#REF!,#REF!,#REF!,#REF!,#REF!,#REF!,#REF!,#REF!,#REF!,#REF!,#REF!,#REF!,#REF!,#REF!,#REF!</definedName>
    <definedName name="__APW_RESTORE_DATA657__">#REF!,#REF!,#REF!,#REF!,#REF!,#REF!,#REF!,#REF!,#REF!,#REF!,#REF!,#REF!,#REF!,#REF!,#REF!</definedName>
    <definedName name="__APW_RESTORE_DATA658__">#REF!,#REF!,#REF!,#REF!,#REF!,#REF!,#REF!,#REF!,#REF!,#REF!,#REF!,#REF!,#REF!,#REF!,#REF!</definedName>
    <definedName name="__APW_RESTORE_DATA659__">#REF!,#REF!,#REF!,#REF!,#REF!,#REF!,#REF!,#REF!,#REF!,#REF!,#REF!,#REF!,#REF!,#REF!,#REF!</definedName>
    <definedName name="__APW_RESTORE_DATA66__">#REF!,#REF!,#REF!,#REF!,#REF!,#REF!,#REF!,#REF!,#REF!,#REF!,#REF!,#REF!,#REF!,#REF!,#REF!</definedName>
    <definedName name="__APW_RESTORE_DATA660__">#REF!,#REF!,#REF!,#REF!,#REF!,#REF!,#REF!,#REF!,#REF!,#REF!,#REF!,#REF!,#REF!,#REF!,#REF!</definedName>
    <definedName name="__APW_RESTORE_DATA661__">#REF!,#REF!,#REF!,#REF!,#REF!,#REF!,#REF!,#REF!,#REF!,#REF!,#REF!,#REF!,#REF!,#REF!,#REF!</definedName>
    <definedName name="__APW_RESTORE_DATA662__">#REF!,#REF!,#REF!,#REF!,#REF!,#REF!,#REF!,#REF!,#REF!,#REF!,#REF!,#REF!,#REF!,#REF!,#REF!</definedName>
    <definedName name="__APW_RESTORE_DATA663__">#REF!,#REF!,#REF!,#REF!,#REF!,#REF!,#REF!,#REF!,#REF!,#REF!,#REF!,#REF!,#REF!,#REF!,#REF!</definedName>
    <definedName name="__APW_RESTORE_DATA664__">#REF!,#REF!</definedName>
    <definedName name="__APW_RESTORE_DATA665__">#REF!,#REF!</definedName>
    <definedName name="__APW_RESTORE_DATA666__">#REF!,#REF!,#REF!,#REF!,#REF!,#REF!,#REF!,#REF!,#REF!,#REF!,#REF!,#REF!,#REF!,#REF!,#REF!</definedName>
    <definedName name="__APW_RESTORE_DATA667__">#REF!,#REF!,#REF!,#REF!,#REF!,#REF!,#REF!,#REF!,#REF!,#REF!,#REF!,#REF!,#REF!,#REF!,#REF!</definedName>
    <definedName name="__APW_RESTORE_DATA668__">#REF!,#REF!,#REF!,#REF!,#REF!,#REF!,#REF!,#REF!,#REF!,#REF!,#REF!,#REF!,#REF!,#REF!,#REF!</definedName>
    <definedName name="__APW_RESTORE_DATA669__">#REF!,#REF!,#REF!,#REF!,#REF!,#REF!,#REF!,#REF!,#REF!,#REF!,#REF!,#REF!,#REF!,#REF!,#REF!</definedName>
    <definedName name="__APW_RESTORE_DATA67__">#REF!,#REF!,#REF!,#REF!,#REF!,#REF!,#REF!,#REF!,#REF!,#REF!,#REF!,#REF!,#REF!,#REF!,#REF!</definedName>
    <definedName name="__APW_RESTORE_DATA670__">#REF!,#REF!,#REF!,#REF!,#REF!,#REF!,#REF!,#REF!,#REF!,#REF!,#REF!,#REF!,#REF!,#REF!,#REF!</definedName>
    <definedName name="__APW_RESTORE_DATA671__">#REF!,#REF!,#REF!,#REF!,#REF!,#REF!,#REF!,#REF!,#REF!,#REF!,#REF!,#REF!,#REF!,#REF!,#REF!</definedName>
    <definedName name="__APW_RESTORE_DATA672__">#REF!,#REF!,#REF!,#REF!,#REF!,#REF!,#REF!,#REF!,#REF!,#REF!,#REF!,#REF!,#REF!,#REF!,#REF!</definedName>
    <definedName name="__APW_RESTORE_DATA673__">#REF!,#REF!,#REF!,#REF!,#REF!,#REF!,#REF!,#REF!,#REF!,#REF!,#REF!,#REF!,#REF!,#REF!,#REF!</definedName>
    <definedName name="__APW_RESTORE_DATA674__">#REF!,#REF!,#REF!,#REF!,#REF!,#REF!,#REF!,#REF!,#REF!,#REF!,#REF!,#REF!,#REF!,#REF!,#REF!</definedName>
    <definedName name="__APW_RESTORE_DATA675__">#REF!,#REF!,#REF!,#REF!,#REF!,#REF!,#REF!,#REF!,#REF!,#REF!,#REF!,#REF!,#REF!,#REF!,#REF!</definedName>
    <definedName name="__APW_RESTORE_DATA676__">#REF!,#REF!,#REF!,#REF!,#REF!,#REF!,#REF!,#REF!,#REF!,#REF!,#REF!,#REF!,#REF!,#REF!,#REF!</definedName>
    <definedName name="__APW_RESTORE_DATA677__">#REF!,#REF!,#REF!,#REF!,#REF!,#REF!,#REF!,#REF!,#REF!,#REF!,#REF!,#REF!,#REF!,#REF!,#REF!</definedName>
    <definedName name="__APW_RESTORE_DATA678__">#REF!,#REF!,#REF!,#REF!,#REF!,#REF!,#REF!,#REF!,#REF!,#REF!,#REF!,#REF!,#REF!,#REF!,#REF!</definedName>
    <definedName name="__APW_RESTORE_DATA679__">#REF!,#REF!,#REF!,#REF!,#REF!,#REF!,#REF!,#REF!,#REF!,#REF!,#REF!,#REF!,#REF!,#REF!,#REF!</definedName>
    <definedName name="__APW_RESTORE_DATA68__">#REF!,#REF!,#REF!,#REF!,#REF!,#REF!,#REF!,#REF!,#REF!,#REF!,#REF!,#REF!,#REF!,#REF!,#REF!</definedName>
    <definedName name="__APW_RESTORE_DATA680__">#REF!,#REF!,#REF!,#REF!,#REF!,#REF!,#REF!,#REF!,#REF!,#REF!,#REF!,#REF!,#REF!,#REF!,#REF!</definedName>
    <definedName name="__APW_RESTORE_DATA681__">#REF!,#REF!,#REF!,#REF!,#REF!,#REF!</definedName>
    <definedName name="__APW_RESTORE_DATA682__">#REF!,#REF!,#REF!,#REF!,#REF!,#REF!,#REF!,#REF!,#REF!,#REF!,#REF!,#REF!,#REF!,#REF!,#REF!,#REF!</definedName>
    <definedName name="__APW_RESTORE_DATA683__">#REF!,#REF!,#REF!,#REF!,#REF!,#REF!,#REF!,#REF!,#REF!,#REF!,#REF!,#REF!,#REF!,#REF!,#REF!,#REF!</definedName>
    <definedName name="__APW_RESTORE_DATA684__">#REF!,#REF!,#REF!,#REF!,#REF!,#REF!,#REF!,#REF!,#REF!,#REF!,#REF!,#REF!,#REF!,#REF!,#REF!,#REF!</definedName>
    <definedName name="__APW_RESTORE_DATA685__">#REF!,#REF!,#REF!,#REF!,#REF!,#REF!,#REF!,#REF!,#REF!,#REF!,#REF!,#REF!,#REF!,#REF!,#REF!,#REF!</definedName>
    <definedName name="__APW_RESTORE_DATA686__">#REF!,#REF!,#REF!,#REF!,#REF!,#REF!,#REF!,#REF!,#REF!,#REF!,#REF!,#REF!,#REF!,#REF!,#REF!,#REF!</definedName>
    <definedName name="__APW_RESTORE_DATA687__">#REF!,#REF!,#REF!,#REF!,#REF!,#REF!,#REF!,#REF!,#REF!,#REF!,#REF!,#REF!,#REF!,#REF!,#REF!,#REF!</definedName>
    <definedName name="__APW_RESTORE_DATA688__">#REF!,#REF!,#REF!,#REF!,#REF!,#REF!,#REF!,#REF!,#REF!,#REF!,#REF!,#REF!,#REF!,#REF!,#REF!</definedName>
    <definedName name="__APW_RESTORE_DATA689__">#REF!,#REF!,#REF!,#REF!,#REF!,#REF!,#REF!,#REF!,#REF!,#REF!,#REF!,#REF!,#REF!,#REF!,#REF!</definedName>
    <definedName name="__APW_RESTORE_DATA69__">#REF!,#REF!,#REF!,#REF!,#REF!,#REF!,#REF!,#REF!,#REF!,#REF!,#REF!,#REF!,#REF!,#REF!,#REF!</definedName>
    <definedName name="__APW_RESTORE_DATA690__">#REF!,#REF!,#REF!,#REF!,#REF!,#REF!,#REF!,#REF!,#REF!,#REF!,#REF!,#REF!,#REF!,#REF!,#REF!</definedName>
    <definedName name="__APW_RESTORE_DATA691__">#REF!,#REF!,#REF!,#REF!,#REF!,#REF!,#REF!,#REF!,#REF!,#REF!,#REF!,#REF!,#REF!,#REF!,#REF!</definedName>
    <definedName name="__APW_RESTORE_DATA692__">#REF!,#REF!,#REF!,#REF!,#REF!,#REF!,#REF!,#REF!,#REF!,#REF!,#REF!,#REF!,#REF!,#REF!,#REF!</definedName>
    <definedName name="__APW_RESTORE_DATA693__">#REF!,#REF!,#REF!,#REF!,#REF!,#REF!,#REF!,#REF!,#REF!,#REF!,#REF!,#REF!,#REF!,#REF!,#REF!</definedName>
    <definedName name="__APW_RESTORE_DATA694__">#REF!,#REF!,#REF!,#REF!,#REF!,#REF!,#REF!,#REF!,#REF!,#REF!,#REF!,#REF!,#REF!,#REF!,#REF!</definedName>
    <definedName name="__APW_RESTORE_DATA695__">#REF!,#REF!,#REF!,#REF!,#REF!,#REF!,#REF!,#REF!,#REF!,#REF!,#REF!,#REF!,#REF!,#REF!,#REF!</definedName>
    <definedName name="__APW_RESTORE_DATA696__">#REF!,#REF!,#REF!,#REF!,#REF!,#REF!,#REF!,#REF!,#REF!,#REF!,#REF!,#REF!,#REF!,#REF!,#REF!</definedName>
    <definedName name="__APW_RESTORE_DATA697__">#REF!,#REF!,#REF!,#REF!,#REF!,#REF!,#REF!,#REF!,#REF!,#REF!,#REF!,#REF!,#REF!,#REF!,#REF!</definedName>
    <definedName name="__APW_RESTORE_DATA698__">#REF!,#REF!,#REF!,#REF!,#REF!,#REF!,#REF!,#REF!,#REF!,#REF!,#REF!,#REF!,#REF!,#REF!,#REF!</definedName>
    <definedName name="__APW_RESTORE_DATA699__">#REF!,#REF!,#REF!,#REF!,#REF!,#REF!,#REF!,#REF!,#REF!,#REF!,#REF!,#REF!,#REF!,#REF!,#REF!</definedName>
    <definedName name="__APW_RESTORE_DATA7__">#REF!</definedName>
    <definedName name="__APW_RESTORE_DATA70__">#REF!,#REF!,#REF!,#REF!,#REF!,#REF!,#REF!,#REF!,#REF!,#REF!,#REF!,#REF!,#REF!,#REF!,#REF!</definedName>
    <definedName name="__APW_RESTORE_DATA700__">#REF!,#REF!,#REF!,#REF!,#REF!,#REF!,#REF!,#REF!,#REF!,#REF!,#REF!,#REF!,#REF!,#REF!,#REF!</definedName>
    <definedName name="__APW_RESTORE_DATA701__">#REF!,#REF!,#REF!,#REF!,#REF!,#REF!,#REF!,#REF!,#REF!,#REF!,#REF!,#REF!,#REF!,#REF!,#REF!</definedName>
    <definedName name="__APW_RESTORE_DATA702__">#REF!,#REF!,#REF!,#REF!,#REF!,#REF!,#REF!,#REF!,#REF!,#REF!,#REF!,#REF!,#REF!,#REF!,#REF!</definedName>
    <definedName name="__APW_RESTORE_DATA703__">#REF!,#REF!,#REF!,#REF!,#REF!,#REF!,#REF!,#REF!,#REF!,#REF!,#REF!,#REF!,#REF!,#REF!,#REF!</definedName>
    <definedName name="__APW_RESTORE_DATA704__">#REF!,#REF!,#REF!,#REF!,#REF!,#REF!,#REF!,#REF!,#REF!,#REF!,#REF!,#REF!,#REF!,#REF!,#REF!</definedName>
    <definedName name="__APW_RESTORE_DATA705__">#REF!,#REF!,#REF!,#REF!,#REF!,#REF!,#REF!,#REF!,#REF!,#REF!,#REF!,#REF!,#REF!,#REF!,#REF!</definedName>
    <definedName name="__APW_RESTORE_DATA706__">#REF!,#REF!,#REF!,#REF!,#REF!,#REF!,#REF!,#REF!,#REF!,#REF!,#REF!,#REF!,#REF!,#REF!,#REF!</definedName>
    <definedName name="__APW_RESTORE_DATA707__">#REF!,#REF!,#REF!,#REF!,#REF!,#REF!,#REF!,#REF!,#REF!,#REF!,#REF!,#REF!,#REF!,#REF!,#REF!</definedName>
    <definedName name="__APW_RESTORE_DATA708__">#REF!,#REF!,#REF!,#REF!,#REF!,#REF!,#REF!,#REF!,#REF!,#REF!,#REF!,#REF!,#REF!,#REF!,#REF!</definedName>
    <definedName name="__APW_RESTORE_DATA709__">#REF!,#REF!,#REF!,#REF!,#REF!,#REF!,#REF!,#REF!,#REF!,#REF!,#REF!,#REF!,#REF!,#REF!,#REF!</definedName>
    <definedName name="__APW_RESTORE_DATA71__">#REF!,#REF!,#REF!,#REF!,#REF!,#REF!,#REF!,#REF!,#REF!,#REF!,#REF!,#REF!,#REF!,#REF!,#REF!</definedName>
    <definedName name="__APW_RESTORE_DATA710__">#REF!,#REF!,#REF!,#REF!,#REF!,#REF!,#REF!,#REF!,#REF!,#REF!,#REF!,#REF!,#REF!,#REF!,#REF!</definedName>
    <definedName name="__APW_RESTORE_DATA711__">#REF!,#REF!,#REF!,#REF!,#REF!,#REF!,#REF!,#REF!,#REF!,#REF!,#REF!,#REF!,#REF!,#REF!,#REF!</definedName>
    <definedName name="__APW_RESTORE_DATA712__">#REF!,#REF!,#REF!,#REF!,#REF!,#REF!,#REF!,#REF!,#REF!,#REF!,#REF!,#REF!,#REF!,#REF!,#REF!</definedName>
    <definedName name="__APW_RESTORE_DATA713__">#REF!,#REF!,#REF!,#REF!,#REF!,#REF!,#REF!,#REF!,#REF!,#REF!,#REF!,#REF!,#REF!,#REF!,#REF!</definedName>
    <definedName name="__APW_RESTORE_DATA714__">#REF!,#REF!,#REF!,#REF!,#REF!,#REF!,#REF!,#REF!,#REF!,#REF!,#REF!,#REF!,#REF!,#REF!,#REF!</definedName>
    <definedName name="__APW_RESTORE_DATA715__">#REF!,#REF!,#REF!,#REF!,#REF!,#REF!,#REF!,#REF!,#REF!,#REF!,#REF!,#REF!,#REF!,#REF!,#REF!</definedName>
    <definedName name="__APW_RESTORE_DATA716__">#REF!,#REF!,#REF!,#REF!,#REF!,#REF!</definedName>
    <definedName name="__APW_RESTORE_DATA717__">#REF!</definedName>
    <definedName name="__APW_RESTORE_DATA718__">#REF!</definedName>
    <definedName name="__APW_RESTORE_DATA719__">#REF!,#REF!</definedName>
    <definedName name="__APW_RESTORE_DATA72__">#REF!,#REF!,#REF!,#REF!,#REF!,#REF!,#REF!,#REF!,#REF!,#REF!,#REF!,#REF!,#REF!,#REF!,#REF!</definedName>
    <definedName name="__APW_RESTORE_DATA720__">#REF!</definedName>
    <definedName name="__APW_RESTORE_DATA721__">#REF!,#REF!,#REF!,#REF!,#REF!,#REF!,#REF!,#REF!,#REF!,#REF!,#REF!,#REF!,#REF!,#REF!,#REF!,#REF!</definedName>
    <definedName name="__APW_RESTORE_DATA722__">#REF!,#REF!,#REF!,#REF!,#REF!,#REF!,#REF!,#REF!,#REF!,#REF!,#REF!,#REF!,#REF!,#REF!,#REF!,#REF!</definedName>
    <definedName name="__APW_RESTORE_DATA723__">#REF!,#REF!,#REF!,#REF!,#REF!,#REF!,#REF!,#REF!,#REF!,#REF!,#REF!,#REF!,#REF!,#REF!,#REF!,#REF!</definedName>
    <definedName name="__APW_RESTORE_DATA724__">#REF!,#REF!,#REF!,#REF!,#REF!,#REF!,#REF!,#REF!,#REF!,#REF!,#REF!,#REF!,#REF!,#REF!,#REF!,#REF!</definedName>
    <definedName name="__APW_RESTORE_DATA725__">#REF!,#REF!,#REF!,#REF!,#REF!,#REF!,#REF!,#REF!,#REF!,#REF!,#REF!,#REF!,#REF!,#REF!,#REF!,#REF!</definedName>
    <definedName name="__APW_RESTORE_DATA726__">#REF!,#REF!,#REF!,#REF!,#REF!,#REF!,#REF!,#REF!,#REF!,#REF!,#REF!,#REF!,#REF!,#REF!,#REF!,#REF!</definedName>
    <definedName name="__APW_RESTORE_DATA727__">#REF!,#REF!,#REF!,#REF!,#REF!,#REF!,#REF!,#REF!,#REF!,#REF!,#REF!,#REF!,#REF!,#REF!,#REF!</definedName>
    <definedName name="__APW_RESTORE_DATA728__">#REF!,#REF!,#REF!,#REF!,#REF!,#REF!,#REF!,#REF!,#REF!,#REF!,#REF!,#REF!,#REF!,#REF!,#REF!</definedName>
    <definedName name="__APW_RESTORE_DATA729__">#REF!,#REF!,#REF!,#REF!,#REF!,#REF!,#REF!,#REF!,#REF!,#REF!,#REF!,#REF!,#REF!,#REF!,#REF!</definedName>
    <definedName name="__APW_RESTORE_DATA73__">#REF!,#REF!,#REF!,#REF!,#REF!,#REF!,#REF!,#REF!,#REF!,#REF!,#REF!,#REF!,#REF!,#REF!,#REF!</definedName>
    <definedName name="__APW_RESTORE_DATA730__">#REF!,#REF!,#REF!,#REF!,#REF!,#REF!,#REF!,#REF!,#REF!,#REF!,#REF!,#REF!,#REF!,#REF!,#REF!</definedName>
    <definedName name="__APW_RESTORE_DATA731__">#REF!,#REF!,#REF!,#REF!,#REF!,#REF!,#REF!,#REF!,#REF!,#REF!,#REF!,#REF!,#REF!,#REF!,#REF!</definedName>
    <definedName name="__APW_RESTORE_DATA732__">#REF!,#REF!,#REF!,#REF!,#REF!,#REF!,#REF!,#REF!,#REF!,#REF!,#REF!,#REF!,#REF!,#REF!,#REF!</definedName>
    <definedName name="__APW_RESTORE_DATA733__">#REF!,#REF!,#REF!,#REF!,#REF!,#REF!,#REF!,#REF!,#REF!,#REF!,#REF!,#REF!,#REF!,#REF!,#REF!</definedName>
    <definedName name="__APW_RESTORE_DATA734__">#REF!,#REF!,#REF!,#REF!,#REF!,#REF!,#REF!,#REF!,#REF!,#REF!,#REF!,#REF!,#REF!,#REF!,#REF!</definedName>
    <definedName name="__APW_RESTORE_DATA735__">#REF!,#REF!,#REF!,#REF!,#REF!,#REF!,#REF!,#REF!,#REF!,#REF!,#REF!,#REF!,#REF!,#REF!,#REF!</definedName>
    <definedName name="__APW_RESTORE_DATA736__">#REF!,#REF!,#REF!,#REF!,#REF!,#REF!,#REF!,#REF!,#REF!,#REF!,#REF!,#REF!,#REF!,#REF!,#REF!</definedName>
    <definedName name="__APW_RESTORE_DATA737__">#REF!,#REF!,#REF!,#REF!,#REF!,#REF!,#REF!,#REF!,#REF!,#REF!,#REF!,#REF!,#REF!,#REF!,#REF!</definedName>
    <definedName name="__APW_RESTORE_DATA738__">#REF!,#REF!,#REF!,#REF!,#REF!,#REF!,#REF!,#REF!,#REF!,#REF!,#REF!,#REF!,#REF!,#REF!,#REF!</definedName>
    <definedName name="__APW_RESTORE_DATA739__">#REF!,#REF!,#REF!,#REF!,#REF!,#REF!,#REF!,#REF!,#REF!,#REF!,#REF!,#REF!,#REF!,#REF!,#REF!</definedName>
    <definedName name="__APW_RESTORE_DATA74__">#REF!,#REF!,#REF!,#REF!,#REF!,#REF!,#REF!</definedName>
    <definedName name="__APW_RESTORE_DATA740__">#REF!,#REF!,#REF!,#REF!,#REF!,#REF!,#REF!,#REF!,#REF!,#REF!,#REF!,#REF!,#REF!,#REF!,#REF!</definedName>
    <definedName name="__APW_RESTORE_DATA741__">#REF!,#REF!,#REF!,#REF!,#REF!,#REF!,#REF!,#REF!,#REF!,#REF!,#REF!,#REF!,#REF!,#REF!,#REF!</definedName>
    <definedName name="__APW_RESTORE_DATA742__">#REF!,#REF!,#REF!,#REF!,#REF!,#REF!,#REF!,#REF!,#REF!,#REF!,#REF!,#REF!,#REF!,#REF!,#REF!</definedName>
    <definedName name="__APW_RESTORE_DATA743__">#REF!,#REF!,#REF!,#REF!,#REF!,#REF!,#REF!,#REF!,#REF!,#REF!,#REF!,#REF!,#REF!,#REF!,#REF!</definedName>
    <definedName name="__APW_RESTORE_DATA744__">#REF!,#REF!,#REF!,#REF!,#REF!,#REF!,#REF!,#REF!,#REF!,#REF!,#REF!,#REF!,#REF!,#REF!,#REF!</definedName>
    <definedName name="__APW_RESTORE_DATA745__">#REF!,#REF!,#REF!,#REF!,#REF!,#REF!,#REF!,#REF!,#REF!,#REF!,#REF!,#REF!,#REF!,#REF!,#REF!</definedName>
    <definedName name="__APW_RESTORE_DATA746__">#REF!,#REF!,#REF!,#REF!,#REF!,#REF!,#REF!,#REF!,#REF!,#REF!,#REF!,#REF!,#REF!,#REF!,#REF!</definedName>
    <definedName name="__APW_RESTORE_DATA747__">#REF!,#REF!,#REF!,#REF!,#REF!,#REF!,#REF!,#REF!,#REF!,#REF!,#REF!,#REF!,#REF!,#REF!,#REF!</definedName>
    <definedName name="__APW_RESTORE_DATA748__">#REF!,#REF!,#REF!,#REF!,#REF!,#REF!,#REF!,#REF!,#REF!,#REF!,#REF!,#REF!,#REF!,#REF!,#REF!</definedName>
    <definedName name="__APW_RESTORE_DATA749__">#REF!,#REF!,#REF!,#REF!,#REF!,#REF!,#REF!,#REF!,#REF!,#REF!,#REF!,#REF!,#REF!,#REF!,#REF!</definedName>
    <definedName name="__APW_RESTORE_DATA75__">#REF!,#REF!,#REF!,#REF!,#REF!,#REF!,#REF!,#REF!,#REF!,#REF!,#REF!,#REF!,#REF!,#REF!,#REF!,#REF!</definedName>
    <definedName name="__APW_RESTORE_DATA750__">#REF!,#REF!,#REF!,#REF!,#REF!,#REF!,#REF!,#REF!,#REF!,#REF!,#REF!,#REF!,#REF!,#REF!,#REF!</definedName>
    <definedName name="__APW_RESTORE_DATA751__">#REF!,#REF!,#REF!,#REF!,#REF!,#REF!,#REF!,#REF!,#REF!,#REF!,#REF!,#REF!,#REF!,#REF!,#REF!</definedName>
    <definedName name="__APW_RESTORE_DATA752__">#REF!,#REF!,#REF!,#REF!,#REF!,#REF!,#REF!,#REF!,#REF!,#REF!,#REF!,#REF!,#REF!,#REF!,#REF!</definedName>
    <definedName name="__APW_RESTORE_DATA753__">#REF!,#REF!,#REF!,#REF!,#REF!,#REF!,#REF!,#REF!,#REF!,#REF!,#REF!,#REF!,#REF!,#REF!,#REF!</definedName>
    <definedName name="__APW_RESTORE_DATA754__">#REF!,#REF!,#REF!,#REF!,#REF!,#REF!,#REF!,#REF!,#REF!,#REF!,#REF!,#REF!,#REF!,#REF!,#REF!</definedName>
    <definedName name="__APW_RESTORE_DATA755__">#REF!,#REF!,#REF!,#REF!,#REF!,#REF!</definedName>
    <definedName name="__APW_RESTORE_DATA756__">#REF!,#REF!,#REF!,#REF!,#REF!,#REF!,#REF!,#REF!,#REF!,#REF!,#REF!,#REF!,#REF!,#REF!,#REF!,#REF!</definedName>
    <definedName name="__APW_RESTORE_DATA757__">#REF!,#REF!,#REF!,#REF!,#REF!,#REF!,#REF!,#REF!,#REF!,#REF!,#REF!,#REF!,#REF!,#REF!,#REF!,#REF!</definedName>
    <definedName name="__APW_RESTORE_DATA758__">#REF!,#REF!,#REF!,#REF!,#REF!,#REF!,#REF!,#REF!,#REF!,#REF!,#REF!,#REF!,#REF!,#REF!,#REF!,#REF!</definedName>
    <definedName name="__APW_RESTORE_DATA759__">#REF!,#REF!,#REF!,#REF!,#REF!,#REF!,#REF!,#REF!,#REF!,#REF!,#REF!,#REF!,#REF!,#REF!,#REF!,#REF!</definedName>
    <definedName name="__APW_RESTORE_DATA76__">#REF!,#REF!</definedName>
    <definedName name="__APW_RESTORE_DATA760__">#REF!,#REF!,#REF!,#REF!,#REF!,#REF!,#REF!,#REF!,#REF!,#REF!,#REF!,#REF!,#REF!,#REF!,#REF!,#REF!</definedName>
    <definedName name="__APW_RESTORE_DATA761__">#REF!,#REF!,#REF!,#REF!,#REF!,#REF!,#REF!,#REF!,#REF!,#REF!,#REF!,#REF!,#REF!,#REF!,#REF!,#REF!</definedName>
    <definedName name="__APW_RESTORE_DATA762__">#REF!,#REF!,#REF!,#REF!,#REF!,#REF!,#REF!,#REF!,#REF!,#REF!,#REF!,#REF!,#REF!,#REF!,#REF!</definedName>
    <definedName name="__APW_RESTORE_DATA763__">#REF!,#REF!,#REF!,#REF!,#REF!,#REF!,#REF!,#REF!,#REF!,#REF!,#REF!,#REF!,#REF!,#REF!,#REF!</definedName>
    <definedName name="__APW_RESTORE_DATA764__">#REF!,#REF!,#REF!,#REF!,#REF!,#REF!,#REF!,#REF!,#REF!,#REF!,#REF!,#REF!,#REF!,#REF!,#REF!</definedName>
    <definedName name="__APW_RESTORE_DATA765__">#REF!,#REF!,#REF!,#REF!,#REF!,#REF!,#REF!,#REF!,#REF!,#REF!,#REF!,#REF!,#REF!,#REF!,#REF!</definedName>
    <definedName name="__APW_RESTORE_DATA766__">#REF!,#REF!,#REF!,#REF!,#REF!,#REF!,#REF!,#REF!,#REF!,#REF!,#REF!,#REF!,#REF!,#REF!,#REF!</definedName>
    <definedName name="__APW_RESTORE_DATA767__">#REF!,#REF!,#REF!,#REF!,#REF!,#REF!,#REF!,#REF!,#REF!,#REF!,#REF!,#REF!,#REF!,#REF!,#REF!</definedName>
    <definedName name="__APW_RESTORE_DATA768__">#REF!,#REF!,#REF!,#REF!,#REF!,#REF!,#REF!,#REF!,#REF!,#REF!,#REF!,#REF!,#REF!,#REF!,#REF!</definedName>
    <definedName name="__APW_RESTORE_DATA769__">#REF!,#REF!,#REF!,#REF!,#REF!,#REF!,#REF!,#REF!,#REF!,#REF!,#REF!,#REF!,#REF!,#REF!,#REF!</definedName>
    <definedName name="__APW_RESTORE_DATA77__">#REF!,#REF!</definedName>
    <definedName name="__APW_RESTORE_DATA770__">#REF!,#REF!,#REF!,#REF!,#REF!,#REF!,#REF!,#REF!,#REF!,#REF!,#REF!,#REF!,#REF!,#REF!,#REF!</definedName>
    <definedName name="__APW_RESTORE_DATA771__">#REF!,#REF!,#REF!,#REF!,#REF!,#REF!,#REF!,#REF!,#REF!,#REF!,#REF!,#REF!,#REF!,#REF!,#REF!</definedName>
    <definedName name="__APW_RESTORE_DATA772__">#REF!,#REF!,#REF!,#REF!,#REF!,#REF!,#REF!,#REF!,#REF!,#REF!,#REF!,#REF!,#REF!,#REF!,#REF!</definedName>
    <definedName name="__APW_RESTORE_DATA773__">#REF!,#REF!,#REF!,#REF!,#REF!,#REF!,#REF!,#REF!,#REF!,#REF!,#REF!,#REF!,#REF!,#REF!,#REF!</definedName>
    <definedName name="__APW_RESTORE_DATA774__">#REF!,#REF!,#REF!,#REF!,#REF!,#REF!,#REF!,#REF!,#REF!,#REF!,#REF!,#REF!,#REF!,#REF!,#REF!</definedName>
    <definedName name="__APW_RESTORE_DATA775__">#REF!,#REF!,#REF!,#REF!,#REF!,#REF!,#REF!,#REF!,#REF!,#REF!,#REF!,#REF!,#REF!,#REF!,#REF!</definedName>
    <definedName name="__APW_RESTORE_DATA776__">#REF!,#REF!,#REF!,#REF!,#REF!,#REF!,#REF!,#REF!,#REF!,#REF!,#REF!,#REF!,#REF!,#REF!,#REF!</definedName>
    <definedName name="__APW_RESTORE_DATA777__">#REF!,#REF!,#REF!,#REF!,#REF!,#REF!,#REF!,#REF!,#REF!,#REF!,#REF!,#REF!,#REF!,#REF!,#REF!</definedName>
    <definedName name="__APW_RESTORE_DATA778__">#REF!,#REF!,#REF!,#REF!,#REF!,#REF!,#REF!,#REF!,#REF!,#REF!,#REF!,#REF!,#REF!,#REF!,#REF!</definedName>
    <definedName name="__APW_RESTORE_DATA779__">#REF!,#REF!,#REF!,#REF!,#REF!,#REF!,#REF!,#REF!,#REF!,#REF!,#REF!,#REF!,#REF!,#REF!,#REF!</definedName>
    <definedName name="__APW_RESTORE_DATA78__">#REF!,#REF!,#REF!,#REF!,#REF!,#REF!,#REF!,#REF!,#REF!,#REF!,#REF!,#REF!,#REF!,#REF!,#REF!,#REF!</definedName>
    <definedName name="__APW_RESTORE_DATA780__">#REF!,#REF!,#REF!,#REF!,#REF!,#REF!,#REF!,#REF!,#REF!,#REF!,#REF!,#REF!,#REF!,#REF!,#REF!</definedName>
    <definedName name="__APW_RESTORE_DATA781__">#REF!,#REF!,#REF!,#REF!,#REF!,#REF!,#REF!,#REF!,#REF!,#REF!,#REF!,#REF!,#REF!,#REF!,#REF!</definedName>
    <definedName name="__APW_RESTORE_DATA782__">#REF!,#REF!,#REF!,#REF!,#REF!,#REF!,#REF!,#REF!,#REF!,#REF!,#REF!,#REF!,#REF!,#REF!,#REF!</definedName>
    <definedName name="__APW_RESTORE_DATA783__">#REF!,#REF!,#REF!,#REF!,#REF!,#REF!,#REF!,#REF!,#REF!,#REF!,#REF!,#REF!,#REF!,#REF!,#REF!</definedName>
    <definedName name="__APW_RESTORE_DATA784__">#REF!,#REF!,#REF!,#REF!,#REF!,#REF!,#REF!,#REF!,#REF!,#REF!,#REF!,#REF!,#REF!,#REF!,#REF!</definedName>
    <definedName name="__APW_RESTORE_DATA785__">#REF!,#REF!,#REF!,#REF!,#REF!,#REF!,#REF!,#REF!,#REF!,#REF!,#REF!,#REF!,#REF!,#REF!,#REF!</definedName>
    <definedName name="__APW_RESTORE_DATA786__">#REF!,#REF!,#REF!,#REF!,#REF!,#REF!,#REF!,#REF!,#REF!,#REF!,#REF!,#REF!,#REF!,#REF!,#REF!</definedName>
    <definedName name="__APW_RESTORE_DATA787__">#REF!,#REF!,#REF!,#REF!,#REF!,#REF!,#REF!,#REF!,#REF!,#REF!,#REF!,#REF!,#REF!,#REF!,#REF!</definedName>
    <definedName name="__APW_RESTORE_DATA788__">#REF!,#REF!,#REF!,#REF!,#REF!,#REF!,#REF!,#REF!,#REF!,#REF!,#REF!,#REF!,#REF!,#REF!,#REF!</definedName>
    <definedName name="__APW_RESTORE_DATA789__">#REF!,#REF!,#REF!,#REF!,#REF!,#REF!,#REF!,#REF!,#REF!,#REF!,#REF!,#REF!,#REF!,#REF!,#REF!</definedName>
    <definedName name="__APW_RESTORE_DATA79__">#REF!,#REF!,#REF!,#REF!,#REF!,#REF!,#REF!,#REF!,#REF!,#REF!,#REF!,#REF!,#REF!,#REF!,#REF!,#REF!</definedName>
    <definedName name="__APW_RESTORE_DATA790__">#REF!,#REF!,#REF!,#REF!,#REF!,#REF!</definedName>
    <definedName name="__APW_RESTORE_DATA791__">#REF!,#REF!,#REF!,#REF!,#REF!,#REF!,#REF!,#REF!,#REF!,#REF!,#REF!,#REF!,#REF!,#REF!,#REF!,#REF!</definedName>
    <definedName name="__APW_RESTORE_DATA792__">#REF!,#REF!,#REF!,#REF!,#REF!,#REF!,#REF!,#REF!,#REF!,#REF!,#REF!,#REF!,#REF!,#REF!,#REF!,#REF!</definedName>
    <definedName name="__APW_RESTORE_DATA793__">#REF!,#REF!,#REF!,#REF!,#REF!,#REF!,#REF!,#REF!,#REF!,#REF!,#REF!,#REF!,#REF!,#REF!,#REF!,#REF!</definedName>
    <definedName name="__APW_RESTORE_DATA794__">#REF!,#REF!,#REF!,#REF!,#REF!,#REF!,#REF!,#REF!,#REF!,#REF!,#REF!,#REF!,#REF!,#REF!,#REF!,#REF!</definedName>
    <definedName name="__APW_RESTORE_DATA795__">#REF!,#REF!,#REF!,#REF!,#REF!,#REF!,#REF!,#REF!,#REF!,#REF!,#REF!,#REF!,#REF!,#REF!,#REF!,#REF!</definedName>
    <definedName name="__APW_RESTORE_DATA796__">#REF!,#REF!,#REF!,#REF!,#REF!,#REF!,#REF!,#REF!,#REF!,#REF!,#REF!,#REF!,#REF!,#REF!,#REF!,#REF!</definedName>
    <definedName name="__APW_RESTORE_DATA797__">#REF!,#REF!,#REF!,#REF!,#REF!,#REF!,#REF!,#REF!,#REF!,#REF!,#REF!,#REF!,#REF!,#REF!,#REF!</definedName>
    <definedName name="__APW_RESTORE_DATA798__">#REF!,#REF!,#REF!,#REF!,#REF!,#REF!,#REF!,#REF!,#REF!,#REF!,#REF!,#REF!,#REF!,#REF!,#REF!</definedName>
    <definedName name="__APW_RESTORE_DATA799__">#REF!,#REF!,#REF!,#REF!,#REF!,#REF!,#REF!,#REF!,#REF!,#REF!,#REF!,#REF!,#REF!,#REF!,#REF!</definedName>
    <definedName name="__APW_RESTORE_DATA8__">#REF!</definedName>
    <definedName name="__APW_RESTORE_DATA80__">#REF!,#REF!,#REF!,#REF!,#REF!,#REF!,#REF!,#REF!,#REF!,#REF!,#REF!,#REF!,#REF!,#REF!,#REF!,#REF!</definedName>
    <definedName name="__APW_RESTORE_DATA800__">#REF!,#REF!,#REF!,#REF!,#REF!,#REF!,#REF!,#REF!,#REF!,#REF!,#REF!,#REF!,#REF!,#REF!,#REF!</definedName>
    <definedName name="__APW_RESTORE_DATA801__">#REF!,#REF!,#REF!,#REF!,#REF!,#REF!,#REF!,#REF!,#REF!,#REF!,#REF!,#REF!,#REF!,#REF!,#REF!</definedName>
    <definedName name="__APW_RESTORE_DATA802__">#REF!,#REF!,#REF!,#REF!,#REF!,#REF!,#REF!,#REF!,#REF!,#REF!,#REF!,#REF!,#REF!,#REF!,#REF!</definedName>
    <definedName name="__APW_RESTORE_DATA803__">#REF!,#REF!,#REF!,#REF!,#REF!,#REF!,#REF!,#REF!,#REF!,#REF!,#REF!,#REF!,#REF!,#REF!,#REF!</definedName>
    <definedName name="__APW_RESTORE_DATA804__">#REF!,#REF!,#REF!,#REF!,#REF!,#REF!,#REF!,#REF!,#REF!,#REF!,#REF!,#REF!,#REF!,#REF!,#REF!</definedName>
    <definedName name="__APW_RESTORE_DATA805__">#REF!,#REF!,#REF!,#REF!,#REF!,#REF!,#REF!,#REF!,#REF!,#REF!,#REF!,#REF!,#REF!,#REF!,#REF!</definedName>
    <definedName name="__APW_RESTORE_DATA806__">#REF!,#REF!,#REF!,#REF!,#REF!,#REF!,#REF!,#REF!,#REF!,#REF!,#REF!,#REF!,#REF!,#REF!,#REF!</definedName>
    <definedName name="__APW_RESTORE_DATA807__">#REF!,#REF!,#REF!,#REF!,#REF!,#REF!,#REF!,#REF!,#REF!,#REF!,#REF!,#REF!,#REF!,#REF!,#REF!</definedName>
    <definedName name="__APW_RESTORE_DATA808__">#REF!,#REF!,#REF!,#REF!,#REF!,#REF!,#REF!,#REF!,#REF!,#REF!,#REF!,#REF!,#REF!,#REF!,#REF!</definedName>
    <definedName name="__APW_RESTORE_DATA809__">#REF!,#REF!,#REF!,#REF!,#REF!,#REF!,#REF!,#REF!,#REF!,#REF!,#REF!,#REF!,#REF!,#REF!,#REF!</definedName>
    <definedName name="__APW_RESTORE_DATA81__">#REF!,#REF!,#REF!,#REF!,#REF!,#REF!,#REF!,#REF!,#REF!,#REF!,#REF!,#REF!,#REF!,#REF!,#REF!</definedName>
    <definedName name="__APW_RESTORE_DATA810__">#REF!,#REF!,#REF!,#REF!,#REF!,#REF!,#REF!,#REF!,#REF!,#REF!,#REF!,#REF!,#REF!,#REF!,#REF!</definedName>
    <definedName name="__APW_RESTORE_DATA811__">#REF!,#REF!,#REF!,#REF!,#REF!,#REF!,#REF!,#REF!,#REF!,#REF!,#REF!,#REF!,#REF!,#REF!,#REF!</definedName>
    <definedName name="__APW_RESTORE_DATA812__">#REF!,#REF!,#REF!,#REF!,#REF!,#REF!,#REF!,#REF!,#REF!,#REF!,#REF!,#REF!,#REF!,#REF!,#REF!</definedName>
    <definedName name="__APW_RESTORE_DATA813__">#REF!,#REF!,#REF!,#REF!,#REF!,#REF!,#REF!,#REF!,#REF!,#REF!,#REF!,#REF!,#REF!,#REF!,#REF!</definedName>
    <definedName name="__APW_RESTORE_DATA814__">#REF!,#REF!,#REF!,#REF!,#REF!,#REF!,#REF!,#REF!,#REF!,#REF!,#REF!,#REF!,#REF!,#REF!,#REF!</definedName>
    <definedName name="__APW_RESTORE_DATA815__">#REF!,#REF!,#REF!,#REF!,#REF!,#REF!,#REF!,#REF!,#REF!,#REF!,#REF!,#REF!,#REF!,#REF!,#REF!</definedName>
    <definedName name="__APW_RESTORE_DATA816__">#REF!,#REF!,#REF!,#REF!,#REF!,#REF!,#REF!,#REF!,#REF!,#REF!,#REF!,#REF!,#REF!,#REF!,#REF!</definedName>
    <definedName name="__APW_RESTORE_DATA817__">#REF!,#REF!,#REF!,#REF!,#REF!,#REF!,#REF!,#REF!,#REF!,#REF!,#REF!,#REF!,#REF!,#REF!,#REF!</definedName>
    <definedName name="__APW_RESTORE_DATA818__">#REF!,#REF!,#REF!,#REF!,#REF!,#REF!,#REF!,#REF!,#REF!,#REF!,#REF!,#REF!,#REF!,#REF!,#REF!</definedName>
    <definedName name="__APW_RESTORE_DATA819__">#REF!,#REF!,#REF!,#REF!,#REF!,#REF!,#REF!,#REF!,#REF!,#REF!,#REF!,#REF!,#REF!,#REF!,#REF!</definedName>
    <definedName name="__APW_RESTORE_DATA82__">#REF!,#REF!,#REF!,#REF!,#REF!,#REF!,#REF!,#REF!,#REF!,#REF!,#REF!,#REF!,#REF!,#REF!,#REF!</definedName>
    <definedName name="__APW_RESTORE_DATA820__">#REF!,#REF!,#REF!,#REF!,#REF!,#REF!,#REF!,#REF!,#REF!,#REF!,#REF!,#REF!,#REF!,#REF!,#REF!</definedName>
    <definedName name="__APW_RESTORE_DATA821__">#REF!,#REF!,#REF!,#REF!,#REF!,#REF!,#REF!,#REF!,#REF!,#REF!,#REF!,#REF!,#REF!,#REF!,#REF!</definedName>
    <definedName name="__APW_RESTORE_DATA822__">#REF!,#REF!,#REF!,#REF!,#REF!,#REF!,#REF!,#REF!,#REF!,#REF!,#REF!,#REF!,#REF!,#REF!,#REF!</definedName>
    <definedName name="__APW_RESTORE_DATA823__">#REF!,#REF!,#REF!,#REF!,#REF!,#REF!,#REF!,#REF!,#REF!,#REF!,#REF!,#REF!,#REF!,#REF!,#REF!</definedName>
    <definedName name="__APW_RESTORE_DATA824__">#REF!,#REF!,#REF!,#REF!,#REF!,#REF!,#REF!,#REF!,#REF!,#REF!,#REF!,#REF!,#REF!,#REF!,#REF!</definedName>
    <definedName name="__APW_RESTORE_DATA825__">#REF!,#REF!,#REF!,#REF!,#REF!,#REF!</definedName>
    <definedName name="__APW_RESTORE_DATA826__">#REF!,#REF!,#REF!,#REF!,#REF!,#REF!,#REF!,#REF!,#REF!,#REF!,#REF!,#REF!,#REF!,#REF!,#REF!,#REF!</definedName>
    <definedName name="__APW_RESTORE_DATA827__">#REF!,#REF!,#REF!,#REF!,#REF!,#REF!,#REF!,#REF!,#REF!,#REF!,#REF!,#REF!,#REF!,#REF!,#REF!,#REF!</definedName>
    <definedName name="__APW_RESTORE_DATA828__">#REF!,#REF!,#REF!,#REF!,#REF!,#REF!,#REF!,#REF!,#REF!,#REF!,#REF!,#REF!,#REF!,#REF!,#REF!,#REF!</definedName>
    <definedName name="__APW_RESTORE_DATA829__">#REF!,#REF!,#REF!,#REF!,#REF!,#REF!,#REF!,#REF!,#REF!,#REF!,#REF!,#REF!,#REF!,#REF!,#REF!,#REF!</definedName>
    <definedName name="__APW_RESTORE_DATA83__">#REF!,#REF!,#REF!,#REF!,#REF!,#REF!,#REF!,#REF!,#REF!,#REF!,#REF!,#REF!,#REF!,#REF!,#REF!</definedName>
    <definedName name="__APW_RESTORE_DATA830__">#REF!,#REF!,#REF!,#REF!,#REF!,#REF!,#REF!,#REF!,#REF!,#REF!,#REF!,#REF!,#REF!,#REF!,#REF!,#REF!</definedName>
    <definedName name="__APW_RESTORE_DATA831__">#REF!,#REF!,#REF!,#REF!,#REF!,#REF!,#REF!,#REF!,#REF!,#REF!,#REF!,#REF!,#REF!,#REF!,#REF!,#REF!</definedName>
    <definedName name="__APW_RESTORE_DATA832__">#REF!,#REF!,#REF!,#REF!,#REF!,#REF!,#REF!,#REF!,#REF!,#REF!,#REF!,#REF!,#REF!,#REF!,#REF!</definedName>
    <definedName name="__APW_RESTORE_DATA833__">#REF!,#REF!,#REF!,#REF!,#REF!,#REF!,#REF!,#REF!,#REF!,#REF!,#REF!,#REF!,#REF!,#REF!,#REF!</definedName>
    <definedName name="__APW_RESTORE_DATA834__">#REF!,#REF!,#REF!,#REF!,#REF!,#REF!,#REF!,#REF!,#REF!,#REF!,#REF!,#REF!,#REF!,#REF!,#REF!</definedName>
    <definedName name="__APW_RESTORE_DATA835__">#REF!,#REF!,#REF!,#REF!,#REF!,#REF!,#REF!,#REF!,#REF!,#REF!,#REF!,#REF!,#REF!,#REF!,#REF!</definedName>
    <definedName name="__APW_RESTORE_DATA836__">#REF!,#REF!,#REF!,#REF!,#REF!,#REF!,#REF!,#REF!,#REF!,#REF!,#REF!,#REF!,#REF!,#REF!,#REF!</definedName>
    <definedName name="__APW_RESTORE_DATA837__">#REF!,#REF!,#REF!,#REF!,#REF!,#REF!,#REF!,#REF!,#REF!,#REF!,#REF!,#REF!,#REF!,#REF!,#REF!</definedName>
    <definedName name="__APW_RESTORE_DATA838__">#REF!,#REF!,#REF!,#REF!,#REF!,#REF!,#REF!,#REF!,#REF!,#REF!,#REF!,#REF!,#REF!,#REF!,#REF!</definedName>
    <definedName name="__APW_RESTORE_DATA839__">#REF!,#REF!,#REF!,#REF!,#REF!,#REF!,#REF!,#REF!,#REF!,#REF!,#REF!,#REF!,#REF!,#REF!,#REF!</definedName>
    <definedName name="__APW_RESTORE_DATA84__">#REF!,#REF!,#REF!,#REF!,#REF!,#REF!,#REF!,#REF!,#REF!,#REF!,#REF!,#REF!,#REF!,#REF!,#REF!</definedName>
    <definedName name="__APW_RESTORE_DATA840__">#REF!,#REF!,#REF!,#REF!,#REF!,#REF!,#REF!,#REF!,#REF!,#REF!,#REF!,#REF!,#REF!,#REF!,#REF!</definedName>
    <definedName name="__APW_RESTORE_DATA841__">#REF!,#REF!,#REF!,#REF!,#REF!,#REF!,#REF!,#REF!,#REF!,#REF!,#REF!,#REF!,#REF!,#REF!,#REF!</definedName>
    <definedName name="__APW_RESTORE_DATA842__">#REF!,#REF!,#REF!,#REF!,#REF!,#REF!,#REF!,#REF!,#REF!,#REF!,#REF!,#REF!,#REF!,#REF!,#REF!</definedName>
    <definedName name="__APW_RESTORE_DATA843__">#REF!,#REF!,#REF!,#REF!,#REF!,#REF!,#REF!,#REF!,#REF!,#REF!,#REF!,#REF!,#REF!,#REF!,#REF!</definedName>
    <definedName name="__APW_RESTORE_DATA844__">#REF!,#REF!,#REF!,#REF!,#REF!,#REF!,#REF!,#REF!,#REF!,#REF!,#REF!,#REF!,#REF!,#REF!,#REF!</definedName>
    <definedName name="__APW_RESTORE_DATA845__">#REF!,#REF!,#REF!,#REF!,#REF!,#REF!,#REF!,#REF!,#REF!,#REF!,#REF!,#REF!,#REF!,#REF!,#REF!</definedName>
    <definedName name="__APW_RESTORE_DATA846__">#REF!,#REF!,#REF!,#REF!,#REF!,#REF!,#REF!,#REF!,#REF!,#REF!,#REF!,#REF!,#REF!,#REF!,#REF!</definedName>
    <definedName name="__APW_RESTORE_DATA847__">#REF!,#REF!,#REF!,#REF!,#REF!,#REF!,#REF!,#REF!,#REF!,#REF!,#REF!,#REF!,#REF!,#REF!,#REF!</definedName>
    <definedName name="__APW_RESTORE_DATA848__">#REF!,#REF!,#REF!,#REF!,#REF!,#REF!,#REF!,#REF!,#REF!,#REF!,#REF!,#REF!,#REF!,#REF!,#REF!</definedName>
    <definedName name="__APW_RESTORE_DATA849__">#REF!,#REF!,#REF!,#REF!,#REF!,#REF!,#REF!,#REF!,#REF!,#REF!,#REF!,#REF!,#REF!,#REF!,#REF!</definedName>
    <definedName name="__APW_RESTORE_DATA85__">#REF!,#REF!,#REF!,#REF!,#REF!,#REF!,#REF!,#REF!,#REF!,#REF!,#REF!,#REF!,#REF!,#REF!,#REF!</definedName>
    <definedName name="__APW_RESTORE_DATA850__">#REF!,#REF!,#REF!,#REF!,#REF!,#REF!,#REF!,#REF!,#REF!,#REF!,#REF!,#REF!,#REF!,#REF!,#REF!</definedName>
    <definedName name="__APW_RESTORE_DATA851__">#REF!,#REF!,#REF!,#REF!,#REF!,#REF!,#REF!,#REF!,#REF!,#REF!,#REF!,#REF!,#REF!,#REF!,#REF!</definedName>
    <definedName name="__APW_RESTORE_DATA852__">#REF!,#REF!,#REF!,#REF!,#REF!,#REF!,#REF!,#REF!,#REF!,#REF!,#REF!,#REF!,#REF!,#REF!,#REF!</definedName>
    <definedName name="__APW_RESTORE_DATA853__">#REF!,#REF!,#REF!,#REF!,#REF!,#REF!,#REF!,#REF!,#REF!,#REF!,#REF!,#REF!,#REF!,#REF!,#REF!</definedName>
    <definedName name="__APW_RESTORE_DATA854__">#REF!,#REF!,#REF!,#REF!,#REF!,#REF!,#REF!,#REF!,#REF!,#REF!,#REF!,#REF!,#REF!,#REF!,#REF!</definedName>
    <definedName name="__APW_RESTORE_DATA855__">#REF!,#REF!,#REF!,#REF!,#REF!,#REF!,#REF!,#REF!,#REF!,#REF!,#REF!,#REF!,#REF!,#REF!,#REF!</definedName>
    <definedName name="__APW_RESTORE_DATA856__">#REF!,#REF!,#REF!,#REF!,#REF!,#REF!,#REF!,#REF!,#REF!,#REF!,#REF!,#REF!,#REF!,#REF!,#REF!</definedName>
    <definedName name="__APW_RESTORE_DATA857__">#REF!,#REF!,#REF!,#REF!,#REF!,#REF!,#REF!,#REF!,#REF!,#REF!,#REF!,#REF!,#REF!,#REF!,#REF!</definedName>
    <definedName name="__APW_RESTORE_DATA858__">#REF!,#REF!,#REF!,#REF!,#REF!,#REF!,#REF!,#REF!,#REF!,#REF!,#REF!,#REF!,#REF!,#REF!,#REF!</definedName>
    <definedName name="__APW_RESTORE_DATA859__">#REF!,#REF!,#REF!,#REF!,#REF!,#REF!,#REF!,#REF!,#REF!,#REF!,#REF!,#REF!,#REF!,#REF!,#REF!</definedName>
    <definedName name="__APW_RESTORE_DATA86__">#REF!,#REF!,#REF!,#REF!,#REF!,#REF!,#REF!,#REF!,#REF!,#REF!,#REF!,#REF!,#REF!,#REF!,#REF!</definedName>
    <definedName name="__APW_RESTORE_DATA860__">#REF!,#REF!,#REF!,#REF!,#REF!,#REF!</definedName>
    <definedName name="__APW_RESTORE_DATA861__">#REF!</definedName>
    <definedName name="__APW_RESTORE_DATA862__">#REF!</definedName>
    <definedName name="__APW_RESTORE_DATA863__">#REF!</definedName>
    <definedName name="__APW_RESTORE_DATA864__">#REF!</definedName>
    <definedName name="__APW_RESTORE_DATA865__">#REF!,#REF!,#REF!,#REF!,#REF!,#REF!,#REF!,#REF!,#REF!,#REF!,#REF!,#REF!,#REF!,#REF!,#REF!,#REF!</definedName>
    <definedName name="__APW_RESTORE_DATA866__">#REF!,#REF!,#REF!,#REF!,#REF!,#REF!,#REF!,#REF!,#REF!,#REF!,#REF!,#REF!,#REF!,#REF!,#REF!,#REF!</definedName>
    <definedName name="__APW_RESTORE_DATA867__">#REF!,#REF!,#REF!,#REF!,#REF!,#REF!,#REF!,#REF!,#REF!,#REF!,#REF!,#REF!,#REF!,#REF!,#REF!,#REF!</definedName>
    <definedName name="__APW_RESTORE_DATA868__">#REF!,#REF!,#REF!,#REF!,#REF!,#REF!,#REF!,#REF!,#REF!,#REF!,#REF!,#REF!,#REF!,#REF!,#REF!,#REF!</definedName>
    <definedName name="__APW_RESTORE_DATA869__">#REF!,#REF!,#REF!,#REF!,#REF!,#REF!,#REF!,#REF!,#REF!,#REF!,#REF!,#REF!,#REF!,#REF!,#REF!,#REF!</definedName>
    <definedName name="__APW_RESTORE_DATA87__">#REF!,#REF!,#REF!,#REF!,#REF!,#REF!,#REF!,#REF!,#REF!,#REF!,#REF!,#REF!,#REF!,#REF!,#REF!</definedName>
    <definedName name="__APW_RESTORE_DATA870__">#REF!,#REF!,#REF!,#REF!,#REF!,#REF!,#REF!,#REF!,#REF!,#REF!,#REF!,#REF!,#REF!,#REF!,#REF!,#REF!</definedName>
    <definedName name="__APW_RESTORE_DATA871__">#REF!,#REF!,#REF!,#REF!,#REF!,#REF!,#REF!,#REF!,#REF!,#REF!,#REF!,#REF!,#REF!,#REF!,#REF!</definedName>
    <definedName name="__APW_RESTORE_DATA872__">#REF!,#REF!,#REF!,#REF!,#REF!,#REF!,#REF!,#REF!,#REF!,#REF!,#REF!,#REF!,#REF!,#REF!,#REF!</definedName>
    <definedName name="__APW_RESTORE_DATA873__">#REF!,#REF!,#REF!,#REF!,#REF!,#REF!,#REF!,#REF!,#REF!,#REF!,#REF!,#REF!,#REF!,#REF!,#REF!</definedName>
    <definedName name="__APW_RESTORE_DATA874__">#REF!,#REF!,#REF!,#REF!,#REF!,#REF!,#REF!,#REF!,#REF!,#REF!,#REF!,#REF!,#REF!,#REF!,#REF!</definedName>
    <definedName name="__APW_RESTORE_DATA875__">#REF!,#REF!,#REF!,#REF!,#REF!,#REF!,#REF!,#REF!,#REF!,#REF!,#REF!,#REF!,#REF!,#REF!,#REF!</definedName>
    <definedName name="__APW_RESTORE_DATA876__">#REF!,#REF!,#REF!,#REF!,#REF!,#REF!,#REF!,#REF!,#REF!,#REF!,#REF!,#REF!,#REF!,#REF!,#REF!</definedName>
    <definedName name="__APW_RESTORE_DATA877__">#REF!,#REF!,#REF!,#REF!,#REF!,#REF!,#REF!,#REF!,#REF!,#REF!,#REF!,#REF!,#REF!,#REF!,#REF!</definedName>
    <definedName name="__APW_RESTORE_DATA878__">#REF!,#REF!,#REF!,#REF!,#REF!,#REF!,#REF!,#REF!,#REF!,#REF!,#REF!,#REF!,#REF!,#REF!,#REF!</definedName>
    <definedName name="__APW_RESTORE_DATA879__">#REF!,#REF!,#REF!,#REF!,#REF!,#REF!,#REF!,#REF!,#REF!,#REF!,#REF!,#REF!,#REF!,#REF!,#REF!</definedName>
    <definedName name="__APW_RESTORE_DATA88__">#REF!,#REF!,#REF!,#REF!,#REF!,#REF!,#REF!,#REF!,#REF!,#REF!,#REF!,#REF!,#REF!,#REF!,#REF!</definedName>
    <definedName name="__APW_RESTORE_DATA880__">#REF!,#REF!,#REF!,#REF!,#REF!,#REF!,#REF!,#REF!,#REF!,#REF!,#REF!,#REF!,#REF!,#REF!,#REF!</definedName>
    <definedName name="__APW_RESTORE_DATA881__">#REF!,#REF!,#REF!,#REF!,#REF!,#REF!,#REF!,#REF!,#REF!,#REF!,#REF!,#REF!,#REF!,#REF!,#REF!</definedName>
    <definedName name="__APW_RESTORE_DATA882__">#REF!,#REF!,#REF!,#REF!,#REF!,#REF!,#REF!,#REF!,#REF!,#REF!,#REF!,#REF!,#REF!,#REF!,#REF!</definedName>
    <definedName name="__APW_RESTORE_DATA883__">#REF!,#REF!,#REF!,#REF!,#REF!,#REF!,#REF!,#REF!,#REF!,#REF!,#REF!,#REF!,#REF!,#REF!,#REF!</definedName>
    <definedName name="__APW_RESTORE_DATA884__">#REF!,#REF!,#REF!,#REF!,#REF!,#REF!,#REF!,#REF!,#REF!,#REF!,#REF!,#REF!,#REF!,#REF!,#REF!</definedName>
    <definedName name="__APW_RESTORE_DATA885__">#REF!,#REF!,#REF!,#REF!,#REF!,#REF!,#REF!,#REF!,#REF!,#REF!,#REF!,#REF!,#REF!,#REF!,#REF!</definedName>
    <definedName name="__APW_RESTORE_DATA886__">#REF!,#REF!,#REF!,#REF!,#REF!,#REF!,#REF!,#REF!,#REF!,#REF!,#REF!,#REF!,#REF!,#REF!,#REF!</definedName>
    <definedName name="__APW_RESTORE_DATA887__">#REF!,#REF!,#REF!,#REF!,#REF!,#REF!,#REF!,#REF!,#REF!,#REF!,#REF!,#REF!,#REF!,#REF!,#REF!</definedName>
    <definedName name="__APW_RESTORE_DATA888__">#REF!,#REF!,#REF!,#REF!,#REF!,#REF!,#REF!,#REF!,#REF!,#REF!,#REF!,#REF!,#REF!,#REF!,#REF!</definedName>
    <definedName name="__APW_RESTORE_DATA889__">#REF!,#REF!,#REF!,#REF!,#REF!,#REF!,#REF!,#REF!,#REF!,#REF!,#REF!,#REF!,#REF!,#REF!,#REF!</definedName>
    <definedName name="__APW_RESTORE_DATA89__">#REF!,#REF!,#REF!,#REF!,#REF!,#REF!,#REF!,#REF!,#REF!,#REF!,#REF!,#REF!,#REF!,#REF!,#REF!</definedName>
    <definedName name="__APW_RESTORE_DATA890__">#REF!,#REF!,#REF!,#REF!,#REF!,#REF!,#REF!,#REF!,#REF!,#REF!,#REF!,#REF!,#REF!,#REF!,#REF!</definedName>
    <definedName name="__APW_RESTORE_DATA891__">#REF!,#REF!,#REF!,#REF!,#REF!,#REF!,#REF!,#REF!,#REF!,#REF!,#REF!,#REF!,#REF!,#REF!,#REF!</definedName>
    <definedName name="__APW_RESTORE_DATA892__">#REF!,#REF!,#REF!,#REF!,#REF!,#REF!,#REF!,#REF!,#REF!,#REF!,#REF!,#REF!,#REF!,#REF!,#REF!</definedName>
    <definedName name="__APW_RESTORE_DATA893__">#REF!,#REF!,#REF!,#REF!,#REF!,#REF!,#REF!,#REF!,#REF!,#REF!,#REF!,#REF!,#REF!,#REF!,#REF!</definedName>
    <definedName name="__APW_RESTORE_DATA894__">#REF!,#REF!,#REF!,#REF!,#REF!,#REF!,#REF!,#REF!,#REF!,#REF!,#REF!,#REF!,#REF!,#REF!,#REF!</definedName>
    <definedName name="__APW_RESTORE_DATA895__">#REF!,#REF!,#REF!,#REF!,#REF!,#REF!,#REF!,#REF!,#REF!,#REF!,#REF!,#REF!,#REF!,#REF!,#REF!</definedName>
    <definedName name="__APW_RESTORE_DATA896__">#REF!,#REF!,#REF!,#REF!,#REF!,#REF!,#REF!,#REF!,#REF!,#REF!,#REF!,#REF!,#REF!,#REF!,#REF!</definedName>
    <definedName name="__APW_RESTORE_DATA897__">#REF!,#REF!,#REF!,#REF!,#REF!,#REF!,#REF!,#REF!,#REF!,#REF!,#REF!,#REF!,#REF!,#REF!,#REF!</definedName>
    <definedName name="__APW_RESTORE_DATA898__">#REF!,#REF!,#REF!,#REF!,#REF!,#REF!,#REF!,#REF!,#REF!,#REF!,#REF!,#REF!,#REF!,#REF!,#REF!</definedName>
    <definedName name="__APW_RESTORE_DATA899__">#REF!,#REF!,#REF!,#REF!,#REF!,#REF!</definedName>
    <definedName name="__APW_RESTORE_DATA9__">#REF!</definedName>
    <definedName name="__APW_RESTORE_DATA90__">#REF!,#REF!</definedName>
    <definedName name="__APW_RESTORE_DATA900__">#REF!,#REF!,#REF!,#REF!,#REF!,#REF!,#REF!,#REF!,#REF!,#REF!,#REF!,#REF!,#REF!,#REF!,#REF!,#REF!</definedName>
    <definedName name="__APW_RESTORE_DATA901__">#REF!,#REF!,#REF!,#REF!,#REF!,#REF!,#REF!,#REF!,#REF!,#REF!,#REF!,#REF!,#REF!,#REF!,#REF!,#REF!</definedName>
    <definedName name="__APW_RESTORE_DATA902__">#REF!,#REF!,#REF!,#REF!,#REF!,#REF!,#REF!,#REF!,#REF!,#REF!,#REF!,#REF!,#REF!,#REF!,#REF!,#REF!</definedName>
    <definedName name="__APW_RESTORE_DATA903__">#REF!,#REF!,#REF!,#REF!,#REF!,#REF!,#REF!,#REF!,#REF!,#REF!,#REF!,#REF!,#REF!,#REF!,#REF!,#REF!</definedName>
    <definedName name="__APW_RESTORE_DATA904__">#REF!,#REF!,#REF!,#REF!,#REF!,#REF!,#REF!,#REF!,#REF!,#REF!,#REF!,#REF!,#REF!,#REF!,#REF!,#REF!</definedName>
    <definedName name="__APW_RESTORE_DATA905__">#REF!,#REF!,#REF!,#REF!,#REF!,#REF!,#REF!,#REF!,#REF!,#REF!,#REF!,#REF!,#REF!,#REF!,#REF!,#REF!</definedName>
    <definedName name="__APW_RESTORE_DATA906__">#REF!,#REF!,#REF!,#REF!,#REF!,#REF!,#REF!,#REF!,#REF!,#REF!,#REF!,#REF!,#REF!,#REF!,#REF!</definedName>
    <definedName name="__APW_RESTORE_DATA907__">#REF!,#REF!,#REF!,#REF!,#REF!,#REF!,#REF!,#REF!,#REF!,#REF!,#REF!,#REF!,#REF!,#REF!,#REF!</definedName>
    <definedName name="__APW_RESTORE_DATA908__">#REF!,#REF!,#REF!,#REF!,#REF!,#REF!,#REF!,#REF!,#REF!,#REF!,#REF!,#REF!,#REF!,#REF!,#REF!</definedName>
    <definedName name="__APW_RESTORE_DATA909__">#REF!,#REF!,#REF!,#REF!,#REF!,#REF!,#REF!,#REF!,#REF!,#REF!,#REF!,#REF!,#REF!,#REF!,#REF!</definedName>
    <definedName name="__APW_RESTORE_DATA91__">#REF!,#REF!,#REF!,#REF!,#REF!,#REF!,#REF!,#REF!,#REF!,#REF!,#REF!,#REF!,#REF!,#REF!,#REF!</definedName>
    <definedName name="__APW_RESTORE_DATA910__">#REF!,#REF!,#REF!,#REF!,#REF!,#REF!,#REF!,#REF!,#REF!,#REF!,#REF!,#REF!,#REF!,#REF!,#REF!</definedName>
    <definedName name="__APW_RESTORE_DATA911__">#REF!,#REF!,#REF!,#REF!,#REF!,#REF!,#REF!,#REF!,#REF!,#REF!,#REF!,#REF!,#REF!,#REF!,#REF!</definedName>
    <definedName name="__APW_RESTORE_DATA912__">#REF!,#REF!,#REF!,#REF!,#REF!,#REF!,#REF!,#REF!,#REF!,#REF!,#REF!,#REF!,#REF!,#REF!,#REF!</definedName>
    <definedName name="__APW_RESTORE_DATA913__">#REF!,#REF!,#REF!,#REF!,#REF!,#REF!,#REF!,#REF!,#REF!,#REF!,#REF!,#REF!,#REF!,#REF!,#REF!</definedName>
    <definedName name="__APW_RESTORE_DATA914__">#REF!,#REF!,#REF!,#REF!,#REF!,#REF!,#REF!,#REF!,#REF!,#REF!,#REF!,#REF!,#REF!,#REF!,#REF!</definedName>
    <definedName name="__APW_RESTORE_DATA915__">#REF!,#REF!,#REF!,#REF!,#REF!,#REF!,#REF!,#REF!,#REF!,#REF!,#REF!,#REF!,#REF!,#REF!,#REF!</definedName>
    <definedName name="__APW_RESTORE_DATA916__">#REF!,#REF!,#REF!,#REF!,#REF!,#REF!,#REF!,#REF!,#REF!,#REF!,#REF!,#REF!,#REF!,#REF!,#REF!</definedName>
    <definedName name="__APW_RESTORE_DATA917__">#REF!,#REF!,#REF!,#REF!,#REF!,#REF!,#REF!,#REF!,#REF!,#REF!,#REF!,#REF!,#REF!,#REF!,#REF!</definedName>
    <definedName name="__APW_RESTORE_DATA918__">#REF!,#REF!,#REF!,#REF!,#REF!,#REF!,#REF!,#REF!,#REF!,#REF!,#REF!,#REF!,#REF!,#REF!,#REF!</definedName>
    <definedName name="__APW_RESTORE_DATA919__">#REF!,#REF!,#REF!,#REF!,#REF!,#REF!,#REF!,#REF!,#REF!,#REF!,#REF!,#REF!,#REF!,#REF!,#REF!</definedName>
    <definedName name="__APW_RESTORE_DATA92__">#REF!,#REF!,#REF!,#REF!,#REF!,#REF!,#REF!,#REF!,#REF!,#REF!,#REF!,#REF!,#REF!,#REF!,#REF!</definedName>
    <definedName name="__APW_RESTORE_DATA920__">#REF!,#REF!,#REF!,#REF!,#REF!,#REF!,#REF!,#REF!,#REF!,#REF!,#REF!,#REF!,#REF!,#REF!,#REF!</definedName>
    <definedName name="__APW_RESTORE_DATA921__">#REF!,#REF!,#REF!,#REF!,#REF!,#REF!,#REF!,#REF!,#REF!,#REF!,#REF!,#REF!,#REF!,#REF!,#REF!</definedName>
    <definedName name="__APW_RESTORE_DATA922__">#REF!,#REF!,#REF!,#REF!,#REF!,#REF!,#REF!,#REF!,#REF!,#REF!,#REF!,#REF!,#REF!,#REF!,#REF!</definedName>
    <definedName name="__APW_RESTORE_DATA923__">#REF!,#REF!,#REF!,#REF!,#REF!,#REF!,#REF!,#REF!,#REF!,#REF!,#REF!,#REF!,#REF!,#REF!,#REF!</definedName>
    <definedName name="__APW_RESTORE_DATA924__">#REF!,#REF!,#REF!,#REF!,#REF!,#REF!,#REF!,#REF!,#REF!,#REF!,#REF!,#REF!,#REF!,#REF!,#REF!</definedName>
    <definedName name="__APW_RESTORE_DATA925__">#REF!,#REF!,#REF!,#REF!,#REF!,#REF!,#REF!,#REF!,#REF!,#REF!,#REF!,#REF!,#REF!,#REF!,#REF!</definedName>
    <definedName name="__APW_RESTORE_DATA926__">#REF!,#REF!,#REF!,#REF!,#REF!,#REF!,#REF!,#REF!,#REF!,#REF!,#REF!,#REF!,#REF!,#REF!,#REF!</definedName>
    <definedName name="__APW_RESTORE_DATA927__">#REF!,#REF!,#REF!,#REF!,#REF!,#REF!,#REF!,#REF!,#REF!,#REF!,#REF!,#REF!,#REF!,#REF!,#REF!</definedName>
    <definedName name="__APW_RESTORE_DATA928__">#REF!,#REF!,#REF!,#REF!,#REF!,#REF!,#REF!,#REF!,#REF!,#REF!,#REF!,#REF!,#REF!,#REF!,#REF!</definedName>
    <definedName name="__APW_RESTORE_DATA929__">#REF!,#REF!,#REF!,#REF!,#REF!,#REF!,#REF!,#REF!,#REF!,#REF!,#REF!,#REF!,#REF!,#REF!,#REF!</definedName>
    <definedName name="__APW_RESTORE_DATA93__">#REF!,#REF!,#REF!,#REF!,#REF!,#REF!,#REF!,#REF!,#REF!,#REF!,#REF!,#REF!,#REF!,#REF!,#REF!</definedName>
    <definedName name="__APW_RESTORE_DATA930__">#REF!,#REF!,#REF!,#REF!,#REF!,#REF!,#REF!,#REF!,#REF!,#REF!,#REF!,#REF!,#REF!,#REF!,#REF!</definedName>
    <definedName name="__APW_RESTORE_DATA931__">#REF!,#REF!,#REF!,#REF!,#REF!,#REF!,#REF!,#REF!,#REF!,#REF!,#REF!,#REF!,#REF!,#REF!,#REF!</definedName>
    <definedName name="__APW_RESTORE_DATA932__">#REF!,#REF!,#REF!,#REF!,#REF!,#REF!,#REF!,#REF!,#REF!,#REF!,#REF!,#REF!,#REF!,#REF!,#REF!</definedName>
    <definedName name="__APW_RESTORE_DATA933__">#REF!,#REF!,#REF!,#REF!,#REF!,#REF!,#REF!,#REF!,#REF!,#REF!,#REF!,#REF!,#REF!,#REF!,#REF!</definedName>
    <definedName name="__APW_RESTORE_DATA934__">#REF!,#REF!,#REF!,#REF!,#REF!,#REF!</definedName>
    <definedName name="__APW_RESTORE_DATA935__">#REF!,#REF!,#REF!,#REF!,#REF!,#REF!,#REF!,#REF!,#REF!,#REF!,#REF!,#REF!,#REF!,#REF!,#REF!,#REF!</definedName>
    <definedName name="__APW_RESTORE_DATA936__">#REF!,#REF!,#REF!,#REF!,#REF!,#REF!,#REF!,#REF!,#REF!,#REF!,#REF!,#REF!,#REF!,#REF!,#REF!,#REF!</definedName>
    <definedName name="__APW_RESTORE_DATA937__">#REF!,#REF!,#REF!,#REF!,#REF!,#REF!,#REF!,#REF!,#REF!,#REF!,#REF!,#REF!,#REF!,#REF!,#REF!,#REF!</definedName>
    <definedName name="__APW_RESTORE_DATA938__">#REF!,#REF!,#REF!,#REF!,#REF!,#REF!,#REF!,#REF!,#REF!,#REF!,#REF!,#REF!,#REF!,#REF!,#REF!,#REF!</definedName>
    <definedName name="__APW_RESTORE_DATA939__">#REF!,#REF!,#REF!,#REF!,#REF!,#REF!,#REF!,#REF!,#REF!,#REF!,#REF!,#REF!,#REF!,#REF!,#REF!,#REF!</definedName>
    <definedName name="__APW_RESTORE_DATA94__">#REF!,#REF!,#REF!,#REF!,#REF!,#REF!,#REF!,#REF!,#REF!,#REF!,#REF!,#REF!,#REF!,#REF!,#REF!</definedName>
    <definedName name="__APW_RESTORE_DATA940__">#REF!,#REF!,#REF!,#REF!,#REF!,#REF!,#REF!,#REF!,#REF!,#REF!,#REF!,#REF!,#REF!,#REF!,#REF!,#REF!</definedName>
    <definedName name="__APW_RESTORE_DATA941__">#REF!,#REF!,#REF!,#REF!,#REF!,#REF!,#REF!,#REF!,#REF!,#REF!,#REF!,#REF!,#REF!,#REF!,#REF!</definedName>
    <definedName name="__APW_RESTORE_DATA942__">#REF!,#REF!,#REF!,#REF!,#REF!,#REF!,#REF!,#REF!,#REF!,#REF!,#REF!,#REF!,#REF!,#REF!,#REF!</definedName>
    <definedName name="__APW_RESTORE_DATA943__">#REF!,#REF!,#REF!,#REF!,#REF!,#REF!,#REF!,#REF!,#REF!,#REF!,#REF!,#REF!,#REF!,#REF!,#REF!</definedName>
    <definedName name="__APW_RESTORE_DATA944__">#REF!,#REF!,#REF!,#REF!,#REF!,#REF!,#REF!,#REF!,#REF!,#REF!,#REF!,#REF!,#REF!,#REF!,#REF!</definedName>
    <definedName name="__APW_RESTORE_DATA945__">#REF!,#REF!,#REF!,#REF!,#REF!,#REF!,#REF!,#REF!,#REF!,#REF!,#REF!,#REF!,#REF!,#REF!,#REF!</definedName>
    <definedName name="__APW_RESTORE_DATA946__">#REF!,#REF!,#REF!,#REF!,#REF!,#REF!,#REF!,#REF!,#REF!,#REF!,#REF!,#REF!,#REF!,#REF!,#REF!</definedName>
    <definedName name="__APW_RESTORE_DATA947__">#REF!,#REF!,#REF!,#REF!,#REF!,#REF!,#REF!,#REF!,#REF!,#REF!,#REF!,#REF!,#REF!,#REF!,#REF!</definedName>
    <definedName name="__APW_RESTORE_DATA948__">#REF!,#REF!,#REF!,#REF!,#REF!,#REF!,#REF!,#REF!,#REF!,#REF!,#REF!,#REF!,#REF!,#REF!,#REF!</definedName>
    <definedName name="__APW_RESTORE_DATA949__">#REF!,#REF!,#REF!,#REF!,#REF!,#REF!,#REF!,#REF!,#REF!,#REF!,#REF!,#REF!,#REF!,#REF!,#REF!</definedName>
    <definedName name="__APW_RESTORE_DATA95__">#REF!,#REF!</definedName>
    <definedName name="__APW_RESTORE_DATA950__">#REF!,#REF!,#REF!,#REF!,#REF!,#REF!,#REF!,#REF!,#REF!,#REF!,#REF!,#REF!,#REF!,#REF!,#REF!</definedName>
    <definedName name="__APW_RESTORE_DATA951__">#REF!,#REF!,#REF!,#REF!,#REF!,#REF!,#REF!,#REF!,#REF!,#REF!,#REF!,#REF!,#REF!,#REF!,#REF!</definedName>
    <definedName name="__APW_RESTORE_DATA952__">#REF!,#REF!,#REF!,#REF!,#REF!,#REF!,#REF!,#REF!,#REF!,#REF!,#REF!,#REF!,#REF!,#REF!,#REF!</definedName>
    <definedName name="__APW_RESTORE_DATA953__">#REF!,#REF!,#REF!,#REF!,#REF!,#REF!,#REF!,#REF!,#REF!,#REF!,#REF!,#REF!,#REF!,#REF!,#REF!</definedName>
    <definedName name="__APW_RESTORE_DATA954__">#REF!,#REF!,#REF!,#REF!,#REF!,#REF!,#REF!,#REF!,#REF!,#REF!,#REF!,#REF!,#REF!,#REF!,#REF!</definedName>
    <definedName name="__APW_RESTORE_DATA955__">#REF!,#REF!,#REF!,#REF!,#REF!,#REF!,#REF!,#REF!,#REF!,#REF!,#REF!,#REF!,#REF!,#REF!,#REF!</definedName>
    <definedName name="__APW_RESTORE_DATA956__">#REF!,#REF!,#REF!,#REF!,#REF!,#REF!,#REF!,#REF!,#REF!,#REF!,#REF!,#REF!,#REF!,#REF!,#REF!</definedName>
    <definedName name="__APW_RESTORE_DATA957__">#REF!,#REF!,#REF!,#REF!,#REF!,#REF!,#REF!,#REF!,#REF!,#REF!,#REF!,#REF!,#REF!,#REF!,#REF!</definedName>
    <definedName name="__APW_RESTORE_DATA958__">#REF!,#REF!,#REF!,#REF!,#REF!,#REF!,#REF!,#REF!,#REF!,#REF!,#REF!,#REF!,#REF!,#REF!,#REF!</definedName>
    <definedName name="__APW_RESTORE_DATA959__">#REF!,#REF!,#REF!,#REF!,#REF!,#REF!,#REF!,#REF!,#REF!,#REF!,#REF!,#REF!,#REF!,#REF!,#REF!</definedName>
    <definedName name="__APW_RESTORE_DATA96__">#REF!,#REF!,#REF!,#REF!,#REF!,#REF!,#REF!,#REF!,#REF!,#REF!,#REF!,#REF!,#REF!,#REF!,#REF!</definedName>
    <definedName name="__APW_RESTORE_DATA960__">#REF!,#REF!,#REF!,#REF!,#REF!,#REF!,#REF!,#REF!,#REF!,#REF!,#REF!,#REF!,#REF!,#REF!,#REF!</definedName>
    <definedName name="__APW_RESTORE_DATA961__">#REF!,#REF!,#REF!,#REF!,#REF!,#REF!,#REF!,#REF!,#REF!,#REF!,#REF!,#REF!,#REF!,#REF!,#REF!</definedName>
    <definedName name="__APW_RESTORE_DATA962__">#REF!,#REF!,#REF!,#REF!,#REF!,#REF!,#REF!,#REF!,#REF!,#REF!,#REF!,#REF!,#REF!,#REF!,#REF!</definedName>
    <definedName name="__APW_RESTORE_DATA963__">#REF!,#REF!,#REF!,#REF!,#REF!,#REF!,#REF!,#REF!,#REF!,#REF!,#REF!,#REF!,#REF!,#REF!,#REF!</definedName>
    <definedName name="__APW_RESTORE_DATA964__">#REF!,#REF!,#REF!,#REF!,#REF!,#REF!,#REF!,#REF!,#REF!,#REF!,#REF!,#REF!,#REF!,#REF!,#REF!</definedName>
    <definedName name="__APW_RESTORE_DATA965__">#REF!,#REF!,#REF!,#REF!,#REF!,#REF!,#REF!,#REF!,#REF!,#REF!,#REF!,#REF!,#REF!,#REF!,#REF!</definedName>
    <definedName name="__APW_RESTORE_DATA966__">#REF!,#REF!,#REF!,#REF!,#REF!,#REF!,#REF!,#REF!,#REF!,#REF!,#REF!,#REF!,#REF!,#REF!,#REF!</definedName>
    <definedName name="__APW_RESTORE_DATA967__">#REF!,#REF!,#REF!,#REF!,#REF!,#REF!,#REF!,#REF!,#REF!,#REF!,#REF!,#REF!,#REF!,#REF!,#REF!</definedName>
    <definedName name="__APW_RESTORE_DATA968__">#REF!,#REF!,#REF!,#REF!,#REF!,#REF!,#REF!,#REF!,#REF!,#REF!,#REF!,#REF!,#REF!,#REF!,#REF!</definedName>
    <definedName name="__APW_RESTORE_DATA969__">#REF!,#REF!,#REF!,#REF!,#REF!,#REF!</definedName>
    <definedName name="__APW_RESTORE_DATA97__">#REF!,#REF!,#REF!,#REF!,#REF!,#REF!,#REF!,#REF!,#REF!,#REF!,#REF!,#REF!,#REF!,#REF!,#REF!</definedName>
    <definedName name="__APW_RESTORE_DATA970__">#REF!,#REF!,#REF!,#REF!,#REF!,#REF!,#REF!,#REF!,#REF!,#REF!,#REF!,#REF!,#REF!,#REF!,#REF!,#REF!</definedName>
    <definedName name="__APW_RESTORE_DATA971__">#REF!,#REF!,#REF!,#REF!,#REF!,#REF!,#REF!,#REF!,#REF!,#REF!,#REF!,#REF!,#REF!,#REF!,#REF!,#REF!</definedName>
    <definedName name="__APW_RESTORE_DATA972__">#REF!,#REF!,#REF!,#REF!,#REF!,#REF!,#REF!,#REF!,#REF!,#REF!,#REF!,#REF!,#REF!,#REF!,#REF!,#REF!</definedName>
    <definedName name="__APW_RESTORE_DATA973__">#REF!,#REF!,#REF!,#REF!,#REF!,#REF!,#REF!,#REF!,#REF!,#REF!,#REF!,#REF!,#REF!,#REF!,#REF!,#REF!</definedName>
    <definedName name="__APW_RESTORE_DATA974__">#REF!,#REF!,#REF!,#REF!,#REF!,#REF!,#REF!,#REF!,#REF!,#REF!,#REF!,#REF!,#REF!,#REF!,#REF!,#REF!</definedName>
    <definedName name="__APW_RESTORE_DATA975__">#REF!,#REF!,#REF!,#REF!,#REF!,#REF!,#REF!,#REF!,#REF!,#REF!,#REF!,#REF!,#REF!,#REF!,#REF!,#REF!</definedName>
    <definedName name="__APW_RESTORE_DATA976__">#REF!,#REF!,#REF!,#REF!,#REF!,#REF!,#REF!,#REF!,#REF!,#REF!,#REF!,#REF!,#REF!,#REF!,#REF!</definedName>
    <definedName name="__APW_RESTORE_DATA977__">#REF!,#REF!,#REF!,#REF!,#REF!,#REF!,#REF!,#REF!,#REF!,#REF!,#REF!,#REF!,#REF!,#REF!,#REF!</definedName>
    <definedName name="__APW_RESTORE_DATA978__">#REF!,#REF!,#REF!,#REF!,#REF!,#REF!,#REF!,#REF!,#REF!,#REF!,#REF!,#REF!,#REF!,#REF!,#REF!</definedName>
    <definedName name="__APW_RESTORE_DATA979__">#REF!,#REF!,#REF!,#REF!,#REF!,#REF!,#REF!,#REF!,#REF!,#REF!,#REF!,#REF!,#REF!,#REF!,#REF!</definedName>
    <definedName name="__APW_RESTORE_DATA98__">#REF!,#REF!,#REF!,#REF!,#REF!,#REF!,#REF!,#REF!,#REF!,#REF!,#REF!,#REF!,#REF!,#REF!,#REF!</definedName>
    <definedName name="__APW_RESTORE_DATA980__">#REF!,#REF!,#REF!,#REF!,#REF!,#REF!,#REF!,#REF!,#REF!,#REF!,#REF!,#REF!,#REF!,#REF!,#REF!</definedName>
    <definedName name="__APW_RESTORE_DATA981__">#REF!,#REF!,#REF!,#REF!,#REF!,#REF!,#REF!,#REF!,#REF!,#REF!,#REF!,#REF!,#REF!,#REF!,#REF!</definedName>
    <definedName name="__APW_RESTORE_DATA982__">#REF!,#REF!,#REF!,#REF!,#REF!,#REF!,#REF!,#REF!,#REF!,#REF!,#REF!,#REF!,#REF!,#REF!,#REF!</definedName>
    <definedName name="__APW_RESTORE_DATA983__">#REF!,#REF!,#REF!,#REF!,#REF!,#REF!,#REF!,#REF!,#REF!,#REF!,#REF!,#REF!,#REF!,#REF!,#REF!</definedName>
    <definedName name="__APW_RESTORE_DATA984__">#REF!,#REF!,#REF!,#REF!,#REF!,#REF!,#REF!,#REF!,#REF!,#REF!,#REF!,#REF!,#REF!,#REF!,#REF!</definedName>
    <definedName name="__APW_RESTORE_DATA985__">#REF!,#REF!,#REF!,#REF!,#REF!,#REF!,#REF!,#REF!,#REF!,#REF!,#REF!,#REF!,#REF!,#REF!,#REF!</definedName>
    <definedName name="__APW_RESTORE_DATA986__">#REF!,#REF!,#REF!,#REF!,#REF!,#REF!,#REF!,#REF!,#REF!,#REF!,#REF!,#REF!,#REF!,#REF!,#REF!</definedName>
    <definedName name="__APW_RESTORE_DATA987__">#REF!,#REF!,#REF!,#REF!,#REF!,#REF!,#REF!,#REF!,#REF!,#REF!,#REF!,#REF!,#REF!,#REF!,#REF!</definedName>
    <definedName name="__APW_RESTORE_DATA988__">#REF!,#REF!,#REF!,#REF!,#REF!,#REF!,#REF!,#REF!,#REF!,#REF!,#REF!,#REF!,#REF!,#REF!,#REF!</definedName>
    <definedName name="__APW_RESTORE_DATA989__">#REF!,#REF!,#REF!,#REF!,#REF!,#REF!,#REF!,#REF!,#REF!,#REF!,#REF!,#REF!,#REF!,#REF!,#REF!</definedName>
    <definedName name="__APW_RESTORE_DATA99__">#REF!,#REF!,#REF!,#REF!,#REF!,#REF!,#REF!,#REF!,#REF!,#REF!,#REF!,#REF!,#REF!,#REF!,#REF!</definedName>
    <definedName name="__APW_RESTORE_DATA990__">#REF!,#REF!,#REF!,#REF!,#REF!,#REF!,#REF!,#REF!,#REF!,#REF!,#REF!,#REF!,#REF!,#REF!,#REF!</definedName>
    <definedName name="__APW_RESTORE_DATA991__">#REF!,#REF!,#REF!,#REF!,#REF!,#REF!,#REF!,#REF!,#REF!,#REF!,#REF!,#REF!,#REF!,#REF!,#REF!</definedName>
    <definedName name="__APW_RESTORE_DATA992__">#REF!,#REF!,#REF!,#REF!,#REF!,#REF!,#REF!,#REF!,#REF!,#REF!,#REF!,#REF!,#REF!,#REF!,#REF!</definedName>
    <definedName name="__APW_RESTORE_DATA993__">#REF!,#REF!,#REF!,#REF!,#REF!,#REF!,#REF!,#REF!,#REF!,#REF!,#REF!,#REF!,#REF!,#REF!,#REF!</definedName>
    <definedName name="__APW_RESTORE_DATA994__">#REF!,#REF!,#REF!,#REF!,#REF!,#REF!,#REF!,#REF!,#REF!,#REF!,#REF!,#REF!,#REF!,#REF!,#REF!</definedName>
    <definedName name="__APW_RESTORE_DATA995__">#REF!,#REF!,#REF!,#REF!,#REF!,#REF!,#REF!,#REF!,#REF!,#REF!,#REF!,#REF!,#REF!,#REF!,#REF!</definedName>
    <definedName name="__APW_RESTORE_DATA996__">#REF!,#REF!,#REF!,#REF!,#REF!,#REF!,#REF!,#REF!,#REF!,#REF!,#REF!,#REF!,#REF!,#REF!,#REF!</definedName>
    <definedName name="__APW_RESTORE_DATA997__">#REF!,#REF!,#REF!,#REF!,#REF!,#REF!,#REF!,#REF!,#REF!,#REF!,#REF!,#REF!,#REF!,#REF!,#REF!</definedName>
    <definedName name="__APW_RESTORE_DATA998__">#REF!,#REF!,#REF!,#REF!,#REF!,#REF!,#REF!,#REF!,#REF!,#REF!,#REF!,#REF!,#REF!,#REF!,#REF!</definedName>
    <definedName name="__APW_RESTORE_DATA999__">#REF!,#REF!,#REF!,#REF!,#REF!,#REF!,#REF!,#REF!,#REF!,#REF!,#REF!,#REF!,#REF!,#REF!,#REF!</definedName>
    <definedName name="__APW_RESTORE_HYPERLINK0__">#REF!</definedName>
    <definedName name="__APW_RESTORE_HYPERLINK1__">#REF!</definedName>
    <definedName name="__APW_RESTORE_HYPERLINK10__">#REF!</definedName>
    <definedName name="__APW_RESTORE_HYPERLINK100__">#REF!</definedName>
    <definedName name="__APW_RESTORE_HYPERLINK101__">#REF!</definedName>
    <definedName name="__APW_RESTORE_HYPERLINK102__">#REF!</definedName>
    <definedName name="__APW_RESTORE_HYPERLINK103__">#REF!</definedName>
    <definedName name="__APW_RESTORE_HYPERLINK104__">#REF!</definedName>
    <definedName name="__APW_RESTORE_HYPERLINK105__">#REF!</definedName>
    <definedName name="__APW_RESTORE_HYPERLINK106__">#REF!</definedName>
    <definedName name="__APW_RESTORE_HYPERLINK107__">#REF!</definedName>
    <definedName name="__APW_RESTORE_HYPERLINK108__">#REF!</definedName>
    <definedName name="__APW_RESTORE_HYPERLINK109__">#REF!</definedName>
    <definedName name="__APW_RESTORE_HYPERLINK11__">#REF!</definedName>
    <definedName name="__APW_RESTORE_HYPERLINK110__">#REF!</definedName>
    <definedName name="__APW_RESTORE_HYPERLINK111__">#REF!</definedName>
    <definedName name="__APW_RESTORE_HYPERLINK112__">#REF!</definedName>
    <definedName name="__APW_RESTORE_HYPERLINK113__">#REF!</definedName>
    <definedName name="__APW_RESTORE_HYPERLINK114__">#REF!</definedName>
    <definedName name="__APW_RESTORE_HYPERLINK115__">#REF!</definedName>
    <definedName name="__APW_RESTORE_HYPERLINK116__">#REF!</definedName>
    <definedName name="__APW_RESTORE_HYPERLINK117__">#REF!</definedName>
    <definedName name="__APW_RESTORE_HYPERLINK118__">#REF!</definedName>
    <definedName name="__APW_RESTORE_HYPERLINK12__">#REF!</definedName>
    <definedName name="__APW_RESTORE_HYPERLINK13__">#REF!</definedName>
    <definedName name="__APW_RESTORE_HYPERLINK14__">#REF!</definedName>
    <definedName name="__APW_RESTORE_HYPERLINK15__">#REF!</definedName>
    <definedName name="__APW_RESTORE_HYPERLINK16__">#REF!</definedName>
    <definedName name="__APW_RESTORE_HYPERLINK17__">#REF!</definedName>
    <definedName name="__APW_RESTORE_HYPERLINK18__">#REF!</definedName>
    <definedName name="__APW_RESTORE_HYPERLINK19__">#REF!</definedName>
    <definedName name="__APW_RESTORE_HYPERLINK2__">#REF!</definedName>
    <definedName name="__APW_RESTORE_HYPERLINK20__">#REF!</definedName>
    <definedName name="__APW_RESTORE_HYPERLINK21__">#REF!</definedName>
    <definedName name="__APW_RESTORE_HYPERLINK22__">#REF!</definedName>
    <definedName name="__APW_RESTORE_HYPERLINK23__">#REF!</definedName>
    <definedName name="__APW_RESTORE_HYPERLINK24__">#REF!</definedName>
    <definedName name="__APW_RESTORE_HYPERLINK25__">#REF!</definedName>
    <definedName name="__APW_RESTORE_HYPERLINK26__">#REF!</definedName>
    <definedName name="__APW_RESTORE_HYPERLINK27__">#REF!</definedName>
    <definedName name="__APW_RESTORE_HYPERLINK28__">#REF!</definedName>
    <definedName name="__APW_RESTORE_HYPERLINK29__">#REF!</definedName>
    <definedName name="__APW_RESTORE_HYPERLINK3__">#REF!</definedName>
    <definedName name="__APW_RESTORE_HYPERLINK30__">#REF!</definedName>
    <definedName name="__APW_RESTORE_HYPERLINK31__">#REF!</definedName>
    <definedName name="__APW_RESTORE_HYPERLINK32__">#REF!</definedName>
    <definedName name="__APW_RESTORE_HYPERLINK33__">#REF!</definedName>
    <definedName name="__APW_RESTORE_HYPERLINK34__">#REF!</definedName>
    <definedName name="__APW_RESTORE_HYPERLINK35__">#REF!</definedName>
    <definedName name="__APW_RESTORE_HYPERLINK36__">#REF!</definedName>
    <definedName name="__APW_RESTORE_HYPERLINK37__">#REF!</definedName>
    <definedName name="__APW_RESTORE_HYPERLINK38__">#REF!</definedName>
    <definedName name="__APW_RESTORE_HYPERLINK39__">#REF!</definedName>
    <definedName name="__APW_RESTORE_HYPERLINK4__">#REF!</definedName>
    <definedName name="__APW_RESTORE_HYPERLINK40__">#REF!</definedName>
    <definedName name="__APW_RESTORE_HYPERLINK41__">#REF!</definedName>
    <definedName name="__APW_RESTORE_HYPERLINK42__">#REF!</definedName>
    <definedName name="__APW_RESTORE_HYPERLINK43__">#REF!</definedName>
    <definedName name="__APW_RESTORE_HYPERLINK44__">#REF!</definedName>
    <definedName name="__APW_RESTORE_HYPERLINK45__">#REF!</definedName>
    <definedName name="__APW_RESTORE_HYPERLINK46__">#REF!</definedName>
    <definedName name="__APW_RESTORE_HYPERLINK47__">#REF!</definedName>
    <definedName name="__APW_RESTORE_HYPERLINK48__">#REF!</definedName>
    <definedName name="__APW_RESTORE_HYPERLINK49__">#REF!</definedName>
    <definedName name="__APW_RESTORE_HYPERLINK5__">#REF!</definedName>
    <definedName name="__APW_RESTORE_HYPERLINK50__">#REF!</definedName>
    <definedName name="__APW_RESTORE_HYPERLINK51__">#REF!</definedName>
    <definedName name="__APW_RESTORE_HYPERLINK52__">#REF!</definedName>
    <definedName name="__APW_RESTORE_HYPERLINK53__">#REF!</definedName>
    <definedName name="__APW_RESTORE_HYPERLINK54__">#REF!</definedName>
    <definedName name="__APW_RESTORE_HYPERLINK55__">#REF!</definedName>
    <definedName name="__APW_RESTORE_HYPERLINK56__">#REF!</definedName>
    <definedName name="__APW_RESTORE_HYPERLINK57__">#REF!</definedName>
    <definedName name="__APW_RESTORE_HYPERLINK58__">#REF!</definedName>
    <definedName name="__APW_RESTORE_HYPERLINK59__">#REF!</definedName>
    <definedName name="__APW_RESTORE_HYPERLINK6__">#REF!</definedName>
    <definedName name="__APW_RESTORE_HYPERLINK60__">#REF!</definedName>
    <definedName name="__APW_RESTORE_HYPERLINK61__">#REF!</definedName>
    <definedName name="__APW_RESTORE_HYPERLINK62__">#REF!</definedName>
    <definedName name="__APW_RESTORE_HYPERLINK63__">#REF!</definedName>
    <definedName name="__APW_RESTORE_HYPERLINK64__">#REF!</definedName>
    <definedName name="__APW_RESTORE_HYPERLINK65__">#REF!</definedName>
    <definedName name="__APW_RESTORE_HYPERLINK66__">#REF!</definedName>
    <definedName name="__APW_RESTORE_HYPERLINK67__">#REF!</definedName>
    <definedName name="__APW_RESTORE_HYPERLINK68__">#REF!</definedName>
    <definedName name="__APW_RESTORE_HYPERLINK69__">#REF!</definedName>
    <definedName name="__APW_RESTORE_HYPERLINK7__">#REF!</definedName>
    <definedName name="__APW_RESTORE_HYPERLINK70__">#REF!</definedName>
    <definedName name="__APW_RESTORE_HYPERLINK71__">#REF!</definedName>
    <definedName name="__APW_RESTORE_HYPERLINK72__">#REF!</definedName>
    <definedName name="__APW_RESTORE_HYPERLINK73__">#REF!</definedName>
    <definedName name="__APW_RESTORE_HYPERLINK74__">#REF!</definedName>
    <definedName name="__APW_RESTORE_HYPERLINK75__">#REF!</definedName>
    <definedName name="__APW_RESTORE_HYPERLINK76__">#REF!</definedName>
    <definedName name="__APW_RESTORE_HYPERLINK77__">#REF!</definedName>
    <definedName name="__APW_RESTORE_HYPERLINK78__">#REF!</definedName>
    <definedName name="__APW_RESTORE_HYPERLINK79__">#REF!</definedName>
    <definedName name="__APW_RESTORE_HYPERLINK8__">#REF!</definedName>
    <definedName name="__APW_RESTORE_HYPERLINK80__">#REF!</definedName>
    <definedName name="__APW_RESTORE_HYPERLINK81__">#REF!</definedName>
    <definedName name="__APW_RESTORE_HYPERLINK82__">#REF!</definedName>
    <definedName name="__APW_RESTORE_HYPERLINK83__">#REF!</definedName>
    <definedName name="__APW_RESTORE_HYPERLINK84__">#REF!</definedName>
    <definedName name="__APW_RESTORE_HYPERLINK85__">#REF!</definedName>
    <definedName name="__APW_RESTORE_HYPERLINK86__">#REF!</definedName>
    <definedName name="__APW_RESTORE_HYPERLINK87__">#REF!</definedName>
    <definedName name="__APW_RESTORE_HYPERLINK88__">#REF!</definedName>
    <definedName name="__APW_RESTORE_HYPERLINK89__">#REF!</definedName>
    <definedName name="__APW_RESTORE_HYPERLINK9__">#REF!</definedName>
    <definedName name="__APW_RESTORE_HYPERLINK90__">#REF!</definedName>
    <definedName name="__APW_RESTORE_HYPERLINK91__">#REF!</definedName>
    <definedName name="__APW_RESTORE_HYPERLINK92__">#REF!</definedName>
    <definedName name="__APW_RESTORE_HYPERLINK93__">#REF!</definedName>
    <definedName name="__APW_RESTORE_HYPERLINK94__">#REF!</definedName>
    <definedName name="__APW_RESTORE_HYPERLINK95__">#REF!</definedName>
    <definedName name="__APW_RESTORE_HYPERLINK96__">#REF!</definedName>
    <definedName name="__APW_RESTORE_HYPERLINK97__">#REF!</definedName>
    <definedName name="__APW_RESTORE_HYPERLINK98__">#REF!</definedName>
    <definedName name="__APW_RESTORE_HYPERLINK99__">#REF!</definedName>
    <definedName name="__ASS6434">{"TOTALASSEMBLY",#N/A,FALSE,"ASSEMBLY EXPENSE";"DPAK",#N/A,FALSE,"ASSEMBLY EXPENSE";"TO220",#N/A,FALSE,"ASSEMBLY EXPENSE";"HEXDIP",#N/A,FALSE,"ASSEMBLY EXPENSE";"HEXSENSE",#N/A,FALSE,"ASSEMBLY EXPENSE";"MANAGEMENT",#N/A,FALSE,"ASSEMBLY EXPENSE";"MFGENGINEERING",#N/A,FALSE,"ASSEMBLY EXPENSE";"EQUIPENGINEERING",#N/A,FALSE,"ASSEMBLY EXPENSE";"TO220MGMT",#N/A,FALSE,"ASSEMBLY EXPENSE";"SAW",#N/A,FALSE,"ASSEMBLY EXPENSE";"EQUIPMENTSUPPORT",#N/A,FALSE,"ASSEMBLY EXPENSE";"MATERIALS",#N/A,FALSE,"ASSEMBLY EXPENSE"}</definedName>
    <definedName name="__CAP10">{"LC",#N/A,FALSE,"FC-15 Cap Expend"}</definedName>
    <definedName name="__DP6434">{"TOTALDPAK",#N/A,FALSE,"DPAK PRODUCTION";"HADPAK",#N/A,FALSE,"DPAK PRODUCTION";"PSIDPAK",#N/A,FALSE,"DPAK PRODUCTION"}</definedName>
    <definedName name="__FA16434">{"TOTALFAB",#N/A,FALSE,"WAFER FAB 1 EXPENSE";"FABMANAGEMENT",#N/A,FALSE,"WAFER FAB 1 EXPENSE";"FABPRODUCTION",#N/A,FALSE,"WAFER FAB 1 EXPENSE";"FABENGINEERING",#N/A,FALSE,"WAFER FAB 1 EXPENSE";"FABEQUIPSUPPORT",#N/A,FALSE,"WAFER FAB 1 EXPENSE";"FABPRODUCTLINE",#N/A,FALSE,"WAFER FAB 1 EXPENSE";"FABMATERIALS",#N/A,FALSE,"WAFER FAB 1 EXPENSE"}</definedName>
    <definedName name="__FA26434">{"TOTALFAB",#N/A,FALSE,"WAFER FAB 2 EXPENSE";"FABPRODUCTION",#N/A,FALSE,"WAFER FAB 2 EXPENSE";"FABENGINEERING",#N/A,FALSE,"WAFER FAB 2 EXPENSE";"FABEQUIPSUPPORT",#N/A,FALSE,"WAFER FAB 2 EXPENSE";"FABPRODUCTLINE",#N/A,FALSE,"WAFER FAB 2 EXPENSE";"FABMATERIALS",#N/A,FALSE,"WAFER FAB 2 EXPENSE"}</definedName>
    <definedName name="__FA96434">{"TOTALFAB",#N/A,FALSE,"WAFER FAB 2 EXPENSE";"FABPRODUCTION",#N/A,FALSE,"WAFER FAB 2 EXPENSE";"FABENGINEERING",#N/A,FALSE,"WAFER FAB 2 EXPENSE";"FABEQUIPSUPPORT",#N/A,FALSE,"WAFER FAB 2 EXPENSE";"FABPRODUCTLINE",#N/A,FALSE,"WAFER FAB 2 EXPENSE";"FABMATERIALS",#N/A,FALSE,"WAFER FAB 2 EXPENSE"}</definedName>
    <definedName name="__FAC6434">{"TOTAL",#N/A,FALSE,"FACILITIES EXPENSE";"TOTALDETAIL",#N/A,FALSE,"FACILITIES EXPENSE";"MATERIALS",#N/A,FALSE,"FACILITIES EXPENSE";"FACILITIES",#N/A,FALSE,"FACILITIES EXPENSE";"CHEM",#N/A,FALSE,"FACILITIES EXPENSE";"GENSVC",#N/A,FALSE,"FACILITIES EXPENSE";"SAFETY",#N/A,FALSE,"FACILITIES EXPENSE"}</definedName>
    <definedName name="__FDS_HYPERLINK_TOGGLE_STATE__">"ON"</definedName>
    <definedName name="__IntlFixup">TRUE</definedName>
    <definedName name="__new2">{"FY97Q1 nvs",#N/A,FALSE,"FY97 - Q1";"FY97Q2 nvs",#N/A,FALSE,"FY97 - Q2";"FY97Q3 nvs",#N/A,FALSE,"FY97 - Q3";"FY97Q4 nvs",#N/A,FALSE,"FY97 - Q4"}</definedName>
    <definedName name="__new3">{"FY98Q1 nvs",#N/A,FALSE,"FY98 - Q1";"FY98Q2 nvs",#N/A,FALSE,"FY98 - Q2";"FY98Q3 nvs",#N/A,FALSE,"FY98 - Q3";"FY98Q4 nvs",#N/A,FALSE,"FY98 - Q4"}</definedName>
    <definedName name="__new4">{"INPUT",#N/A,FALSE,"REVENUE AND GM ";"CONTROL",#N/A,FALSE,"REVENUE AND GM ";"SWITCH",#N/A,FALSE,"REVENUE AND GM ";"OUTPUT",#N/A,FALSE,"REVENUE AND GM ";"TOTAL",#N/A,FALSE,"REVENUE AND GM "}</definedName>
    <definedName name="__new5">{"FY97Total",#N/A,FALSE,"FY97 - Total";"FY98Total",#N/A,FALSE,"FY98 - Total"}</definedName>
    <definedName name="__new6">{"FY97Q1",#N/A,FALSE,"FY97 - Q1";"FY97Q2",#N/A,FALSE,"FY97 - Q2";"FY97Q3",#N/A,FALSE,"FY97 - Q3";"FY97Q4",#N/A,FALSE,"FY97 - Q4"}</definedName>
    <definedName name="__QR6434">{"QAEXPENSE",#N/A,FALSE,"QUALITY AND RELIABILITY EXPENSE";"qaadmin",#N/A,FALSE,"QUALITY AND RELIABILITY EXPENSE";"FA",#N/A,FALSE,"QUALITY AND RELIABILITY EXPENSE";"QA",#N/A,FALSE,"QUALITY AND RELIABILITY EXPENSE";"DOCCTRL",#N/A,FALSE,"QUALITY AND RELIABILITY EXPENSE";"PRODSUP",#N/A,FALSE,"QUALITY AND RELIABILITY EXPENSE"}</definedName>
    <definedName name="__TEM6434">{"ALLOCATION1",#N/A,FALSE,"EXPENSE ALLOCATIONS";"ALLOCATION2",#N/A,FALSE,"EXPENSE ALLOCATIONS";"ALLOCATION3",#N/A,FALSE,"EXPENSE ALLOCATIONS";"ALLOCATION4",#N/A,FALSE,"EXPENSE ALLOCATIONS"}</definedName>
    <definedName name="_1__123Graph_ACHART_1">#REF!</definedName>
    <definedName name="_10__123Graph_CCHART_3">#REF!</definedName>
    <definedName name="_11__123Graph_CCHART_8">#REF!</definedName>
    <definedName name="_12__123Graph_DCHART_1">#REF!</definedName>
    <definedName name="_13__123Graph_DCHART_8">#REF!</definedName>
    <definedName name="_14__123Graph_LBL_ACHART_3">#REF!</definedName>
    <definedName name="_15__123Graph_LBL_ACHART_4">#REF!</definedName>
    <definedName name="_16__123Graph_LBL_BCHART_3">#REF!</definedName>
    <definedName name="_17__123Graph_LBL_BCHART_4">#REF!</definedName>
    <definedName name="_18__123Graph_LBL_CCHART_3">#REF!</definedName>
    <definedName name="_18_123Grap">#REF!</definedName>
    <definedName name="_19__123Graph_XCHART_1">#REF!</definedName>
    <definedName name="_2__123Graph_ACHART_3">#REF!</definedName>
    <definedName name="_2__123Graph_BCHART_5">#REF!</definedName>
    <definedName name="_20__123Graph_XCHART_3">#REF!</definedName>
    <definedName name="_21__123Graph_ACHART_1">#REF!</definedName>
    <definedName name="_21__123Graph_XCHART_4">#REF!</definedName>
    <definedName name="_22__123Graph_XCHART_8">#REF!</definedName>
    <definedName name="_24__123Graph_BCHART_1">#REF!</definedName>
    <definedName name="_3__123Graph_ACHART_4">#REF!</definedName>
    <definedName name="_36_0__123Grap">#REF!</definedName>
    <definedName name="_4__123Graph_ACHART_8">#REF!</definedName>
    <definedName name="_4_0_0_K">#REF!</definedName>
    <definedName name="_5__123Graph_BCHART_1">#REF!</definedName>
    <definedName name="_6__123Graph_BCHART_3">#REF!</definedName>
    <definedName name="_6_0_0_S">#REF!</definedName>
    <definedName name="_6_123Grap">#REF!</definedName>
    <definedName name="_7__123Graph_BCHART_4">#REF!</definedName>
    <definedName name="_8__123Graph_BCHART_8">#REF!</definedName>
    <definedName name="_9__123Graph_CCHART_1">#REF!</definedName>
    <definedName name="_9_0__123Grap">#REF!</definedName>
    <definedName name="_a2">{#N/A,#N/A,FALSE,"Sheet1"}</definedName>
    <definedName name="_a3">{#N/A,#N/A,FALSE,"Sheet1"}</definedName>
    <definedName name="_age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ALL6434">{"ALLOCATION1",#N/A,FALSE,"EXPENSE ALLOCATIONS";"ALLOCATION2",#N/A,FALSE,"EXPENSE ALLOCATIONS";"ALLOCATION3",#N/A,FALSE,"EXPENSE ALLOCATIONS";"ALLOCATION4",#N/A,FALSE,"EXPENSE ALLOCATIONS"}</definedName>
    <definedName name="_ASS6434">{"TOTALASSEMBLY",#N/A,FALSE,"ASSEMBLY EXPENSE";"DPAK",#N/A,FALSE,"ASSEMBLY EXPENSE";"TO220",#N/A,FALSE,"ASSEMBLY EXPENSE";"HEXDIP",#N/A,FALSE,"ASSEMBLY EXPENSE";"HEXSENSE",#N/A,FALSE,"ASSEMBLY EXPENSE";"MANAGEMENT",#N/A,FALSE,"ASSEMBLY EXPENSE";"MFGENGINEERING",#N/A,FALSE,"ASSEMBLY EXPENSE";"EQUIPENGINEERING",#N/A,FALSE,"ASSEMBLY EXPENSE";"TO220MGMT",#N/A,FALSE,"ASSEMBLY EXPENSE";"SAW",#N/A,FALSE,"ASSEMBLY EXPENSE";"EQUIPMENTSUPPORT",#N/A,FALSE,"ASSEMBLY EXPENSE";"MATERIALS",#N/A,FALSE,"ASSEMBLY EXPENSE"}</definedName>
    <definedName name="_bdm.00457D83C68B4F379767509647D4B770.edm">#REF!</definedName>
    <definedName name="_bdm.005B80594200488E9E165EF3F2C28908.edm">#REF!</definedName>
    <definedName name="_bdm.008D6FFD7D6A471A9BEA8CF903B6C7C2.edm">#REF!</definedName>
    <definedName name="_bdm.0137E0766FBB43989A6B657766172BFC.edm">#REF!</definedName>
    <definedName name="_bdm.0143BC93EA7140F5A0D8770B9D24A399.edm">#REF!</definedName>
    <definedName name="_bdm.0171A5118726476496D76920B4A53B64.edm">#REF!</definedName>
    <definedName name="_bdm.0173A83F25FD4ABE9139628C0E5600AB.edm">#REF!</definedName>
    <definedName name="_bdm.01BF034E05804CB0BEA0A82340526F25.edm">#REF!</definedName>
    <definedName name="_bdm.01C28FB700454871A891ABE18FE58C95.edm">#REF!</definedName>
    <definedName name="_bdm.01EB9C67E4EF48A39C54CBCDE9D1C608.edm">#REF!</definedName>
    <definedName name="_bdm.02372C1801994453871128B0C1CE11A3.edm">#REF!</definedName>
    <definedName name="_bdm.02727B770D9A4072BD8BE768F843E98A.edm">#REF!</definedName>
    <definedName name="_bdm.028DA953ED5A4E64B9F0F0DB8E77013A.edm">#REF!</definedName>
    <definedName name="_bdm.029183D619C040B89AF88954BEC43C53.edm">#REF!</definedName>
    <definedName name="_bdm.02AB3F4A952145F6AE558A34F2E65497.edm">#REF!</definedName>
    <definedName name="_bdm.030A29289C4E4922855CDA31DE94D7DB.edm">#REF!</definedName>
    <definedName name="_bdm.038D0000E53F40A1BBA9C55FB8E4A33E.edm">#REF!</definedName>
    <definedName name="_bdm.040C4A80D8B447C29CC8F2B609D71884.edm">#REF!</definedName>
    <definedName name="_bdm.0427C32D24DD4BA49BA32E76732ACA78.edm">#REF!</definedName>
    <definedName name="_bdm.04284A5F29364DE1B82541512D7D5A26.edm">#REF!</definedName>
    <definedName name="_bdm.04C914825BB14FE693A136561227A9D3.edm">#REF!</definedName>
    <definedName name="_bdm.05449A2C1365489EB47B8792C18F0E0F.edm">#REF!</definedName>
    <definedName name="_bdm.05A117D50AC1453AA9A7C8DC62E86C66.edm">#REF!</definedName>
    <definedName name="_bdm.05B8D3DA55E6428FAAD41427E28F31AE.edm">#REF!</definedName>
    <definedName name="_bdm.05BFB30DE5A2466DB9B9012DD9D8723D.edm">#REF!</definedName>
    <definedName name="_bdm.0655061DE98C4F4FA45567EDF12BDC22.edm">#REF!</definedName>
    <definedName name="_bdm.06882000D7EC4603ABC8E6381370DD0A.edm">#REF!</definedName>
    <definedName name="_bdm.069A879FF8EA4B57BE247363BF8F5441.edm">#REF!</definedName>
    <definedName name="_bdm.06BD7E5DC49343D0BC9E24B3D568F267.edm">#REF!</definedName>
    <definedName name="_bdm.06C05DF667AB4977B7EDCC375788FC3A.edm">#REF!</definedName>
    <definedName name="_bdm.06D806A39DB940BBB06C1652601D6BB2.edm">#REF!</definedName>
    <definedName name="_bdm.072B493C82EF434DB90835B74C1F9FC7.edm">#REF!</definedName>
    <definedName name="_bdm.076EC8B16ECE41BEB0A1BB75F2F0442D.edm">#REF!</definedName>
    <definedName name="_bdm.079D6F1342ED426298FC2317A855E901.edm">#REF!</definedName>
    <definedName name="_bdm.07A104AD35704419B6192B86FD8D4A83.edm">#REF!</definedName>
    <definedName name="_bdm.07CC69077AE74920A46343AB3DF35B92.edm">#REF!</definedName>
    <definedName name="_bdm.0835BCE0041B4617B50C5B1F79B21D0F.edm">#REF!</definedName>
    <definedName name="_bdm.084512BFE96042E789DDCE2D4D2E2362.edm">#REF!</definedName>
    <definedName name="_bdm.08651129A4944E9A964B838054E86E31.edm">#REF!</definedName>
    <definedName name="_bdm.0877972DA27E4B98902DDD3DB715D881.edm">#REF!</definedName>
    <definedName name="_bdm.09013D0DB0C444CD9E96AE126F0C5B68.edm">#REF!</definedName>
    <definedName name="_bdm.0967897568EC45759A80A1AE8D671D40.edm">#REF!</definedName>
    <definedName name="_bdm.096FF8AC7F8C4C88B9CD5D067C276843.edm">#REF!</definedName>
    <definedName name="_bdm.09C666DDD5914212B0E72A814177656C.edm">#REF!</definedName>
    <definedName name="_bdm.09D84859A90745C3A39CC6CF2BE5A378.edm">#REF!</definedName>
    <definedName name="_bdm.0A0A3CF5B06D4EEB9073F5AD6C487597.edm">#REF!</definedName>
    <definedName name="_bdm.0A25679003614C8A8194BDB06D7ECE76.edm">#REF!</definedName>
    <definedName name="_bdm.0A3C559328AC4A5497DA0CDBCFEAEB60.edm">#REF!</definedName>
    <definedName name="_bdm.0A4D3CF42EB74FECA191A1720A3B9447.edm">#REF!</definedName>
    <definedName name="_bdm.0A4F042904F941FD8391EEF28BBC98B4.edm">#REF!</definedName>
    <definedName name="_bdm.0ACE807DD67140FEA9E155D8E8BD01F7.edm">#REF!</definedName>
    <definedName name="_bdm.0AE945C82B364869948D583491340E35.edm">#REF!</definedName>
    <definedName name="_bdm.0B0F7A2BAE2B404C880FF2B31FC34F46.edm">#REF!</definedName>
    <definedName name="_bdm.0B65BE0FDFF94646A235DE418632E18C.edm">#REF!</definedName>
    <definedName name="_bdm.0C0BD10B4E3345248DED622EDE90F7BE.edm">#REF!</definedName>
    <definedName name="_bdm.0C2C70612E2248D3B939A54966CABB16.edm">#REF!</definedName>
    <definedName name="_bdm.0C68BD863BAB43E9B724CDC4460D4617.edm">#REF!</definedName>
    <definedName name="_bdm.0C6E9B7479BA4D0E988C3C6D232EA9F0.edm">#REF!</definedName>
    <definedName name="_bdm.0CAEBC6421504DCBB904A308065ADC00.edm">#REF!</definedName>
    <definedName name="_bdm.0CBF10FC92AB4BB884D12885EB3AAA75.edm">#REF!</definedName>
    <definedName name="_bdm.0CC515A9407243E4A316C7EC35747C1E.edm">#REF!</definedName>
    <definedName name="_bdm.0CC700B72AB647858EA437FFBDBF74B7.edm">#REF!</definedName>
    <definedName name="_bdm.0CF914BA322E4A7A916EDBD477933018.edm">#REF!</definedName>
    <definedName name="_bdm.0D1E24B62BEB4EB882DE014B92FA49F4.edm">#REF!</definedName>
    <definedName name="_bdm.0D9F773AF632409B8D7335C2B4D83C78.edm">#REF!</definedName>
    <definedName name="_bdm.0DC64A07544148468600FDB1B3B3A914.edm">#REF!</definedName>
    <definedName name="_bdm.0DD945BF4B2E40F28E42CA2BE9531439.edm">#REF!</definedName>
    <definedName name="_bdm.0E5FDA7521C24E7095B72515E7A2775F.edm">#REF!</definedName>
    <definedName name="_bdm.0E70BCC72B2B4DE49E8203ABAAAE9484.edm">#REF!</definedName>
    <definedName name="_bdm.0EAB391FDFB94DC0B321C01DD375CE84.edm">#REF!</definedName>
    <definedName name="_bdm.0F733D46565741D3A46950AC57CD94D6.edm">#REF!</definedName>
    <definedName name="_bdm.0F796FEB183E43638935B14A618FB728.edm">#REF!</definedName>
    <definedName name="_bdm.0F82D6AB37A346A1B420C6C128389B8C.edm">#REF!</definedName>
    <definedName name="_bdm.0FB878A2788144008478E9C40565F302.edm">#REF!</definedName>
    <definedName name="_bdm.0FE279B69448463C90240A7B9E7664D2.edm">#REF!</definedName>
    <definedName name="_bdm.0FEB0BC0C7EB425EBC6304041D53DB81.edm">#REF!</definedName>
    <definedName name="_bdm.1069A8442E9D4BF6A7B995919C381754.edm">#REF!</definedName>
    <definedName name="_bdm.10A03D247BCC4DF6890A5EC737D05588.edm">#REF!</definedName>
    <definedName name="_bdm.10A6D7323C8549D9922AF95ABE31D3C9.edm">#REF!</definedName>
    <definedName name="_bdm.10B196EF5FFE4EEF9BF940FD2606326B.edm">#REF!</definedName>
    <definedName name="_bdm.10D816A0B0F44923BE5A056364344E1C.edm">#REF!</definedName>
    <definedName name="_bdm.10D98A598BB04F5CA76FC7188A326240.edm">#REF!</definedName>
    <definedName name="_bdm.10F3B658B2194E178688DAD510CD3028.edm">#REF!</definedName>
    <definedName name="_bdm.11070EDB44D5447DB24BC36422FB0EAD.edm">#REF!</definedName>
    <definedName name="_bdm.1137C6EF7B304E6C9B2394B379129E85.edm">#REF!</definedName>
    <definedName name="_bdm.11CB5107A63D4FA69065B57053D6A543.edm">#REF!</definedName>
    <definedName name="_bdm.11E4752A46644897961D0EE1990DE9A1.edm">#REF!</definedName>
    <definedName name="_bdm.127628DB1D0E4A13B03EE77CD33A53AA.edm">#REF!</definedName>
    <definedName name="_bdm.1288B277639343999EC19B75EBD94F98.edm">#REF!</definedName>
    <definedName name="_bdm.12A1A9D64F7A4434B43B05C5F203652B.edm">#REF!</definedName>
    <definedName name="_bdm.1318D1AEC03A476B88042523BE8522D8.edm">#REF!</definedName>
    <definedName name="_bdm.1324FF71A3D44D029DF064EF45DB5D92.edm">#REF!</definedName>
    <definedName name="_bdm.134A6EBD2F9340E6B9B6E40D06AB8CF8.edm">#REF!</definedName>
    <definedName name="_bdm.14BAB0A14E614A818779FED08E42DA90.edm">#REF!</definedName>
    <definedName name="_bdm.14CA6D7BAD4D400694A39D840E661BAE.edm">#REF!</definedName>
    <definedName name="_bdm.153304FBE968411C875A4FA9B642C44F.edm">#REF!</definedName>
    <definedName name="_bdm.153463CCFF7D43318A87EAC685AB82C5.edm">#REF!</definedName>
    <definedName name="_bdm.154E45818EF34702A48CF4D7E6A8392C.edm">#REF!</definedName>
    <definedName name="_bdm.155ED3B34A1A4F02B1DFE3611C868C45.edm">#REF!</definedName>
    <definedName name="_bdm.155F6E861E6F486488E1E6CA19BC58A2.edm">#REF!</definedName>
    <definedName name="_bdm.15E862A9BA7C467484ABE8284A791707.edm">#REF!</definedName>
    <definedName name="_bdm.160ADA4E66A04EA99E57F1094DB651A4.edm">#REF!</definedName>
    <definedName name="_bdm.165C847B525E4597956CB66CD094B07F.edm">#REF!</definedName>
    <definedName name="_bdm.1672E4AFDEA44C8D8EE2E8AC1BDF9715.edm">#REF!</definedName>
    <definedName name="_bdm.168D4B3B00BC49B79F6F267C06454DF8.edm">#REF!</definedName>
    <definedName name="_bdm.16BD85E85FA049879339F9B092E9D57B.edm">#REF!</definedName>
    <definedName name="_bdm.174381EEDDA94DAC92C9C1CA8343E0C0.edm">#REF!</definedName>
    <definedName name="_bdm.17858BF9B378483C8FE549E6520BC16E.edm">#REF!</definedName>
    <definedName name="_bdm.17A47A14EEE6420580C9E725D2E6A40B.edm">#REF!</definedName>
    <definedName name="_bdm.182ADCD744564AC6B6C568161D1DFB8E.edm">#REF!</definedName>
    <definedName name="_bdm.185AFFE98B4042DFAE5F7EFC5AE2339E.edm">#REF!</definedName>
    <definedName name="_bdm.185C6534903B474F9517EB45D352F35D.edm">#REF!</definedName>
    <definedName name="_bdm.18A41186FD1C439189C18CD984B8F464.edm">#REF!</definedName>
    <definedName name="_bdm.18B22F0910284CE3ABCBA9542BCE679E.edm">#REF!</definedName>
    <definedName name="_bdm.19A8D54CE3474FFC8F5C464C8439BCBD.edm">#REF!</definedName>
    <definedName name="_bdm.1A39290EF231497592062EBBCF3E2E7E.edm">#REF!</definedName>
    <definedName name="_bdm.1A89CA503AF24E6F80614AB5A3B51192.edm">#REF!</definedName>
    <definedName name="_bdm.1A9074E60D5247EAAFA603C88493EB6A.edm">#REF!</definedName>
    <definedName name="_bdm.1AFCE2F2AF4D4B99B64D991165DDB909.edm">#REF!</definedName>
    <definedName name="_bdm.1B5C7596BF06454BB08B99330FE8EBC8.edm">#REF!</definedName>
    <definedName name="_bdm.1B5FAB3AEAD64933A5E1DCA3E7832509.edm">#REF!</definedName>
    <definedName name="_bdm.1BB68A305C834F76BA72118E7A98F4B2.edm">#REF!</definedName>
    <definedName name="_bdm.1BBF1D11AE114986936ACA51A9C902D0.edm">#REF!</definedName>
    <definedName name="_bdm.1BCEFCDF21F84346A4BF1A5D45952BB7.edm">#REF!</definedName>
    <definedName name="_bdm.1BFD850F34F447C69FDFF475796BB996.edm">#REF!</definedName>
    <definedName name="_bdm.1C1782170CDD408399DC8843913CD6C6.edm">#REF!</definedName>
    <definedName name="_bdm.1C24978800C344088F7CB6D7E2397739.edm">#REF!</definedName>
    <definedName name="_bdm.1C630C280E134B77BEDD80537990E001.edm">#REF!</definedName>
    <definedName name="_bdm.1C99FEC72E834BDB9593C9BD8C82AEF3.edm">#REF!</definedName>
    <definedName name="_bdm.1CABAF5E0A7D4C33AEDBD553FC60F23F.edm">#REF!</definedName>
    <definedName name="_bdm.1CADEF07D73C4603B0926EDCD76FB61B.edm">#REF!</definedName>
    <definedName name="_bdm.1CFBE2E2FF4B45C0BDE127247E26C749.edm">#REF!</definedName>
    <definedName name="_bdm.1D1FAD2B305649D3A999B0D9A367BBFB.edm">#REF!</definedName>
    <definedName name="_bdm.1D876C5D708142018E569A57965D0584.edm">#REF!</definedName>
    <definedName name="_bdm.1DFFED28D945490F830B5F418FCD348F.edm">#REF!</definedName>
    <definedName name="_bdm.1E3DAD0493BC41E2B45744BE1E9780A7.edm">#REF!</definedName>
    <definedName name="_bdm.1E42526DF24742D59ABE67F12251F798.edm">#REF!</definedName>
    <definedName name="_bdm.1EAB09BF77A840E0846DB55A59AFB884.edm">#REF!</definedName>
    <definedName name="_bdm.1EC805C205954663B17EC454BEC79276.edm">#REF!</definedName>
    <definedName name="_bdm.1F5984CA041343ADBDE5B0F16DF8E811.edm">#REF!</definedName>
    <definedName name="_bdm.1F9C531956C1473B98A00AE972B2C3AE.edm">#REF!</definedName>
    <definedName name="_bdm.1FC8F6BD87D44EB7B32EC2B33A4CA5B3.edm">#REF!</definedName>
    <definedName name="_bdm.1FCAA291314541B7A2A698724F691CC6.edm">#REF!</definedName>
    <definedName name="_bdm.1FF1256C8EB6497BA8D1D74F3CB7AE11.edm">#REF!</definedName>
    <definedName name="_bdm.20A9B40C4E234826ABF8DF65E93EDE82.edm">#REF!</definedName>
    <definedName name="_bdm.20F44726027E413F94FD1673B8C78FCB.edm">#REF!</definedName>
    <definedName name="_bdm.210AD829BCE24A80859FAFE3B4FBC31D.edm">#REF!</definedName>
    <definedName name="_bdm.21786CD6012C45EC9EC6BA67744BA6C3.edm">#REF!</definedName>
    <definedName name="_bdm.2180F988471A4997B984F353773F9727.edm">#REF!</definedName>
    <definedName name="_bdm.21964E988F044FA68AA6E76EE91BC738.edm">#REF!</definedName>
    <definedName name="_bdm.21B1F4B4F9E9483EAFFBC2FBA3C26A44.edm">#REF!</definedName>
    <definedName name="_bdm.21CA8E7DBE3F4E7EB114F54AC01107E3.edm">#REF!</definedName>
    <definedName name="_bdm.21E1DBAA6AF04701964D677A1E8171D5.edm">#REF!</definedName>
    <definedName name="_bdm.22263197FC564A32A4A77DDA96DFB6C8.edm">#REF!</definedName>
    <definedName name="_bdm.2288BC5F71C9421790BB05B00906C33A.edm">#REF!</definedName>
    <definedName name="_bdm.229028676CB14791B034F3A3BD5011B8.edm">#REF!</definedName>
    <definedName name="_bdm.22905D3F83F6439DBFD0D530FEFDF7D9.edm">#REF!</definedName>
    <definedName name="_bdm.22A04F08005347EF974A29DF70108723.edm">#REF!</definedName>
    <definedName name="_bdm.22B52DD133FA459F9CF3BCF3AB053146.edm">#REF!</definedName>
    <definedName name="_bdm.22DD23028E444F3C8C4BCB754D53083A.edm">#REF!</definedName>
    <definedName name="_bdm.232B07E56C5A4D01B55588DBF8C0C5C3.edm">#REF!</definedName>
    <definedName name="_bdm.2338C33CB4A7454CB52CFD3362CA6A40.edm">#REF!</definedName>
    <definedName name="_bdm.2339A8050AD943F8BD6418640F1189DC.edm">#REF!</definedName>
    <definedName name="_bdm.23DAC10878AE41C5961DADC260DF2B92.edm">#REF!</definedName>
    <definedName name="_bdm.23DFC8D82F5546708EAAF04B980BB51F.edm">#REF!</definedName>
    <definedName name="_bdm.24074B55F3964A8B98F765EF1FDA1126.edm">#REF!</definedName>
    <definedName name="_bdm.24220F5892AA4676B9D618C68CBEB7BC.edm">#REF!</definedName>
    <definedName name="_bdm.2465CA3A85DE4498A282C984FECCEB9F.edm">#REF!</definedName>
    <definedName name="_bdm.24E08FD21064462085B18D1E8EA56588.edm">#REF!</definedName>
    <definedName name="_bdm.24FAD2D3361C4435B6C15D8013F15823.edm">#REF!</definedName>
    <definedName name="_bdm.250FD3FF26E8434682E121745E9C2D87.edm">#REF!</definedName>
    <definedName name="_bdm.2546D131C0ED40D3B3A650280393BB69.edm">#REF!</definedName>
    <definedName name="_bdm.259B978EE1EB47789403F314389E882C.edm">#REF!</definedName>
    <definedName name="_bdm.25A420DF01F748B98E52D77354083BDA.edm">#REF!</definedName>
    <definedName name="_bdm.25D0DA36B4B74898BE7B5F1755A83E8E.edm">#REF!</definedName>
    <definedName name="_bdm.264CE942BA9642B7B938F51478DD5E94.edm">#REF!</definedName>
    <definedName name="_bdm.266BAE843C0440B8A022E0E2FA7F9352.edm">#REF!</definedName>
    <definedName name="_bdm.268C073CD79F49C4813396701A897B36.edm">#REF!</definedName>
    <definedName name="_bdm.26B20826B86D4498A1D9ED107FC88470.edm">#REF!</definedName>
    <definedName name="_bdm.27A6766AB166471D8647299224571A4B.edm">#REF!</definedName>
    <definedName name="_bdm.27A77BA8E67B4C5793680A16F9CEBBB6.edm">#REF!</definedName>
    <definedName name="_bdm.27CDE574C7694FD4BAAD05CD98C90592.edm">#REF!</definedName>
    <definedName name="_bdm.27E03A5C576E46C48CE37F45D64A7EEC.edm">#REF!</definedName>
    <definedName name="_bdm.27E22A2D1C244C23887F76F8D4A40189.edm">#REF!</definedName>
    <definedName name="_bdm.27E5CE4DFF2B421CB34613B95CD1A19B.edm">#REF!</definedName>
    <definedName name="_bdm.27FD9529A5154427970F42451A4536A1.edm">#REF!</definedName>
    <definedName name="_bdm.287FDAB66E6C4B2F94D525756C9BEF38.edm">#REF!</definedName>
    <definedName name="_bdm.28B52503A16D40D19A12A2000014F2CF.edm">#REF!</definedName>
    <definedName name="_bdm.28DD3AA6EE8D445AB594C88F163D8206.edm">#REF!</definedName>
    <definedName name="_bdm.295C3E54A2764ED1BB2A96244EA08937.edm">#REF!</definedName>
    <definedName name="_bdm.29B31E4261FF499EABFB0109D15BC322.edm">#REF!</definedName>
    <definedName name="_bdm.29B700BF6BEE48BFAD28328D3974D9B9.edm">#REF!</definedName>
    <definedName name="_bdm.2A2FDABC162E4D249EF0D7A923963F9D.edm">#REF!</definedName>
    <definedName name="_bdm.2A611B132A5842A1AF97E181D98B39CD.edm">#REF!</definedName>
    <definedName name="_bdm.2AA53B50F601498F93B7A0AD940D8729.edm">#REF!</definedName>
    <definedName name="_bdm.2AB4632B2D0F42D89CBBBA26C68BA054.edm">#REF!</definedName>
    <definedName name="_bdm.2B1E454C47DB49B6B361F043A16EA98F.edm">#REF!</definedName>
    <definedName name="_bdm.2B6A3B06F5CF466D99790EF0DD857B8C.edm">#REF!</definedName>
    <definedName name="_bdm.2BB9532AF5494D34946136EE77E23BE4.edm">#REF!</definedName>
    <definedName name="_bdm.2BD792CBA5A84C84BF06D1C27AC8D771.edm">#REF!</definedName>
    <definedName name="_bdm.2BF90A50510F4FAE8C4B9AE03E2DBD63.edm">#REF!</definedName>
    <definedName name="_bdm.2C298270943C484A8EAF69EF0393172F.edm">#REF!</definedName>
    <definedName name="_bdm.2C4CAF963B3E402C94F4F383D5987E1B.edm">#REF!</definedName>
    <definedName name="_bdm.2C5AABD14EA048488A7D334C1A105625.edm">#REF!</definedName>
    <definedName name="_bdm.2CB18521C7AD42D19D6A5D9C500096EE.edm">#REF!</definedName>
    <definedName name="_bdm.2CB924B8DFBD40A6903033036B0E7BBA.edm">#REF!</definedName>
    <definedName name="_bdm.2CC587EBCA34400BAE74F51BBF132367.edm">#REF!</definedName>
    <definedName name="_bdm.2CDA98417B0D4DF2A2A1F45A7E60B47B.edm">#REF!</definedName>
    <definedName name="_bdm.2CF504FC5DB748879DE7391909F0C47A.edm">#REF!</definedName>
    <definedName name="_bdm.2D1BF234D88A43E983877C0A617618AE.edm">#REF!</definedName>
    <definedName name="_bdm.2D4B158C547442AB8E3756F3941AB5D3.edm">#REF!</definedName>
    <definedName name="_bdm.2D56E95B0253482A80C53F1D58845432.edm">#REF!</definedName>
    <definedName name="_bdm.2DBFB9DB81304EE59F6A75F03C008763.edm">#REF!</definedName>
    <definedName name="_bdm.2DD95418EC4F4887ABB73787CEBFACF4.edm">#REF!</definedName>
    <definedName name="_bdm.2E04A772B4634EC29D650B89B1D21FAF.edm">#REF!</definedName>
    <definedName name="_bdm.2EE66C172013454BAB3E17823801F561.edm">#REF!</definedName>
    <definedName name="_bdm.2F012101350841B1BACA83DDFC9BCEDE.edm">#REF!</definedName>
    <definedName name="_bdm.2F2AC6EF58D94B1DA62BA3A796D11C40.edm">#REF!</definedName>
    <definedName name="_bdm.2F55C703C38C4AD99AAC76487313CA8F.edm">#REF!</definedName>
    <definedName name="_bdm.2F68FD068B6044D6892C270D2F2B4B25.edm">#REF!</definedName>
    <definedName name="_bdm.2F7F107ABA0346498DF040AA9BED0D43.edm">#REF!</definedName>
    <definedName name="_bdm.2FCC65D4EBB54B888A0BBE189850CE29.edm">#REF!</definedName>
    <definedName name="_bdm.2FF9136A176A4806BC7A4E6F47E7031A.edm">#REF!</definedName>
    <definedName name="_bdm.2FFD9044D76E4B059A43B96B3B8DFF9B.edm">#REF!</definedName>
    <definedName name="_bdm.309A9BE1181842C0AAD37F41A22A4F46.edm">#REF!</definedName>
    <definedName name="_bdm.30A7FF3EDED94122BE0827BE99A1D372.edm">#REF!</definedName>
    <definedName name="_bdm.30B9950AE84441098C7B834B7C9A3603.edm">#REF!</definedName>
    <definedName name="_bdm.30E3398F7469488ABE8CC421323ED8AF.edm">#REF!</definedName>
    <definedName name="_bdm.310149B7F9E046DAA3E845BD41D4BED4.edm">#REF!</definedName>
    <definedName name="_bdm.3197323DBD274B6693EDE3D7187D2A20.edm">#REF!</definedName>
    <definedName name="_bdm.31A8C96551454BEF8202DF595C56A7F4.edm">#REF!</definedName>
    <definedName name="_bdm.31FB2AA4069F4BCB877711895854ABA3.edm">#REF!</definedName>
    <definedName name="_bdm.32D80F5165B947A29B014E17C4849AD7.edm">#REF!</definedName>
    <definedName name="_bdm.33040C667F5E409092F7BB6C28BF5F9D.edm">#REF!</definedName>
    <definedName name="_bdm.335027725C86402EA4A34B685E980E7D.edm">#REF!</definedName>
    <definedName name="_bdm.337382F62C4B4300808F56E593C5E2D3.edm">#REF!</definedName>
    <definedName name="_bdm.33B4EE94EF404277A93F8F22C8FBB8DF.edm">#REF!</definedName>
    <definedName name="_bdm.33D15D43ECD142E2AF389B8411CB22D2.edm">#REF!</definedName>
    <definedName name="_bdm.33D5C06B64104BCEBC1D3592E461A7E8.edm">#REF!</definedName>
    <definedName name="_bdm.33EE1B3E4D15477991264B6EAD5746D5.edm">#REF!</definedName>
    <definedName name="_bdm.341C6B0D42924F04972CCD0DA42928EE.edm">#REF!</definedName>
    <definedName name="_bdm.343C89BA8F00497D908CE7E4E29483FD.edm">#REF!</definedName>
    <definedName name="_bdm.34FF166F1C94444CBC0875852C17CFA8.edm">#REF!</definedName>
    <definedName name="_bdm.3525800476904B0DA31C4998229DD291.edm">#REF!</definedName>
    <definedName name="_bdm.356D64943DF8451B83A5325301CA1739.edm">#REF!</definedName>
    <definedName name="_bdm.35886B53A0734CFC8B798E4BBFA29785.edm">#REF!</definedName>
    <definedName name="_bdm.35B292C7E9414BEEB341DB17B4E20736.edm">#REF!</definedName>
    <definedName name="_bdm.3605748E090E4637998370DE046F912C.edm">#REF!</definedName>
    <definedName name="_bdm.364A3BEE57614DFA81A873DA128BFD36.edm">#REF!</definedName>
    <definedName name="_bdm.36D099E5AA8D48DF8F29099F064FB248.edm">#REF!</definedName>
    <definedName name="_bdm.36D828777FB94F99A5F90410B02518DB.edm">#REF!</definedName>
    <definedName name="_bdm.36F34CF69C1A46DB8EE7B31A8ADEAE59.edm">#REF!</definedName>
    <definedName name="_bdm.3757D48DF94545F68E353FFE57E0FF07.edm">#REF!</definedName>
    <definedName name="_bdm.379B6C9C4CEB4AF8A67787B718E62890.edm">#REF!</definedName>
    <definedName name="_bdm.37D1BE53834143A5B01D872CA0E919D6.edm">#REF!</definedName>
    <definedName name="_bdm.37DF6AF748D5411DBC7E3C0E6CCC2AD1.edm">#REF!</definedName>
    <definedName name="_bdm.38D782996DD44E85B2EF394B08C2C78B.edm">#REF!</definedName>
    <definedName name="_bdm.39A357222A564736B0522E01CEEC1CAD.edm">#REF!</definedName>
    <definedName name="_bdm.39A464B2D9184DF5A24D7ABEE03FEA19.edm">#REF!</definedName>
    <definedName name="_bdm.39A71786FEF742698222992F14F87AD4.edm">#REF!</definedName>
    <definedName name="_bdm.39E11ABABBEA43E8977B58FE5D4F96A5.edm">#REF!</definedName>
    <definedName name="_bdm.39F3B59E904B40DBA048F6627D24B9C6.edm">#REF!</definedName>
    <definedName name="_bdm.3A2820E9394D4A05A50F2B12FB5B3539.edm">#REF!</definedName>
    <definedName name="_bdm.3A478B4905A44DF58570DA7B64248A36.edm">#REF!</definedName>
    <definedName name="_bdm.3AB57AE942A14F6280E7E9EB9355C627.edm">#REF!</definedName>
    <definedName name="_bdm.3B1E00CE02F54BC89583C0A40A77C499.edm">#REF!</definedName>
    <definedName name="_bdm.3BDE1F9D535B4A2A8EE81C1EEDCF6FEF.edm">#REF!</definedName>
    <definedName name="_bdm.3BE40158026A441D965C0933A48F3B85.edm">#REF!</definedName>
    <definedName name="_bdm.3C4E2215D7CD4F3B90355333F512B35E.edm">#REF!</definedName>
    <definedName name="_bdm.3C790A37E2F344E680E8EA487421FC0E.edm">#REF!</definedName>
    <definedName name="_bdm.3C8681DA0484456D82E60DD5232472A0.edm">#REF!</definedName>
    <definedName name="_bdm.3CF971BACFCB43EDAEF2A6355DD77C19.edm">#REF!</definedName>
    <definedName name="_bdm.3D006D57E1E34B6583387C1EEC33631F.edm">#REF!</definedName>
    <definedName name="_bdm.3D377445DF7F45DCB30E943C1563C952.edm">#REF!</definedName>
    <definedName name="_bdm.3D436FC7FDF84A518E317E698C1C6607.edm">#REF!</definedName>
    <definedName name="_bdm.3DE59A7788B04D2F968FB786477B5248.edm">#REF!</definedName>
    <definedName name="_bdm.3E26DD8EB56941EAB5C144304A8E140A.edm">#REF!</definedName>
    <definedName name="_bdm.3E4A4E4EF5594316B2CA349975321150.edm">#REF!</definedName>
    <definedName name="_bdm.3E5B7F7B041E42C8BBC8E0C54D9E4390.edm">#REF!</definedName>
    <definedName name="_bdm.3EAD7B1D88294D3392616D90F4776408.edm">#REF!</definedName>
    <definedName name="_bdm.3EC2BB7A499B40E5A03D995B2692B042.edm">#REF!</definedName>
    <definedName name="_bdm.3EC4A2CE465D416F9F6C1578E36EAB18.edm">#REF!</definedName>
    <definedName name="_bdm.3EDE0002AEDD4C188726BB9DD300DA3A.edm">#REF!</definedName>
    <definedName name="_bdm.3EE07E10D1C248A998DC87034300F946.edm">#REF!</definedName>
    <definedName name="_bdm.3F14202FCBE3492AB2F098E90C8A52F9.edm">#REF!</definedName>
    <definedName name="_bdm.3FFF1CAC19DE464F99C6C66ADE535EBB.edm">#REF!</definedName>
    <definedName name="_bdm.400F080BFE9744EAA8756E6384A178CC.edm">#REF!</definedName>
    <definedName name="_bdm.400FFA1B35F4481A90C0D36EB6543D1D.edm">#REF!</definedName>
    <definedName name="_bdm.402514C575614479A7DAB3FE09DC0F07.edm">#REF!</definedName>
    <definedName name="_bdm.404B50271F89445D87E19830C08AA634.edm">#REF!</definedName>
    <definedName name="_bdm.40680FB33DDF4B9281B612FEC650DAD6.edm">#REF!</definedName>
    <definedName name="_bdm.40A9FDB3B16C4CE8826895C98BD7B0B0.edm">#REF!</definedName>
    <definedName name="_bdm.41275D1CCB74411BA3A5FE95024BA222.edm">#REF!</definedName>
    <definedName name="_bdm.41410FB1E46A433F8F7C62856A724746.edm">#REF!</definedName>
    <definedName name="_bdm.414F83E6EDA34A1D9834D771AA03C240.edm">#REF!</definedName>
    <definedName name="_bdm.4164730475F843849610F574056CF8DD.edm">#REF!</definedName>
    <definedName name="_bdm.41655B3D7CD24A25A7B9F04D7C45A49A.edm">#REF!</definedName>
    <definedName name="_bdm.41F3925F57954CF0BB94442AA01856BD.edm">#REF!</definedName>
    <definedName name="_bdm.42039F29316D4F1C986BEC0AE2A6E532.edm">#REF!</definedName>
    <definedName name="_bdm.42041692815742009DB7D730A465E10D.edm">#REF!</definedName>
    <definedName name="_bdm.4238225BB8C34C4AA0043316B50F826C.edm">#REF!</definedName>
    <definedName name="_bdm.4248F5099AB148889D20CDD21B98C14B.edm">#REF!</definedName>
    <definedName name="_bdm.4254FD9F13E0460AA6FF3714963F6904.edm">#REF!</definedName>
    <definedName name="_bdm.42874A7C14AA44A99C81781A8DC7F558.edm">#REF!</definedName>
    <definedName name="_bdm.42DA026D3A124C4FA65754970AC35622.edm">#REF!</definedName>
    <definedName name="_bdm.42EF8E9F4C624B99BCF9E13418C52077.edm">#REF!</definedName>
    <definedName name="_bdm.430E00403B604B54A6C9D12C6FA0D0AF.edm">#REF!</definedName>
    <definedName name="_bdm.43701910D0874BA4B71ADD50B28F4537.edm">#REF!</definedName>
    <definedName name="_bdm.437DAC5DE8A84BF3B2DDFA754271777E.edm">#REF!</definedName>
    <definedName name="_bdm.437E8641FF9F4EA2AF8A2CC2E05FC9BE.edm">#REF!</definedName>
    <definedName name="_bdm.43A992F5CEBE4A5DAA778C1AE7B56A7E.edm">#REF!</definedName>
    <definedName name="_bdm.43E5F70EACDC44B08DBFBCEE196DABD1.edm">#REF!</definedName>
    <definedName name="_bdm.4401319DA98546AD879034370EADCB26.edm">#REF!</definedName>
    <definedName name="_bdm.442A30ED1E9F46F6B8AC212B8062FD89.edm">#REF!</definedName>
    <definedName name="_bdm.4481DB542CBF41F6974CD4B1C8161B75.edm">#REF!</definedName>
    <definedName name="_bdm.44A58D18E3164D7985E2F2DD0C126738.edm">#REF!</definedName>
    <definedName name="_bdm.44D320857AB44E01B5C3391752718314.edm">#REF!</definedName>
    <definedName name="_bdm.44DA59A7EBFF444D81E1BB45890C2713.edm">#REF!</definedName>
    <definedName name="_bdm.44EA4D1A49BB46E19B8EF95C624770F1.edm">#REF!</definedName>
    <definedName name="_bdm.450504CB689544E8AB67B1018D81FF39.edm">#REF!</definedName>
    <definedName name="_bdm.45222223375C4CB4AE98FEF508E3CE54.edm">#REF!</definedName>
    <definedName name="_bdm.4582B5CCAF1A4180837AE6673A8BFD94.edm">#REF!</definedName>
    <definedName name="_bdm.45E62550B59147C2A245BC4CD2C5551E.edm">#REF!</definedName>
    <definedName name="_bdm.461150B580C94AF39768F1AAD50F4E94.edm">#REF!</definedName>
    <definedName name="_bdm.462F29191FA94EB39FB61C0681A4875E.edm">#REF!</definedName>
    <definedName name="_bdm.463D6C62E915482D959BD1CA68C29D66.edm">#REF!</definedName>
    <definedName name="_bdm.4683F5B49AD241FE94227B0A9268DCF4.edm">#REF!</definedName>
    <definedName name="_bdm.46B87FEC1B784ADCB2E29A2175D7E7AA.edm">#REF!</definedName>
    <definedName name="_bdm.46E1FD738A2E47DD9187201C21FD4BB7.edm">#REF!</definedName>
    <definedName name="_bdm.4786BBA980EA49B7A53B1FD089C17448.edm">#REF!</definedName>
    <definedName name="_bdm.47AC37B011A34FFC95C391F31C03038C.edm">#REF!</definedName>
    <definedName name="_bdm.47ACC099D55048BC90EE57FA5001D940.edm">#REF!</definedName>
    <definedName name="_bdm.47E13CBB3F804CF3AD17690F3BDDE449.edm">#REF!</definedName>
    <definedName name="_bdm.487C5C617F7643AEAA930A4E37BE766D.edm">#REF!</definedName>
    <definedName name="_bdm.489319117DBA47C983197C2DB8ACFF58.edm">#REF!</definedName>
    <definedName name="_bdm.4919B832CCB94A88BBAC8B227AC551A8.edm">#REF!</definedName>
    <definedName name="_bdm.4987B6EF9C9D481D8DFAAEFFE5C4B32E.edm">#REF!</definedName>
    <definedName name="_bdm.49F0465A53F740328663D836DF24F5D6.edm">#REF!</definedName>
    <definedName name="_bdm.4A46658D51BE4BA984B5F27504B1C2EB.edm">#REF!</definedName>
    <definedName name="_bdm.4A4B7316A64B4CEAAD6E26950190F13A.edm">#REF!</definedName>
    <definedName name="_bdm.4A624C22DDD940F4B3C44D5314326A38.edm">#REF!</definedName>
    <definedName name="_bdm.4AC4A21286F84E6B878934AB8D940F25.edm">#REF!</definedName>
    <definedName name="_bdm.4B3A08EDAFDF4B58AD81420CBDAD1CD1.edm">#REF!</definedName>
    <definedName name="_bdm.4B6325C6620F41F88D4BE42C4386A528.edm">#REF!</definedName>
    <definedName name="_bdm.4B951EDFE469454B9F4C9ECEB59B0579.edm">#REF!</definedName>
    <definedName name="_bdm.4BD5796A4D0D43979423A33BE86408F1.edm">#REF!</definedName>
    <definedName name="_bdm.4BF362FF99E34FAC960A35BFC7F30CAA.edm">#REF!</definedName>
    <definedName name="_bdm.4BFF551082AB4A4CB62DF3D447266C72.edm">#REF!</definedName>
    <definedName name="_bdm.4C6D9E816C284E99A03A801E2B3AA524.edm">#REF!</definedName>
    <definedName name="_bdm.4CB81D14841E47858DC372ADA5BA4F1C.edm">#REF!</definedName>
    <definedName name="_bdm.4CD117BC711F4AC0AE893040A530B72B.edm">#REF!</definedName>
    <definedName name="_bdm.4CE71D85C0BB430897046CDE1D44504A.edm">#REF!</definedName>
    <definedName name="_bdm.4CEADE477AC945609519EF01F1929F9C.edm">#REF!</definedName>
    <definedName name="_bdm.4CFBB72CC29543CDAF73E30FC363A381.edm">#REF!</definedName>
    <definedName name="_bdm.4D0E56DA9E5242F58E1048E387BEBEFE.edm">#REF!</definedName>
    <definedName name="_bdm.4D14F6223B3F4363AC67F2630E680794.edm">#REF!</definedName>
    <definedName name="_bdm.4DBFD8EB98794BD6A6521CC927B1FBFB.edm">#REF!</definedName>
    <definedName name="_bdm.4DDC9C15E3AE4C8BB7EE09397090E88F.edm">#REF!</definedName>
    <definedName name="_bdm.4E50BA813477410E8E0E36CA3DCE7D12.edm">#REF!</definedName>
    <definedName name="_bdm.4EB4F02BDC7F4D19BDE41EA5CDA4E9C4.edm">#REF!</definedName>
    <definedName name="_bdm.4F1714B1CDCF41E3A3A6ECA10AF88E12.edm">#REF!</definedName>
    <definedName name="_bdm.4F217D284C9C4CAFAED1EE9281BB6E9C.edm">#REF!</definedName>
    <definedName name="_bdm.4F2D498A2B2D45B8B810FAF435340B9B.edm">#REF!</definedName>
    <definedName name="_bdm.4F6E30231CE947BF9904A66FAA6E1555.edm">#REF!</definedName>
    <definedName name="_bdm.4F7128774FE6412AA9FD40E57AC18B51.edm">#REF!</definedName>
    <definedName name="_bdm.4FA4093A5DEB4500A88A3873C7DD8C27.edm">#REF!</definedName>
    <definedName name="_bdm.4FBA2825B6954295BCB6596B89DA9CE3.edm">#REF!</definedName>
    <definedName name="_bdm.4FED2338BC9F4D8A9A4195D757F24175.edm">#REF!</definedName>
    <definedName name="_bdm.505E4992B0BF444D9C465D4837684429.edm">#REF!</definedName>
    <definedName name="_bdm.506EE59BD1C04CD3A6335C79919932C3.edm">#REF!</definedName>
    <definedName name="_bdm.508CEACB1BFA48A2A4088AE4516D25B5.edm">#REF!</definedName>
    <definedName name="_bdm.511EA3F8B7654C1F9E77743FBA9DEA52.edm">#REF!</definedName>
    <definedName name="_bdm.515A2B00FF80435EB8417408ACD21B00.edm">#REF!</definedName>
    <definedName name="_bdm.51F016754E5C44B8B426150CFDF36C14.edm">#REF!</definedName>
    <definedName name="_bdm.51FE7E5B18D34DCB98D04479713DE0EA.edm">#REF!</definedName>
    <definedName name="_bdm.521ECE72C19A4CEEB40B22454BCDDED8.edm">#REF!</definedName>
    <definedName name="_bdm.528CAAC759D14C32AC5844150F21363B.edm">#REF!</definedName>
    <definedName name="_bdm.52ECA4F97EA34F64AB408DE6452714FB.edm">#REF!</definedName>
    <definedName name="_bdm.52EDE7E708844AF4B3B9DA6E09FE7E6D.edm">#REF!</definedName>
    <definedName name="_bdm.5309B286244F4AA38EF7494D62349EEB.edm">#REF!</definedName>
    <definedName name="_bdm.5326038EDC014833B510E4F0BD27AF51.edm">#REF!</definedName>
    <definedName name="_bdm.5356148D455A4B19A24CDAFF17392F39.edm">#REF!</definedName>
    <definedName name="_bdm.53649F409078484EB3CA2C4F617B5384.edm">#REF!</definedName>
    <definedName name="_bdm.53BBA15898D24FE3A9EF850873564EBE.edm">#REF!</definedName>
    <definedName name="_bdm.53CA8769E3C7442B847E21CA511CA9F6.edm">#REF!</definedName>
    <definedName name="_bdm.5416328BA46E4137862AC5C11702AC0A.edm">#REF!</definedName>
    <definedName name="_bdm.542A2B2D81DE40129BA1ADCF53F6BDD7.edm">#REF!</definedName>
    <definedName name="_bdm.5449E3E867A94D07A776B428CE7FFCC6.edm">#REF!</definedName>
    <definedName name="_bdm.54588305B9B64A81BFC173BCE31DB7E2.edm">#REF!</definedName>
    <definedName name="_bdm.54982AB8EEF245F08267EA8E5210671B.edm">#REF!</definedName>
    <definedName name="_bdm.54C4D3F4EBFD46D4BB60F27FF33F2AA7.edm">#REF!</definedName>
    <definedName name="_bdm.551A420F18754C27A5943CAE608B2287.edm">#REF!</definedName>
    <definedName name="_bdm.552726C8603C4B0A968ADD032A9333F1.edm">#REF!</definedName>
    <definedName name="_bdm.55F2BACAF3974D6BB3BD5E0410BE6215.edm">#REF!</definedName>
    <definedName name="_bdm.565827335D3C434F897E2A078F59BB02.edm">#REF!</definedName>
    <definedName name="_bdm.5697E8338C444F318B5072BA6C5816D7.edm">#REF!</definedName>
    <definedName name="_bdm.56BD9A51031E4011BD6B9374B9852F9E.edm">#REF!</definedName>
    <definedName name="_bdm.56C992635FE2437B8C9D2DA0A98BDAA0.edm">#REF!</definedName>
    <definedName name="_bdm.56E1636AFAA740E8837B241C66201F52.edm">#REF!</definedName>
    <definedName name="_bdm.56FA276CA5F740EBA4ED47423D7F789A.edm">#REF!</definedName>
    <definedName name="_bdm.574EBE96252A454A9702A05A6201B4A8.edm">#REF!</definedName>
    <definedName name="_bdm.57647893705746CC941AD7CE92A6A39B.edm">#REF!</definedName>
    <definedName name="_bdm.5797AD958A17444C881F3F4796CAE836.edm">#REF!</definedName>
    <definedName name="_bdm.57A63FBA9ED6474D9245B5F9527D8656.edm">#REF!</definedName>
    <definedName name="_bdm.57DABA060F4D45C39293979863085044.edm">#REF!</definedName>
    <definedName name="_bdm.57F3AF182B2F4EF3A6F93630D8A50DD2.edm">#REF!</definedName>
    <definedName name="_bdm.58895D0AAD0A4268B66B0E8F4DDBF525.edm">#REF!</definedName>
    <definedName name="_bdm.589989835F0F415BB1476C019F387014.edm">#REF!</definedName>
    <definedName name="_bdm.58D39199E7F5419B9E153267FC70451F.edm">#REF!</definedName>
    <definedName name="_bdm.58EDD64C3E6C4AC381AB23BF837F2F6E.edm">#REF!</definedName>
    <definedName name="_bdm.5981BB256947480097D9B1E65B416E0A.edm">#REF!</definedName>
    <definedName name="_bdm.59A6BB265F8041D4A35B9E2319886338.edm">#REF!</definedName>
    <definedName name="_bdm.5A0BCE849D964FBDBAE4932A71D729FB.edm">#REF!</definedName>
    <definedName name="_bdm.5AC5F2AC20CD46EFA6AB47D0E7E6450D.edm">#REF!</definedName>
    <definedName name="_bdm.5AE1C010F15D44919C30382DB1857645.edm">#REF!</definedName>
    <definedName name="_bdm.5BA645BEDC8F40F59B7B9604574EA9CA.edm">#REF!</definedName>
    <definedName name="_bdm.5BDB372803A5441999C2D02975FC59E3.edm">#REF!</definedName>
    <definedName name="_bdm.5BF9095FD83349FBB3CF4E2B3099234A.edm">#REF!</definedName>
    <definedName name="_bdm.5C061E0B4ECE441E91386FFEC3030307.edm">#REF!</definedName>
    <definedName name="_bdm.5C8C078077DE43D8833DC4A1A21466CA.edm">#REF!</definedName>
    <definedName name="_bdm.5CBE035E2D0A4D4983C7A7BC6E3D1B0B.edm">#REF!</definedName>
    <definedName name="_bdm.5CFA0CF06DB143D8958651E968899237.edm">#REF!</definedName>
    <definedName name="_bdm.5D79BBD98165485881617A7E38AEA7CD.edm">#REF!</definedName>
    <definedName name="_bdm.5DB845DE386047C3A9DE1200B94CBAFF.edm">#REF!</definedName>
    <definedName name="_bdm.5E4DCD6D60064983885D2505BA36FD62.edm">#REF!</definedName>
    <definedName name="_bdm.5E6D68F3C8B74423A7F567BFB91B2EFD.edm">#REF!</definedName>
    <definedName name="_bdm.5EB1E6962E61400E8197483CFB982B12.edm">#REF!</definedName>
    <definedName name="_bdm.5F2F5DBA987F4F3888304993782D01A1.edm">#REF!</definedName>
    <definedName name="_bdm.5F34433945D94B98BAC9C9AB16D52F3C.edm">#REF!</definedName>
    <definedName name="_bdm.5F464F76E0804A67B440247FAC060913.edm">#REF!</definedName>
    <definedName name="_bdm.5F4878C2C9124D958B3705BCAED08FC6.edm">#REF!</definedName>
    <definedName name="_bdm.5F823B68AE3B4BA88AE20C1432AE4B47.edm">#REF!</definedName>
    <definedName name="_bdm.5FB79079C3CE43FCB9FF1C0242422D32.edm">#REF!</definedName>
    <definedName name="_bdm.5FC6E6A9EA1645E9AB5CE0F7FD31187F.edm">#REF!</definedName>
    <definedName name="_bdm.5FDC5A0C8DE2431F8E63EB0ADEA3C0A9.edm">#REF!</definedName>
    <definedName name="_bdm.5FF17550FE4E485F93E7CFF2C05DB8F9.edm">#REF!</definedName>
    <definedName name="_bdm.600D85B44C8D44209DA55AF3A69898DF.edm">#REF!</definedName>
    <definedName name="_bdm.601FB5C375B14C24871FE271F01A2E85.edm">#REF!</definedName>
    <definedName name="_bdm.6103C614348547CD8D3A4E489061D367.edm">#REF!</definedName>
    <definedName name="_bdm.611CD4465D684859B6226DC49373BAF0.edm">#REF!</definedName>
    <definedName name="_bdm.613CD9565BC84336A975577E5BDFEF6F.edm">#REF!</definedName>
    <definedName name="_bdm.615BBCABEEFF49F08CDDFED48351B621.edm">#REF!</definedName>
    <definedName name="_bdm.61C0917E85274DD7A932BF0792F264B2.edm">#REF!</definedName>
    <definedName name="_bdm.623E78AC93214ADFB51CD060F2DEFFB4.edm">#REF!</definedName>
    <definedName name="_bdm.6242646C8F1E48359BE79150EE8CC9BB.edm">#REF!</definedName>
    <definedName name="_bdm.624CEC19992546E4A59545DC1F5E3799.edm">#REF!</definedName>
    <definedName name="_bdm.62ECCEF854DD448EA32DD152E3B2B739.edm">#REF!</definedName>
    <definedName name="_bdm.631F3FE4A2D74F5E84047E16F2EC322A.edm">#REF!</definedName>
    <definedName name="_bdm.6337CD1C0B204E4597713FB4542F3DCA.edm">#REF!</definedName>
    <definedName name="_bdm.638A9820939E40CE8BF30D74768D8D5F.edm">#REF!</definedName>
    <definedName name="_bdm.638C67406A4B47348BE8B90A56064BF4.edm">#REF!</definedName>
    <definedName name="_bdm.63C79DFB93A6417F8F057D2424E46331.edm">#REF!</definedName>
    <definedName name="_bdm.63C9291627EE4FDFA58481BDC68CC0B7.edm">#REF!</definedName>
    <definedName name="_bdm.6410BF5A80AA4BF49001CACCAB476689.edm">#REF!</definedName>
    <definedName name="_bdm.643038D6A4494B97A485D7CDAC5BFC6C.edm">#REF!</definedName>
    <definedName name="_bdm.6446947DFA7043049BC208D0DAD01B65.edm">#REF!</definedName>
    <definedName name="_bdm.647D8E84E83E471E91B4FB6D1E1B7C15.edm">#REF!</definedName>
    <definedName name="_bdm.64995C64BB324E3A844CE7B592346EBE.edm">#REF!</definedName>
    <definedName name="_bdm.64CEA4D4B0A74ED0B2C346F838DC3877.edm">#REF!</definedName>
    <definedName name="_bdm.64E1582090934187B1C98FCE800BCBB1.edm">#REF!</definedName>
    <definedName name="_bdm.652E64369D5E44E3BB21CFE6F59208F7.edm">#REF!</definedName>
    <definedName name="_bdm.652EFFF3AE9443E0940600DE52BF5149.edm">#REF!</definedName>
    <definedName name="_bdm.653F8D5FBDE746A5937E3193A2CE2FF7.edm">#REF!</definedName>
    <definedName name="_bdm.655028C33C5F433CAFEC323DE2EE15E9.edm">#REF!</definedName>
    <definedName name="_bdm.65BBEBE22CA24CA18094EF9DE45FEB63.edm">#REF!</definedName>
    <definedName name="_bdm.65D2E8BA4F634CA6868619332D874019.edm">#REF!</definedName>
    <definedName name="_bdm.65FC0E5EFF984B4091F279C50F157B19.edm">#REF!</definedName>
    <definedName name="_bdm.66209EC8A101429494A027DBE630C5FB.edm">#REF!</definedName>
    <definedName name="_bdm.6622B383D601438683FDD3A48339FA2E.edm">#REF!</definedName>
    <definedName name="_bdm.66394B103DF34FB49A5D4CAE6A30E6B2.edm">#REF!</definedName>
    <definedName name="_bdm.6672C71D4BD34011A97ED55EE048A508.edm">#REF!</definedName>
    <definedName name="_bdm.668EBFF5EA1F4F0AB412D8FDF706E25D.edm">#REF!</definedName>
    <definedName name="_bdm.66AADD2FD11A4B0A8A404A4FD0CC1B62.edm">#REF!</definedName>
    <definedName name="_bdm.66BCB983BA0D48CEA160827657D813AC.edm">#REF!</definedName>
    <definedName name="_bdm.66E1704A0B314F17A231BA5759C4C165.edm">#REF!</definedName>
    <definedName name="_bdm.66EF2A3F8893429BBF3C7A8A5961EA02.edm">#REF!</definedName>
    <definedName name="_bdm.67279B5507624C34B1D9A3C21529C6ED.edm">#REF!</definedName>
    <definedName name="_bdm.67C36004D56F49CE986A259889612F24.edm">#REF!</definedName>
    <definedName name="_bdm.684C1B8207C34338BA9C5F5C419793CF.edm">#REF!</definedName>
    <definedName name="_bdm.68740A4992E340498C299E02265DAE40.edm">#REF!</definedName>
    <definedName name="_bdm.687DD5816A314624B405C005F780BC29.edm">#REF!</definedName>
    <definedName name="_bdm.689B872A95B54DAC99BDD17E50312C76.edm">#REF!</definedName>
    <definedName name="_bdm.68DC13F18F954BB09A365DE76B470B1F.edm">#REF!</definedName>
    <definedName name="_bdm.68FF492123D0455F937852C559ABE984.edm">#REF!</definedName>
    <definedName name="_bdm.697125710E56425BB690ED467111BD73.edm">#REF!</definedName>
    <definedName name="_bdm.6976084F36434E479233F932976F3A32.edm">#REF!</definedName>
    <definedName name="_bdm.6997C69049D241F1A77D5719B44FA77D.edm">#REF!</definedName>
    <definedName name="_bdm.69EAC8629E874E1C968758A07E128628.edm">#REF!</definedName>
    <definedName name="_bdm.6A0E8747974B44A88B48BE3667CD71D3.edm">#REF!</definedName>
    <definedName name="_bdm.6A8CA556AFD74B2DA679AAA0E5B48459.edm">#REF!</definedName>
    <definedName name="_bdm.6B517F02BB434E1D8EC100E0F4C0A75D.edm">#REF!</definedName>
    <definedName name="_bdm.6B725002B6EE44E3B11352B6302486DC.edm">#REF!</definedName>
    <definedName name="_bdm.6B9F62D3E18E4B048394E40B66454C06.edm">#REF!</definedName>
    <definedName name="_bdm.6BA86B7A7898441F9404A378ECADE247.edm">#REF!</definedName>
    <definedName name="_bdm.6BD5FCC3C12A45D7899DE5213391CDEE.edm">#REF!</definedName>
    <definedName name="_bdm.6C0466F395E546B1AD0E837B54A3AEBA.edm">#REF!</definedName>
    <definedName name="_bdm.6D41AEA4C8354F62A9F264FA2C9CF371.edm">#REF!</definedName>
    <definedName name="_bdm.6D4CFF40AD5A44CD8B1A2FF02278D6BF.edm">#REF!</definedName>
    <definedName name="_bdm.6D5C7A26573A4F66BF0683A12A2E7DCB.edm">#REF!</definedName>
    <definedName name="_bdm.6D7504179DDC4A4F9343ACF659AA9FD2.edm">#REF!</definedName>
    <definedName name="_bdm.6E0C504ACC904D629E73B0A4D5F5047A.edm">#REF!</definedName>
    <definedName name="_bdm.6E782DFBFB274AB2B80A18DE91D1B4A0.edm">#REF!</definedName>
    <definedName name="_bdm.6E81819394D84D169831A9527DC5A2E9.edm">#REF!</definedName>
    <definedName name="_bdm.6E9BB25AC0164C02830E4146FFBF10CF.edm">#REF!</definedName>
    <definedName name="_bdm.6F0545BF34B74CB2928A32D97976CEEF.edm">#REF!</definedName>
    <definedName name="_bdm.6FED3AF3344B4EFFB3B6C72AEDD3E92B.edm">#REF!</definedName>
    <definedName name="_bdm.7066E60C25D3448F8C411C7DF000E2C3.edm">#REF!</definedName>
    <definedName name="_bdm.7076867121084B1A8E3E24D474E7E01D.edm">#REF!</definedName>
    <definedName name="_bdm.7083570ABACC4EB5BBE8BBC03EC953FF.edm">#REF!</definedName>
    <definedName name="_bdm.7119A834EE904EB09B33E4B07D99BE2B.edm">#REF!</definedName>
    <definedName name="_bdm.71364B52A280479890C560A5E07E08EE.edm">#REF!</definedName>
    <definedName name="_bdm.7162D6D0DA4F4705A0842D1132442368.edm">#REF!</definedName>
    <definedName name="_bdm.723ABC94DBA34BC18F3F0E75B50FD429.edm">#REF!</definedName>
    <definedName name="_bdm.72ABD32384FC421E9656C6CBA284C4F2.edm">#REF!</definedName>
    <definedName name="_bdm.730F26546C1F45E5AECA9CC6502559C7.edm">#REF!</definedName>
    <definedName name="_bdm.7339A46282AF4F54BA84D0910DCCFEBA.edm">#REF!</definedName>
    <definedName name="_bdm.73AD25E5F1214C9FA162A307E487C8BE.edm">#REF!</definedName>
    <definedName name="_bdm.74244B270BED49B4B83105D21BAEDB9C.edm">#REF!</definedName>
    <definedName name="_bdm.744CE02980054F4495C9E360D2489C10.edm">#REF!</definedName>
    <definedName name="_bdm.74AEF93A02A542FB80A18354A70C6D4F.edm">#REF!</definedName>
    <definedName name="_bdm.74C8FE014F314D8E912DA5967AE1D297.edm">#REF!</definedName>
    <definedName name="_bdm.74E61DBDE7D64552AD084E76A093569E.edm">#REF!</definedName>
    <definedName name="_bdm.7569842FA39F4EF084A859A639F4B612.edm">#REF!</definedName>
    <definedName name="_bdm.75CE11A6E1504BE29692FE59F2FB03AD.edm">#REF!</definedName>
    <definedName name="_bdm.75D3E78A2A204C5E9FD51CA9C5034121.edm">#REF!</definedName>
    <definedName name="_bdm.75F2AF3A47014DA288658C5716A038B7.edm">#REF!</definedName>
    <definedName name="_bdm.76622A25A90940DF8731A776C28A5D7D.edm">#REF!</definedName>
    <definedName name="_bdm.77400F487F5B447EB8EE8272E2D55498.edm">#REF!</definedName>
    <definedName name="_bdm.7745B0E94E084560AA1516E828E69BA4.edm">#REF!</definedName>
    <definedName name="_bdm.774CAD194DAE4FF6B49D467E700CB15A.edm">#REF!</definedName>
    <definedName name="_bdm.7759D5DA7A884E06B0420B1226489E98.edm">#REF!</definedName>
    <definedName name="_bdm.78064619E9CD43A49FD68CD203DF6E2A.edm">#REF!</definedName>
    <definedName name="_bdm.781DC1B120404BEBA50AD06FB98AA86D.edm">#REF!</definedName>
    <definedName name="_bdm.784307EE261741A4967B1AB40ADBDEA2.edm">#REF!</definedName>
    <definedName name="_bdm.78634747843243F48E2CFD325E6C699D.edm">#REF!</definedName>
    <definedName name="_bdm.78D10ECA5C504363B050E62C8827369D.edm">#REF!</definedName>
    <definedName name="_bdm.78E01BA1683C4AD195644DF030045B5E.edm">#REF!</definedName>
    <definedName name="_bdm.78E5D39450E442BC9B3AB06BB2A97E25.edm">#REF!</definedName>
    <definedName name="_bdm.79014BE5A9674346B12900DC13C25047.edm">#REF!</definedName>
    <definedName name="_bdm.791F8AD40D22430F9703849745174F79.edm">#REF!</definedName>
    <definedName name="_bdm.79A68A26C5C6443A942110DEA9C672ED.edm">#REF!</definedName>
    <definedName name="_bdm.79B514A9357741AFA1DC1628020D5260.edm">#REF!</definedName>
    <definedName name="_bdm.7A12424F57C4457F992F29D6521FF670.edm">#REF!</definedName>
    <definedName name="_bdm.7A2FC90A360F4E3C8BD0F67DC49911D0.edm">#REF!</definedName>
    <definedName name="_bdm.7A46682C2FCA4642BEB8587215E2B074.edm">#REF!</definedName>
    <definedName name="_bdm.7A83296833E1438D834EF4EE8D29473A.edm">#REF!</definedName>
    <definedName name="_bdm.7A878DFA1D8F4427A828E838D6B55ED8.edm">#REF!</definedName>
    <definedName name="_bdm.7AE1BAD848F7417FA3DDA2A1338C342D.edm">#REF!</definedName>
    <definedName name="_bdm.7B2077E92E84461B905CE2B3624C5CC2.edm">#REF!</definedName>
    <definedName name="_bdm.7B376D0296BA4E088847CFD15A3A139F.edm">#REF!</definedName>
    <definedName name="_bdm.7B72C48B73F04919AFB4F4C14767C33C.edm">#REF!</definedName>
    <definedName name="_bdm.7B7A9546B1524604A317925CACA5F686.edm">#REF!</definedName>
    <definedName name="_bdm.7B9FC356AD164DE08B20F8644DEFD792.edm">#REF!</definedName>
    <definedName name="_bdm.7BB899F67BAA46E9A4443A0B7EAFFB96.edm">#REF!</definedName>
    <definedName name="_bdm.7BBC196ADC874CE3903EC1848EF89444.edm">#REF!</definedName>
    <definedName name="_bdm.7BDE49598C3D4FD2847521D772010F92.edm">#REF!</definedName>
    <definedName name="_bdm.7C43C8BD377545C8A7D25DE54EE3CD87.edm">#REF!</definedName>
    <definedName name="_bdm.7C7B8E02ABFD454DB711AA736FF19D34.edm">#REF!</definedName>
    <definedName name="_bdm.7D35F7C33DED480890832FB30B159FF0.edm">#REF!</definedName>
    <definedName name="_bdm.7DB102A662CB45B29E93BA05C8803FDB.edm">#REF!</definedName>
    <definedName name="_bdm.7DC26D5D4AB7481F846DCEF519C76B46.edm">#REF!</definedName>
    <definedName name="_bdm.7DCEBBE539AF4B55A933C4211A7B45AC.edm">#REF!</definedName>
    <definedName name="_bdm.7DE3F9D324124FC88EAE3D8CA3850A06.edm">#REF!</definedName>
    <definedName name="_bdm.7E3212E2A1DD49518AFB99E2A3BC9483.edm">#REF!</definedName>
    <definedName name="_bdm.7E5DF9465C7E475CBEA583246C5A55EF.edm">#REF!</definedName>
    <definedName name="_bdm.7EBA76BF9421455F9A88BD71DB8E1001.edm">#REF!</definedName>
    <definedName name="_bdm.7F0BD7FAADCF4250B452300791CAB3CB.edm">#REF!</definedName>
    <definedName name="_bdm.7F290AB1CDEF439AA9F6562EE6E7FD0B.edm">#REF!</definedName>
    <definedName name="_bdm.7F291E1CC70C4DBB8613CAC64BD0BF61.edm">#REF!</definedName>
    <definedName name="_bdm.7F3AB759C4DE4D5C85B855875109DD4D.edm">#REF!</definedName>
    <definedName name="_bdm.7F4244C4B0B14345826EA2BEF1521AB6.edm">#REF!</definedName>
    <definedName name="_bdm.7F7B733118DB4FB681CA3C1FB9AA4BFA.edm">#REF!</definedName>
    <definedName name="_bdm.7F86F86E2332446BB4B232644E9EE446.edm">#REF!</definedName>
    <definedName name="_bdm.7FAD6ADEB82B452ABEC907F146FABDFE.edm">#REF!</definedName>
    <definedName name="_bdm.7FBDD957893246C79C79ECD75279FC69.edm">#REF!</definedName>
    <definedName name="_bdm.7FE2F62C6D2E42898504B0AE228131B4.edm">#REF!</definedName>
    <definedName name="_bdm.803BF50E22624E2085BC3AEF6A617BBD.edm">#REF!</definedName>
    <definedName name="_bdm.805C815322D24811AAFF918C418A3B4F.edm">#REF!</definedName>
    <definedName name="_bdm.815D19E50F614F5B97CF756212A9D9CA.edm">#REF!</definedName>
    <definedName name="_bdm.818224C4FA8B421484DF165CFF391C21.edm">#REF!</definedName>
    <definedName name="_bdm.81BAC92AF7E14D72A32223A2AD212F89.edm">#REF!</definedName>
    <definedName name="_bdm.81F7FC15014041E49DFE5E1E222765F6.edm">#REF!</definedName>
    <definedName name="_bdm.81FE3BEEEF3D4EFDB311F209B600261A.edm">#REF!</definedName>
    <definedName name="_bdm.823D23DE6F8444FCBCE48BD55DD8CB47.edm">#REF!</definedName>
    <definedName name="_bdm.8262BA489AA642CDAA801A30F541D97D.edm">#REF!</definedName>
    <definedName name="_bdm.828D6695E00649A0A7250AEB2C149E97.edm">#REF!</definedName>
    <definedName name="_bdm.829D5AEAC55643468E728138FD98638C.edm">#REF!</definedName>
    <definedName name="_bdm.836186DCD37B412C831573A0C769C499.edm">#REF!</definedName>
    <definedName name="_bdm.83C07BB8847F4FC9AD5D633F85F27C26.edm">#REF!</definedName>
    <definedName name="_bdm.841698161DAB4DE1950191ABDDCF2DD6.edm">#REF!</definedName>
    <definedName name="_bdm.844E42B301754E3F94835B3A1439D2CD.edm">#REF!</definedName>
    <definedName name="_bdm.8486464FF42B40808BF15E357A2DE96A.edm">#REF!</definedName>
    <definedName name="_bdm.84E68D3BF0DE4598A76E98DF2CFA945E.edm">#REF!</definedName>
    <definedName name="_bdm.85AC048FBE8F4E00B148FB2EF28A0F18.edm">#REF!</definedName>
    <definedName name="_bdm.85B023E7A30D4DBEB3F887592814D120.edm">#REF!</definedName>
    <definedName name="_bdm.85ED581018AF4AB19AFA873599C58C10.edm">#REF!</definedName>
    <definedName name="_bdm.860CD9C316004D728374E99C7B89B93A.edm">#REF!</definedName>
    <definedName name="_bdm.8661409655CC400E926A331AE5852B13.edm">#REF!</definedName>
    <definedName name="_bdm.869894505D684826AAEE8612E988FE45.edm">#REF!</definedName>
    <definedName name="_bdm.86B23306579947958850AB2CFAFB5F38.edm">#REF!</definedName>
    <definedName name="_bdm.86E5E52B410448C89B24BC2C018B0498.edm">#REF!</definedName>
    <definedName name="_bdm.86FA8C5A743443E1A029134B828F705C.edm">#REF!</definedName>
    <definedName name="_bdm.87076FB8E61A4A4A95157E09D6C3F9E3.edm">#REF!</definedName>
    <definedName name="_bdm.870CA6394C4B48E28204EFCC6AD00D6C.edm">#REF!</definedName>
    <definedName name="_bdm.8716BACEC38C4E5A919986B8372E99D1.edm">#REF!</definedName>
    <definedName name="_bdm.871D5EBA12424B5FA6FB9C6CDFA8AD99.edm">#REF!</definedName>
    <definedName name="_bdm.879F9FAC5FEB4475A30E4DC8778C57CA.edm">#REF!</definedName>
    <definedName name="_bdm.880EC7A81F04422AA8E949B1B613A158.edm">#REF!</definedName>
    <definedName name="_bdm.889F83A4471F4AA3B1F5C280B5041B13.edm">#REF!</definedName>
    <definedName name="_bdm.88C8AB0686B0400CA79FA0C4EE1613DF.edm">#REF!</definedName>
    <definedName name="_bdm.88DE053F9B834424881CD8C39AB7B4AF.edm">#REF!</definedName>
    <definedName name="_bdm.8960B5BD51154CA090D72445D232DF3F.edm">#REF!</definedName>
    <definedName name="_bdm.896AB61861C04481B17EE8802C90478C.edm">#REF!</definedName>
    <definedName name="_bdm.89D7E7E9060D41B8B7475AB307DFA626.edm">#REF!</definedName>
    <definedName name="_bdm.89F24D17896B4016B390CB5A877A5E21.edm">#REF!</definedName>
    <definedName name="_bdm.8A687C13C7C048A4A38C2B7F603D25CE.edm">#REF!</definedName>
    <definedName name="_bdm.8A9AC4A10B40427E934F5C39F7AE2A18.edm">#REF!</definedName>
    <definedName name="_bdm.8AF980EDAFF54D7FAA2C7425FFCE6980.edm">#REF!</definedName>
    <definedName name="_bdm.8B53853959514BF092BF9F5D7AE5C9D8.edm">#REF!</definedName>
    <definedName name="_bdm.8B7DECA6A56249B7B24FA033310B2798.edm">#REF!</definedName>
    <definedName name="_bdm.8B8FB2A0B7C64263937629369069C558.edm">#REF!</definedName>
    <definedName name="_bdm.8BA44630E7E24131BAA77F2A97D9AD7E.edm">#REF!</definedName>
    <definedName name="_bdm.8BBAD1F1D7A74BA68279D4DDB45E50ED.edm">#REF!</definedName>
    <definedName name="_bdm.8C27751C53654244A51A9363EBC167BE.edm">#REF!</definedName>
    <definedName name="_bdm.8C4EB7C68AC74ED4ADC9644AFD10149E.edm">#REF!</definedName>
    <definedName name="_bdm.8C6C31D2F45A4B0E8125F19CD085B56C.edm">#REF!</definedName>
    <definedName name="_bdm.8CB787F3D5C74A6191B6DB71C628D9E3.edm">#REF!</definedName>
    <definedName name="_bdm.8CB98397D7894AD88BECB8000C591453.edm">#REF!</definedName>
    <definedName name="_bdm.8D5C79002FC24028A940E3C2D7867F7C.edm">#REF!</definedName>
    <definedName name="_bdm.8D8076FC155F447D9B19AF12721B3D9E.edm">#REF!</definedName>
    <definedName name="_bdm.8D8B4706B70747CD92C73F7C284B0A03.edm">#REF!</definedName>
    <definedName name="_bdm.8DB4F385F54C4E6081FBB3E1D077F2F5.edm">#REF!</definedName>
    <definedName name="_bdm.8ED295A4C3894456ABC279EFF85D64DB.edm">#REF!</definedName>
    <definedName name="_bdm.8F05AA92F8D14B2D908FF7805015ED39.edm">#REF!</definedName>
    <definedName name="_bdm.8F7D5EF566A04C18A004BA4D262712CD.edm">#REF!</definedName>
    <definedName name="_bdm.8FC17FD629E44576A43BFF66D72C653C.edm">#REF!</definedName>
    <definedName name="_bdm.8FD4C49FC4024B73ADD6EF58CBD435BC.edm">#REF!</definedName>
    <definedName name="_bdm.902162E073FB4A9595B516557CC8163E.edm">#REF!</definedName>
    <definedName name="_bdm.90479220F4914DEBAFFC7066AAAEAD78.edm">#REF!</definedName>
    <definedName name="_bdm.9092FA6CA944470EB0EA07B7D65755D3.edm">#REF!</definedName>
    <definedName name="_bdm.909578C4BF804F34B0EE6CE9E40F3AFF.edm">#REF!</definedName>
    <definedName name="_bdm.9157149A2E394D6EB552295B850701F3.edm">#REF!</definedName>
    <definedName name="_bdm.91A0363460DD404EA385389FD30F945A.edm">#REF!</definedName>
    <definedName name="_bdm.91AC82770CC6427998437F118C6FDBFB.edm">#REF!</definedName>
    <definedName name="_bdm.91D3D39F24804611AAB2A6BCA6E304BB.edm">#REF!</definedName>
    <definedName name="_bdm.91E6E9ABB2544900B8D2ECE5E60B1E41.edm">#REF!</definedName>
    <definedName name="_bdm.91E964912839407B9BE2EF407F968381.edm">#REF!</definedName>
    <definedName name="_bdm.9224C8DBA6024D95BBBB4C9B5236A037.edm">#REF!</definedName>
    <definedName name="_bdm.92BE5E5A79DB42E994648803476498EE.edm">#REF!</definedName>
    <definedName name="_bdm.930DCF4ADF134F8CA5F4BF237927CC58.edm">#REF!</definedName>
    <definedName name="_bdm.931D886D4BA34C8A888D76B7E841F8CD.edm">#REF!</definedName>
    <definedName name="_bdm.939C2D9631E940B28CA977745919C168.edm">#REF!</definedName>
    <definedName name="_bdm.93CC17E714524849A2C3ABA0BA7B7537.edm">#REF!</definedName>
    <definedName name="_bdm.9400BE25DC754C40BA27548E653B7868.edm">#REF!</definedName>
    <definedName name="_bdm.943020866D4442AF960F446A72F35FAA.edm">#REF!</definedName>
    <definedName name="_bdm.94454718F09E4C0CA67F734E6B78A943.edm">#REF!</definedName>
    <definedName name="_bdm.9456BBA957304CA5AFEA1F92EC3AEC9A.edm">#REF!</definedName>
    <definedName name="_bdm.949460ABB0084F8AA29349AD5594B2F3.edm">#REF!</definedName>
    <definedName name="_bdm.94F8A7820A8F4E3EAA9A45ACB60F630D.edm">#REF!</definedName>
    <definedName name="_bdm.957E1227ADCB4CC8AB4AFA303B27BE0D.edm">#REF!</definedName>
    <definedName name="_bdm.960042BBB8A14223829B15EF2432095B.edm">#REF!</definedName>
    <definedName name="_bdm.960720C6BFBA49BAA72FA602F3C60483.edm">#REF!</definedName>
    <definedName name="_bdm.965594B209EC4399B68A7BCE0DF513F3.edm">#REF!</definedName>
    <definedName name="_bdm.96695BC1517E49459DC6483D0896FB1E.edm">#REF!</definedName>
    <definedName name="_bdm.967FAF28802B49529AC535987822AE84.edm">#REF!</definedName>
    <definedName name="_bdm.96AAB17BCF664849892820816556A9D7.edm">#REF!</definedName>
    <definedName name="_bdm.97097961B9354DFB96338D9B174E29B8.edm">#REF!</definedName>
    <definedName name="_bdm.973EF69C75924EE5BBEFD470F591E515.edm">#REF!</definedName>
    <definedName name="_bdm.97482D8BE4A94804B5DBE0E90AF3C362.edm">#REF!</definedName>
    <definedName name="_bdm.97647F07AFDD4442A654C1B800C62044.edm">#REF!</definedName>
    <definedName name="_bdm.97C0FD0230D741CBAC0494F9E5DE3DFE.edm">#REF!</definedName>
    <definedName name="_bdm.9809801044A442F0B74E0EB54FDFCB30.edm">#REF!</definedName>
    <definedName name="_bdm.9819139B5E604E16AB79F968F3D9F463.edm">#REF!</definedName>
    <definedName name="_bdm.9823713BE7D74C508EA4B0CE26B3C7C0.edm">#REF!</definedName>
    <definedName name="_bdm.9830BFA9A4924AECAC621807AC176243.edm">#REF!</definedName>
    <definedName name="_bdm.98347E9132034F8EB9A26EA7F4DBF592.edm">#REF!</definedName>
    <definedName name="_bdm.988A52B41A8B498DA4E54474862BBB09.edm">#REF!</definedName>
    <definedName name="_bdm.98DDA0098E1B4ACCA2C2DE8A0E60894C.edm">#REF!</definedName>
    <definedName name="_bdm.9947ACE21082477A87EBFA05FE50A302.edm">#REF!</definedName>
    <definedName name="_bdm.995ECEBA90EA4D039FA812FABF24F35F.edm">#REF!</definedName>
    <definedName name="_bdm.99B0DFC706B242A9B8CF444CF317329B.edm">#REF!</definedName>
    <definedName name="_bdm.99D0F1CF804C4AFC94EA8911D8023F13.edm">#REF!</definedName>
    <definedName name="_bdm.99E3D8558FB547678D9B192CBE1DEA8F.edm">#REF!</definedName>
    <definedName name="_bdm.9A3D2DF842D146A7A851EE903DAE3338.edm">#REF!</definedName>
    <definedName name="_bdm.9A3F0511EC2D468C8346AF3A42C46E13.edm">#REF!</definedName>
    <definedName name="_bdm.9A52B9CCE8C046BAA3FC2D2E2FC3F686.edm">#REF!</definedName>
    <definedName name="_bdm.9A8BEAC132CC4961A431BC766E21693A.edm">#REF!</definedName>
    <definedName name="_bdm.9AB90961C60E426EA3F65C399A610A70.edm">#REF!</definedName>
    <definedName name="_bdm.9AF9C7ABA2154F0581FC9C7C70539D46.edm">#REF!</definedName>
    <definedName name="_bdm.9B4C2D41E9BA4DF8B28CC5710246FED0.edm">#REF!</definedName>
    <definedName name="_bdm.9B808CF279804AAE809BC8B8B6EDE25F.edm">#REF!</definedName>
    <definedName name="_bdm.9BD3B3ED557841E9AB28D7EDFDE1CBF0.edm">#REF!</definedName>
    <definedName name="_bdm.9C080F45B1BE4D6D861B8150B2596461.edm">#REF!</definedName>
    <definedName name="_bdm.9C633185C23F421D8BFE0B63C0E97C90.edm">#REF!</definedName>
    <definedName name="_bdm.9C726BDD4F8743489F9984A3891A5D5D.edm">#REF!</definedName>
    <definedName name="_bdm.9D45AFE745544A11AA6DE239E6042919.edm">#REF!</definedName>
    <definedName name="_bdm.9D58468C398C4A64AECD57C65CA7EA42.edm">#REF!</definedName>
    <definedName name="_bdm.9DA2A58E64814DFAB85B1A962FE078EF.edm">#REF!</definedName>
    <definedName name="_bdm.9DDD75196C5544C0A029568280B50B68.edm">#REF!</definedName>
    <definedName name="_bdm.9E680FFBD11F44569117AC21923A0734.edm">#REF!</definedName>
    <definedName name="_bdm.9EF93FB587874F0DBF6BB9D5DBF04713.edm">#REF!</definedName>
    <definedName name="_bdm.9F3EBB3882EF42BBB4D6D3A3CB80A88C.edm">#REF!</definedName>
    <definedName name="_bdm.9F5B412A98EF44FF88291BC6AE171CA0.edm">#REF!</definedName>
    <definedName name="_bdm.9F6D5DA50C8F4B9F8FC864A9C4BF8547.edm">#REF!</definedName>
    <definedName name="_bdm.9F9B876F07DE4ADE960B74AC5C27A703.edm">#REF!</definedName>
    <definedName name="_bdm.9FB771A591BA4DBFB4F50F1D1CF6966B.edm">#REF!</definedName>
    <definedName name="_bdm.A023BB33C45F429BAB0842287F16C377.edm">#REF!</definedName>
    <definedName name="_bdm.A0749E7F4B5C4E5A821BCA0BD882C6A2.edm">#REF!</definedName>
    <definedName name="_bdm.A0861472109043C184421B6798EB7639.edm">#REF!</definedName>
    <definedName name="_bdm.A0927DAECF70457294E8B1887A85A3CC.edm">#REF!</definedName>
    <definedName name="_bdm.A0B98C5C66084547B90D7C24308D3BAA.edm">#REF!</definedName>
    <definedName name="_bdm.A14AAE0FBCBC4CAD9D9EDB112A168084.edm">#REF!</definedName>
    <definedName name="_bdm.A159A32060B54D82B0FDD77A71628C9D.edm">#REF!</definedName>
    <definedName name="_bdm.A17E7B556EB44EA383F53967113BD7F6.edm">#REF!</definedName>
    <definedName name="_bdm.A1976CCFB86046BE9B0A84997E01985D.edm">#REF!</definedName>
    <definedName name="_bdm.A203A828644D4811B09C6CA154BD7C4D.edm">#REF!</definedName>
    <definedName name="_bdm.A206DEB4393A4E25A11A569BCD5D04B9.edm">#REF!</definedName>
    <definedName name="_bdm.A21CCEC747FD459A8F8A2A77D0A22165.edm">#REF!</definedName>
    <definedName name="_bdm.A224FD9200DA468E84F3D57537684320.edm">#REF!</definedName>
    <definedName name="_bdm.A22A4162A6D54E689D69974474064150.edm">#REF!</definedName>
    <definedName name="_bdm.A24D2CF9B6F246AA8670BB65B1FA0C4C.edm">#REF!</definedName>
    <definedName name="_bdm.A25D277AE7C14F37AE8B57518236C56E.edm">#REF!</definedName>
    <definedName name="_bdm.A26CA38E82094040A649D5C273AFE743.edm">#REF!</definedName>
    <definedName name="_bdm.A2D8CC1BEC094B938EF7DAEEAC3CF4F9.edm">#REF!</definedName>
    <definedName name="_bdm.A3278BB01F8B4449AFAA767CCFEA2E98.edm">#REF!</definedName>
    <definedName name="_bdm.A3798154704E4D16BFDA73C98E655E30.edm">#REF!</definedName>
    <definedName name="_bdm.A3991B686EC14D7EB0A43B4ACA982B97.edm">#REF!</definedName>
    <definedName name="_bdm.A3A5001B361A490FBA48C3E736452F8E.edm">#REF!</definedName>
    <definedName name="_bdm.A3EDF6703615453CBCE545C86719C47C.edm">#REF!</definedName>
    <definedName name="_bdm.A3F3723162A74CE4942652F646569936.edm">#REF!</definedName>
    <definedName name="_bdm.A4073722D08A4692A5397990DD7CDA14.edm">#REF!</definedName>
    <definedName name="_bdm.A43B2FAAE4364F419B02DC1F4EC2BAD0.edm">#REF!</definedName>
    <definedName name="_bdm.A4478F13D27A4C9981A031268DF02869.edm">#REF!</definedName>
    <definedName name="_bdm.A4577722D31B419AA5DCAAFB15FA0343.edm">#REF!</definedName>
    <definedName name="_bdm.A46FB32170924F36A57D347669EDC435.edm">#REF!</definedName>
    <definedName name="_bdm.A4875136FA9242048F9DC587491ECAB1.edm">#REF!</definedName>
    <definedName name="_bdm.A4FEB82989E148C3A14FC28D1C67A4E4.edm">#REF!</definedName>
    <definedName name="_bdm.A51B03E0F8734E55A1575002305DF271.edm">#REF!</definedName>
    <definedName name="_bdm.A569AE492C334A0F8D493DD83F194B34.edm">#REF!</definedName>
    <definedName name="_bdm.A56E198A071E425BB0F163FFAFFEA7E6.edm">#REF!</definedName>
    <definedName name="_bdm.A5FAB57395ED46F5AAC7D373D5FBFFAF.edm">#REF!</definedName>
    <definedName name="_bdm.A63E150D7816472DBEB3254D3E4897F1.edm">#REF!</definedName>
    <definedName name="_bdm.A65801075FC945CBB2C3939D18761A23.edm">#REF!</definedName>
    <definedName name="_bdm.A65B5450ECA740BB95EB188D9493282E.edm">#REF!</definedName>
    <definedName name="_bdm.A6910C0412B04A4A9E09F46585A2908B.edm">#REF!</definedName>
    <definedName name="_bdm.A6B22612F62047EC861E3830FE4C287C.edm">#REF!</definedName>
    <definedName name="_bdm.A6BA2EEFADC64DDEB1B418541904579F.edm">#REF!</definedName>
    <definedName name="_bdm.A6BC9D262B0F41AEB6F7F2763891AE33.edm">#REF!</definedName>
    <definedName name="_bdm.A6F9148E0C2E4B3FBD614F2368A8EF70.edm">#REF!</definedName>
    <definedName name="_bdm.A704219820E24282BE4A98BCE33C7F22.edm">#REF!</definedName>
    <definedName name="_bdm.A7D9222AC23F4627AC203184A7F47683.edm">#REF!</definedName>
    <definedName name="_bdm.A7E046E98C86487BB12DF038C65D8C87.edm">#REF!</definedName>
    <definedName name="_bdm.A8110AC1D4BF48D0AF3FB34F48200FE8.edm">#REF!</definedName>
    <definedName name="_bdm.A8151313B1AA457A9E28F3DF44561644.edm">#REF!</definedName>
    <definedName name="_bdm.A848F4C0AD2344FDB5912D33DC6EBB51.edm">#REF!</definedName>
    <definedName name="_bdm.A877A7182BD84113ABC09DD4CB359FEC.edm">#REF!</definedName>
    <definedName name="_bdm.A896C016CC8E495CB0EED619EEA4E630.edm">#REF!</definedName>
    <definedName name="_bdm.A8BD30E27A4F4771B9E27239D763427D.edm">#REF!</definedName>
    <definedName name="_bdm.A94152386FE145CF9FCE4966BD789019.edm">#REF!</definedName>
    <definedName name="_bdm.A9673EE9D42A46F58AD7B7EC6DB7ECF5.edm">#REF!</definedName>
    <definedName name="_bdm.A9AF77A17BCB4BA592B29366459B549A.edm">#REF!</definedName>
    <definedName name="_bdm.A9D4E4807C744BF296E174566EC63FB2.edm">#REF!</definedName>
    <definedName name="_bdm.AA63D64454E34045B16DDEB43BADD76C.edm">#REF!</definedName>
    <definedName name="_bdm.AA6629F57A9E4D94BB9B911BC714F1F8.edm">#REF!</definedName>
    <definedName name="_bdm.AAA4039DF1524798B925328977E0B7AE.edm">#REF!</definedName>
    <definedName name="_bdm.AADC9FF8AD4B4F3A83E052FF2321C39C.edm">#REF!</definedName>
    <definedName name="_bdm.AB06B026384F41FF9C5304553B4DA917.edm">#REF!</definedName>
    <definedName name="_bdm.AB53030A571745FDBB1E9F1673DA1E87.edm">#REF!</definedName>
    <definedName name="_bdm.AB6A3E25A4BC4EB49477B3985D4B11BB.edm">#REF!</definedName>
    <definedName name="_bdm.AB7997D85E97465F9DEDFFF4BB4CCFD4.edm">#REF!</definedName>
    <definedName name="_bdm.AB85195F21D4437BADD6D46FFD878F65.edm">#REF!</definedName>
    <definedName name="_bdm.ABCF51362C6842D691923CDE14FB82BB.edm">#REF!</definedName>
    <definedName name="_bdm.AC1A2F79D3304507A3658D2619D617D1.edm">#REF!</definedName>
    <definedName name="_bdm.AC351C24DC074755AB48B169111A12DA.edm">#REF!</definedName>
    <definedName name="_bdm.AC41B3A0675A49908FA1B024EA837DCF.edm">#REF!</definedName>
    <definedName name="_bdm.AC637D53CF014AF1996573EA8D2B2F97.edm">#REF!</definedName>
    <definedName name="_bdm.AC7A7639F86D4489BE9213F25D538AF3.edm">#REF!</definedName>
    <definedName name="_bdm.ACEB572152544161997ABB8D1ED72C67.edm">#REF!</definedName>
    <definedName name="_bdm.AD3710164F7649C5A2F5753252F8AD36.edm">#REF!</definedName>
    <definedName name="_bdm.AD3C76CA280946F0BB01216CD145147D.edm">#REF!</definedName>
    <definedName name="_bdm.AD4C7A9DB70C40BF854BE3DE5219F378.edm">#REF!</definedName>
    <definedName name="_bdm.AD4CAAF10AC74226A8D83BF202DFA668.edm">#REF!</definedName>
    <definedName name="_bdm.AD84F771DA424253B8D851126A731461.edm">#REF!</definedName>
    <definedName name="_bdm.AD8D204266194C61B3F8D18A09C259F5.edm">#REF!</definedName>
    <definedName name="_bdm.ADAE7C08D4214EB8BBEB8D4839201BC7.edm">#REF!</definedName>
    <definedName name="_bdm.ADB1DC47FB0B46CBBA9B905F6D140AF6.edm">#REF!</definedName>
    <definedName name="_bdm.AE8C29F55ECF4EE8BBAAFAF611DA89E4.edm">#REF!</definedName>
    <definedName name="_bdm.AEFB52B3445840179704ACDF1854A900.edm">#REF!</definedName>
    <definedName name="_bdm.AF65319AA52C43AD8CE69852FAF1FE41.edm">#REF!</definedName>
    <definedName name="_bdm.AF830B456D1C492EAA4C47CE9BB3671A.edm">#REF!</definedName>
    <definedName name="_bdm.AFA47D04738B49D1A7E2BD020B38C35C.edm">#REF!</definedName>
    <definedName name="_bdm.B010093BD68C4613970820ED0A72B750.edm">#REF!</definedName>
    <definedName name="_bdm.B02F59A1A8C245C9B3772A0801120761.edm">#REF!</definedName>
    <definedName name="_bdm.B07CECEDF72F4C4A92987FB62DBE9869.edm">#REF!</definedName>
    <definedName name="_bdm.B08263AD61734E27A372D0D41EC19D7F.edm">#REF!</definedName>
    <definedName name="_bdm.B1492454CDB843818C18B7814153B654.edm">#REF!</definedName>
    <definedName name="_bdm.B1B35CC9B27D4356B40B28C3C4EAFF8C.edm">#REF!</definedName>
    <definedName name="_bdm.B2867B119C98481C9B00B19673DA408E.edm">#REF!</definedName>
    <definedName name="_bdm.B29DFB590D6D42C0A327251C7C351966.edm">#REF!</definedName>
    <definedName name="_bdm.B2DD1F07EC7F4E18BF14367C9FBA31D1.edm">#REF!</definedName>
    <definedName name="_bdm.B3587237D4E149348784AE8EC1C8E1BB.edm">#REF!</definedName>
    <definedName name="_bdm.B389C290020642738EFE1C60E2F6A8C5.edm">#REF!</definedName>
    <definedName name="_bdm.B3C5B80820C8435F84971DFEE82E1FF1.edm">#REF!</definedName>
    <definedName name="_bdm.B3D04EAAE6A14DA3B2C2DB3BC3F4B0B6.edm">#REF!</definedName>
    <definedName name="_bdm.B410BF1978964B58842F79D66F245869.edm">#REF!</definedName>
    <definedName name="_bdm.B436805458BD41479AE169E607455314.edm">#REF!</definedName>
    <definedName name="_bdm.B488BFDB38AC41D3842A6BA494ED6EA3.edm">#REF!</definedName>
    <definedName name="_bdm.B48E487A39754A29BDA6A3B0A26C35D5.edm">#REF!</definedName>
    <definedName name="_bdm.B4C991306402400F8C5226FEFEEAC508.edm">#REF!</definedName>
    <definedName name="_bdm.B4DD1E7A467C4DB4B867D7C12AF8EA8D.edm">#REF!</definedName>
    <definedName name="_bdm.B53AFC62151A4BFCBCA8F7938CA16F79.edm">#REF!</definedName>
    <definedName name="_bdm.B5554F7F73314F5A9FF23FE8B5FA792C.edm">#REF!</definedName>
    <definedName name="_bdm.B559E57667D749388C37D7F02B5E8EE8.edm">#REF!</definedName>
    <definedName name="_bdm.B580456FA7B940C6B28ABF6D5F3C7900.edm">#REF!</definedName>
    <definedName name="_bdm.B59118D8168741CF8ECE09B6BEC21057.edm">#REF!</definedName>
    <definedName name="_bdm.B62D926E94244A378F348946BDDFA1C1.edm">#REF!</definedName>
    <definedName name="_bdm.B6F280B40FFD454994F7E18F29B95D52.edm">#REF!</definedName>
    <definedName name="_bdm.B70896AB17C94429B6ED8D2843CB9E84.edm">#REF!</definedName>
    <definedName name="_bdm.B7315199C95441769433A6EC5398E914.edm">#REF!</definedName>
    <definedName name="_bdm.B7A63F98397D435C8A0CD4A4FEBACDB0.edm">#REF!</definedName>
    <definedName name="_bdm.B7CB3FDA0DB3446A8490CE23D6402473.edm">#REF!</definedName>
    <definedName name="_bdm.B83B726D54E84BBDBBBA4BC41CF5B131.edm">#REF!</definedName>
    <definedName name="_bdm.B85AA8893A9A4FF7B796B00EBB4FD8DA.edm">#REF!</definedName>
    <definedName name="_bdm.B85B4D815BB34052980DFDD3467930F6.edm">#REF!</definedName>
    <definedName name="_bdm.B86C69314D654AEA9551DBB2707B170D.edm">#REF!</definedName>
    <definedName name="_bdm.B892447F0BAE43CFB2592D438F12DE23.edm">#REF!</definedName>
    <definedName name="_bdm.B974C255EAFF44C1834D900B650E0067.edm">#REF!</definedName>
    <definedName name="_bdm.B9F584C99DB744D791A3CA0B53FC4FAA.edm">#REF!</definedName>
    <definedName name="_bdm.BA0B196EF3ED435DA865BE8843868CFD.edm">#REF!</definedName>
    <definedName name="_bdm.BA1562B7C4CE49C8B65791D68C491E0C.edm">#REF!</definedName>
    <definedName name="_bdm.BA1E6E73559E40B3A62A71D1862CB1F8.edm">#REF!</definedName>
    <definedName name="_bdm.BA4FA9E871AF4AA097B266D7E0C908D3.edm">#REF!</definedName>
    <definedName name="_bdm.BA4FD042BC5D48F6BC0606917FA29935.edm">#REF!</definedName>
    <definedName name="_bdm.BA8BA773E4EB4DA199A01B6419D8A758.edm">#REF!</definedName>
    <definedName name="_bdm.BB108416A67E48E99825824636A68515.edm">#REF!</definedName>
    <definedName name="_bdm.BB1959F577A14F35A6C92FD43D6537B7.edm">#REF!</definedName>
    <definedName name="_bdm.BB37C5572F79401ABFD08126BD5399ED.edm">#REF!</definedName>
    <definedName name="_bdm.BB7FFE97178E46DC971C2E1C3C9822AA.edm">#REF!</definedName>
    <definedName name="_bdm.BBD226A4616F4022A762208D9EC8271C.edm">#REF!</definedName>
    <definedName name="_bdm.BC1B81BFE2074601A7CD3B92C1EAC10D.edm">#REF!</definedName>
    <definedName name="_bdm.BC1E0B699EF34E1D9744D15B8FA6B200.edm">#REF!</definedName>
    <definedName name="_bdm.BC25A0760BB443B4B08674DFA96A3EB4.edm">#REF!</definedName>
    <definedName name="_bdm.BCED82E614D743E9B0B97B0994613CF0.edm">#REF!</definedName>
    <definedName name="_bdm.BD8FDCE5843440518C6134B2C7E8B14F.edm">#REF!</definedName>
    <definedName name="_bdm.BE1E892625DB45CD8422C21E95A8DE17.edm">#REF!</definedName>
    <definedName name="_bdm.BE22A76FD3834588BA73F04C8E7D47DF.edm">#REF!</definedName>
    <definedName name="_bdm.BE3F771A5F7D44DC862AAA783C20C126.edm">#REF!</definedName>
    <definedName name="_bdm.BE8D755067534A2DBFFFB049C081E9FE.edm">#REF!</definedName>
    <definedName name="_bdm.BEE89C09CFC94AEA9C4B4A567A40732B.edm">#REF!</definedName>
    <definedName name="_bdm.BEFD034FE7564B7DACF82A8FDDB73489.edm">#REF!</definedName>
    <definedName name="_bdm.BF21E36FFEC24F33A56BE762BDBB5E38.edm">#REF!</definedName>
    <definedName name="_bdm.BF39A6EBB31441F6826A17184829E670.edm">#REF!</definedName>
    <definedName name="_bdm.BF45E9C9361C4B80A800AE62331F910F.edm">#REF!</definedName>
    <definedName name="_bdm.BF4FE19E478947DCBD4AC5205E1F1D2B.edm">#REF!</definedName>
    <definedName name="_bdm.BF6202DA93984AC2AA9EE89D84CD5538.edm">#REF!</definedName>
    <definedName name="_bdm.BFE3FF0D27764A5BBCE8567F6427A463.edm">#REF!</definedName>
    <definedName name="_bdm.BFE97EABE8874573B70A6A015017317B.edm">#REF!</definedName>
    <definedName name="_bdm.BFF640BFB03B4A6F8DEF4A9263A2E61A.edm">#REF!</definedName>
    <definedName name="_bdm.C00813F9D2A0490296CF48170E839AB2.edm">#REF!</definedName>
    <definedName name="_bdm.C029C0ED10EC43E4A205DA4A9E5BA6C8.edm">#REF!</definedName>
    <definedName name="_bdm.C039E89F1CB145B0A34A97F107AF48B3.edm">#REF!</definedName>
    <definedName name="_bdm.C03A6DA9CE3246C7B69F11059C99184D.edm">#REF!</definedName>
    <definedName name="_bdm.C0EAC2480C424E37BA29C5E2C4043FF5.edm">#REF!</definedName>
    <definedName name="_bdm.C0F03C69F7E246D0B851BDE13FFCA7D5.edm">#REF!</definedName>
    <definedName name="_bdm.C14AF13DB3AA4E9CAA65A5210EBA471F.edm">#REF!</definedName>
    <definedName name="_bdm.C1B7C6D8605F4366B9F8BF57E7665372.edm">#REF!</definedName>
    <definedName name="_bdm.C1BF9A443F6F401886B36CC06BBCBCFA.edm">#REF!</definedName>
    <definedName name="_bdm.C1CE3671E26447018717A0ED7694930A.edm">#REF!</definedName>
    <definedName name="_bdm.C1DD37AF4FEC42928334B2C71892A426.edm">#REF!</definedName>
    <definedName name="_bdm.C1FE9FD6CC8C49B5B01764053B2CA80E.edm">#REF!</definedName>
    <definedName name="_bdm.C221214870FF42D18830EC45CFAF6D76.edm">#REF!</definedName>
    <definedName name="_bdm.C224D2B7129C427398296E915ECE9862.edm">#REF!</definedName>
    <definedName name="_bdm.C318BB04EA9D454C94BD8D33D4C1D41B.edm">#REF!</definedName>
    <definedName name="_bdm.C31D3E51AA754FEA8580C5D9FEC421EF.edm">#REF!</definedName>
    <definedName name="_bdm.C323D3280DF749E1BBBAA3AF059F998C.edm">#REF!</definedName>
    <definedName name="_bdm.C3472E18D84F471EBA3A15884A27FC25.edm">#REF!</definedName>
    <definedName name="_bdm.C356440469A747CBB391FDD528FDF709.edm">#REF!</definedName>
    <definedName name="_bdm.C35EACC356B1443294D4E2D2C733A36E.edm">#REF!</definedName>
    <definedName name="_bdm.C3D0FAA8A7B24F198490ECA890A27B43.edm">#REF!</definedName>
    <definedName name="_bdm.C43506C6AB8D4A73B2E5AFC54C91242E.edm">#REF!</definedName>
    <definedName name="_bdm.C49581E49BCF490CB223009F928F4AEF.edm">#REF!</definedName>
    <definedName name="_bdm.C4C6DE2061D342688EBD77775B69E06C.edm">#REF!</definedName>
    <definedName name="_bdm.C4C86D792D5E444DA12C3B65114CA6B2.edm">#REF!</definedName>
    <definedName name="_bdm.C52F65CB664B46CDA02AEECDD83B1A89.edm">#REF!</definedName>
    <definedName name="_bdm.C545C7E1952D471F90F45A77A300873E.edm">#REF!</definedName>
    <definedName name="_bdm.C58CE3AD000D4165A70B4B7C05915A68.edm">#REF!</definedName>
    <definedName name="_bdm.C59E346A21A64D248375D5C4595A8AE8.edm">#REF!</definedName>
    <definedName name="_bdm.C5B1E0EDA02147389356A0B3C69B61EB.edm">#REF!</definedName>
    <definedName name="_bdm.C5B631E21CE74CE99001BFFE8820FE3B.edm">#REF!</definedName>
    <definedName name="_bdm.C5DD597C969B4179ABC23A8AAABE10E5.edm">#REF!</definedName>
    <definedName name="_bdm.C5E1662946974B0A898C92D5184B7AB3.edm">#REF!</definedName>
    <definedName name="_bdm.C60DA8DBF9B242DF9377B5AE77493695.edm">#REF!</definedName>
    <definedName name="_bdm.C758B85467CD46DFAE64F5AC915F1E72.edm">#REF!</definedName>
    <definedName name="_bdm.C76A0179B30648F195E72AC0F2014998.edm">#REF!</definedName>
    <definedName name="_bdm.C7C18D77B6B9456AB7103A8CC833BE13.edm">#REF!</definedName>
    <definedName name="_bdm.C7EE8B67E27D481DBAA295B09466E934.edm">#REF!</definedName>
    <definedName name="_bdm.C830F10E5BED41F696A4D2BBDD0BCBDB.edm">#REF!</definedName>
    <definedName name="_bdm.C86A6C3EC158471D94DB5B847BA5A3BF.edm">#REF!</definedName>
    <definedName name="_bdm.C87E4C58CA2846C48AB6B9E6E00B652B.edm">#REF!</definedName>
    <definedName name="_bdm.C89440DB603543529A4E66845CDB6BD8.edm">#REF!</definedName>
    <definedName name="_bdm.C8B4528E059344418422B5E2E570D44C.edm">#REF!</definedName>
    <definedName name="_bdm.C9352D8C831D45D68A75D13CD40DEF87.edm">#REF!</definedName>
    <definedName name="_bdm.C9773674B4B7481B9F28B0EFDD58C29D.edm">#REF!</definedName>
    <definedName name="_bdm.C992AB0554A044FF884D37CF5A32BEBD.edm">#REF!</definedName>
    <definedName name="_bdm.C9A2E98B82054B1DA5503882C07D4986.edm">#REF!</definedName>
    <definedName name="_bdm.CA2878854F26405AA4BD93C501363DCA.edm">#REF!</definedName>
    <definedName name="_bdm.CA3F2F300B914351BD6628543FE9189A.edm">#REF!</definedName>
    <definedName name="_bdm.CA652621E5DC421483FAC32EDAFBF447.edm">#REF!</definedName>
    <definedName name="_bdm.CA98966C9B1042908362867E56473AAD.edm">#REF!</definedName>
    <definedName name="_bdm.CAEEA049280A4409BD9257C7B0CBF220.edm">#REF!</definedName>
    <definedName name="_bdm.CB69CEF50C01424C92DA8FB5AE90E153.edm">#REF!</definedName>
    <definedName name="_bdm.CB6E89B33E00484C93219B25F4C80E24.edm">#REF!</definedName>
    <definedName name="_bdm.CB858A6461D049B393CB4849DD1AB98B.edm">#REF!</definedName>
    <definedName name="_bdm.CBAE899EF72245409BE738A2DD64C3FE.edm">#REF!</definedName>
    <definedName name="_bdm.CBB587D0EA22437198BA58DBB19E7EFC.edm">#REF!</definedName>
    <definedName name="_bdm.CC07380084AB4B18AD3CBB572F78572D.edm">#REF!</definedName>
    <definedName name="_bdm.CC21D7A0C4E945A09843F9CD4AB237A4.edm">#REF!</definedName>
    <definedName name="_bdm.CC971A0F0F4B4444A4F438E7719CDD53.edm">#REF!</definedName>
    <definedName name="_bdm.CCBF2203E08B4666AB224741AF189AB3.edm">#REF!</definedName>
    <definedName name="_bdm.CCC65E334D7B4E59985643089A7E20E1.edm">#REF!</definedName>
    <definedName name="_bdm.CCE098B2917C4EA5BC941F22E788E4BE.edm">#REF!</definedName>
    <definedName name="_bdm.CD323320802B4E5591D3A1AF3792D64B.edm">#REF!</definedName>
    <definedName name="_bdm.CD4518AF44A644B68D6B1E4AF7D3C53A.edm">#REF!</definedName>
    <definedName name="_bdm.CDCF85D487734DB897AEF16B24FE35ED.edm">#REF!</definedName>
    <definedName name="_bdm.CE0A449563FC4D1883218296052DAEEF.edm">#REF!</definedName>
    <definedName name="_bdm.CEAE9B63546748F588E3084831A5E869.edm">#REF!</definedName>
    <definedName name="_bdm.CEBD0826676B4262B9D7A4D949263DFE.edm">#REF!</definedName>
    <definedName name="_bdm.CF0CE908DF074438B2A58C5A5047B34E.edm">#REF!</definedName>
    <definedName name="_bdm.CF2243A183FC485BA67D1CE506E1E838.edm">#REF!</definedName>
    <definedName name="_bdm.CF2A6F00DFF8426689B82F0A14D13F5B.edm">#REF!</definedName>
    <definedName name="_bdm.CF63547D573440A99795A2D8C855542E.edm">#REF!</definedName>
    <definedName name="_bdm.CFB445887CDC4FF0B875C72F10E0B324.edm">#REF!</definedName>
    <definedName name="_bdm.CFCD15F7AD07442F988F4F7F5DFACE68.edm">#REF!</definedName>
    <definedName name="_bdm.CFECA1930364461B9177285F84EEB4AB.edm">#REF!</definedName>
    <definedName name="_bdm.D04222634A1547AEB21838224D917212.edm">#REF!</definedName>
    <definedName name="_bdm.D04A1C46C65045B2B3EC5B10AED82CB9.edm">#REF!</definedName>
    <definedName name="_bdm.D069796201CE4A8D8793CA96B58199D5.edm">#REF!</definedName>
    <definedName name="_bdm.D0C5DAD6A1984F2BBB872DEA5576A2FE.edm">#REF!</definedName>
    <definedName name="_bdm.D112160178AC4CB2ADAD55A220B08A9D.edm">#REF!</definedName>
    <definedName name="_bdm.D118089FB5C042DB85DF759E676D7B22.edm">#REF!</definedName>
    <definedName name="_bdm.D13F60452C494B7F916C99A6A83ABCA0.edm">#REF!</definedName>
    <definedName name="_bdm.D1BF93AD157047B68D4DE231FFA42B5E.edm">#REF!</definedName>
    <definedName name="_bdm.D22A1DCD12A64B1F9908042E544503E4.edm">#REF!</definedName>
    <definedName name="_bdm.D24C9D786E43460ABF51BAED277CFE62.edm">#REF!</definedName>
    <definedName name="_bdm.D270ED83111A4A9C8C5C20ECE2200FFC.edm">#REF!</definedName>
    <definedName name="_bdm.D2AC2A07306C4D5F9A5A59165CF1736C.edm">#REF!</definedName>
    <definedName name="_bdm.D2C8B379211C4D5E8BD9344EF7C3578D.edm">#REF!</definedName>
    <definedName name="_bdm.D30CC13D22AA4DB39173B56CC2B55D34.edm">#REF!</definedName>
    <definedName name="_bdm.D33F4D451B51449CAEF5D842B93E9D51.edm">#REF!</definedName>
    <definedName name="_bdm.D36F58FDF81346AEB88CB712DB8E0AA0.edm">#REF!</definedName>
    <definedName name="_bdm.D391801DA1454E00989A67283695F2E9.edm">#REF!</definedName>
    <definedName name="_bdm.D3EBBBFA7FB140FB95EE85FD859247A6.edm">#REF!</definedName>
    <definedName name="_bdm.D3F0F68002C847469DBA413A35F0E9B9.edm">#REF!</definedName>
    <definedName name="_bdm.D3F866AB0844408CB41DEAA9EFE410D3.edm">#REF!</definedName>
    <definedName name="_bdm.D431DCB7F8A243D48B87F3870B40298F.edm">#REF!</definedName>
    <definedName name="_bdm.D49AA12B56B146F9A0D3493F4E2630EE.edm">#REF!</definedName>
    <definedName name="_bdm.D4F2E1EE617A4F0CA10C0DAF3AC8F894.edm">#REF!</definedName>
    <definedName name="_bdm.D509166FA8824EEE881DCA97D3F7908E.edm">#REF!</definedName>
    <definedName name="_bdm.D5A3B36A8051499B97D39F42DBA4DDAE.edm">#REF!</definedName>
    <definedName name="_bdm.D60AE7699AFB4EEAB36D216577876228.edm">#REF!</definedName>
    <definedName name="_bdm.D679DECA83444D62A75ADF70FEB72FDF.edm">#REF!</definedName>
    <definedName name="_bdm.D67E2A4973E041C8A340BD4F259B2946.edm">#REF!</definedName>
    <definedName name="_bdm.D68CB913C5004388B9F15CEBF9D801FF.edm">#REF!</definedName>
    <definedName name="_bdm.D6BA146C7A934356802F83ED620CB456.edm">#REF!</definedName>
    <definedName name="_bdm.D6F418CB2F1542E9B062DBAF33659365.edm">#REF!</definedName>
    <definedName name="_bdm.D719ABDF5B0A4A98904C955E9E252573.edm">#REF!</definedName>
    <definedName name="_bdm.D7D09C5CB2E44CAB9BA33C4986FB11BE.edm">#REF!</definedName>
    <definedName name="_bdm.D7F08BFB4D774AEA920AE434202493EA.edm">#REF!</definedName>
    <definedName name="_bdm.D7F5DA9AB1EA43E3956648D4B500B5B9.edm">#REF!</definedName>
    <definedName name="_bdm.D842470F3C9A4EF4BA959317E28A0734.edm">#REF!</definedName>
    <definedName name="_bdm.D85263D5CF92405AB6D2DF92BA727C97.edm">#REF!</definedName>
    <definedName name="_bdm.D86613DDCC6242F1923698B4F055F4C9.edm">#REF!</definedName>
    <definedName name="_bdm.D9339547E83E43C590C451CBECD0FDD6.edm">#REF!</definedName>
    <definedName name="_bdm.D9A1BD373A6949DE9DEA53CB34BA5AF1.edm">#REF!</definedName>
    <definedName name="_bdm.D9B6859C5B8940B0B3609F0585EC23F1.edm">#REF!</definedName>
    <definedName name="_bdm.D9ECCA6299D945BA9CA1B713C6415472.edm">#REF!</definedName>
    <definedName name="_bdm.DA6489BD24E244EC8B6F8FD5438CD75E.edm">#REF!</definedName>
    <definedName name="_bdm.DB1FD97568714D2B84495928F67AC426.edm">#REF!</definedName>
    <definedName name="_bdm.DB2992DD58924B8EB3D604ED414B25E9.edm">#REF!</definedName>
    <definedName name="_bdm.DB310CB352FD44E9A828748CEA644187.edm">#REF!</definedName>
    <definedName name="_bdm.DBF266A043BA4A8A98BD9131239205EC.edm">#REF!</definedName>
    <definedName name="_bdm.DC717B9A1BE547FEA82265ABC9E78370.edm">#REF!</definedName>
    <definedName name="_bdm.DCD36A340CB9400BA43C94BEEF8B6329.edm">#REF!</definedName>
    <definedName name="_bdm.DCDEBE3048604ED59B59B18138D256C6.edm">#REF!</definedName>
    <definedName name="_bdm.DD110F3AE937434681CD48A605BBD501.edm">#REF!</definedName>
    <definedName name="_bdm.DD4F05C6E50749FCAC7AB22245B7F89E.edm">#REF!</definedName>
    <definedName name="_bdm.DD65940F995F4CB5986D20164A0A7515.edm">#REF!</definedName>
    <definedName name="_bdm.DD6D7873CC1245D1BC79C09C00536CEA.edm">#REF!</definedName>
    <definedName name="_bdm.DD956CC6AC014EADB2EE07D73A5173CC.edm">#REF!</definedName>
    <definedName name="_bdm.DD9E5858A9354BFCBE2247CC57527801.edm">#REF!</definedName>
    <definedName name="_bdm.DDB460FCD8054E53B5FA2D414D26AB8C.edm">#REF!</definedName>
    <definedName name="_bdm.DDC7D88E2E6E4E59BBAB5B20B0901614.edm">#REF!</definedName>
    <definedName name="_bdm.DDE04FB67173476FB1CD09E438FF9EF1.edm">#REF!</definedName>
    <definedName name="_bdm.DE13E220C17F4AC8A74C1072E30CA990.edm">#REF!</definedName>
    <definedName name="_bdm.DE38EFE0F8B646BDB2538FB505EBD82A.edm">#REF!</definedName>
    <definedName name="_bdm.DE8AE0BD3E0241E1BC5EC8FBD4FFDC0D.edm">#REF!</definedName>
    <definedName name="_bdm.DE965D6C631D46DB97A19C1B56DFCB20.edm">#REF!</definedName>
    <definedName name="_bdm.DEAA2989CB1D4909A7A188EFCA700265.edm">#REF!</definedName>
    <definedName name="_bdm.DEB91E0ECB75408EB8702DB30FA917AD.edm">#REF!</definedName>
    <definedName name="_bdm.DED8976AD17B414789E2E4447D31545B.edm">#REF!</definedName>
    <definedName name="_bdm.DEEFF8F62D7E49319B11609C835E45CE.edm">#REF!</definedName>
    <definedName name="_bdm.DF6856CBE7CB4D488B57DD675DCBB5C9.edm">#REF!</definedName>
    <definedName name="_bdm.DFA656A6DC5F40CCB246FC86BB3D6872.edm">#REF!</definedName>
    <definedName name="_bdm.DFEF820C71D948E59ED50DDDAE4808AF.edm">#REF!</definedName>
    <definedName name="_bdm.DFF2E17BD03145D7B39C4C53A22B818B.edm">#REF!</definedName>
    <definedName name="_bdm.E017B478EE834CA9BB610A5D2F69566B.edm">#REF!</definedName>
    <definedName name="_bdm.E01B4DA1C5F34CD9811275D57E2FE0D8.edm">#REF!</definedName>
    <definedName name="_bdm.E01DAD548BF24BA69D7C49CC349DD3AA.edm">#REF!</definedName>
    <definedName name="_bdm.E0281EC8BB284C32B9454C70171E4FB4.edm">#REF!</definedName>
    <definedName name="_bdm.E055A08172F24DB3A5E024058B50A528.edm">#REF!</definedName>
    <definedName name="_bdm.E07007A2D5464698BCB174B0B92EC5B6.edm">#REF!</definedName>
    <definedName name="_bdm.E0A9F3BE92DD496D97F91B5A9A78ABEC.edm">#REF!</definedName>
    <definedName name="_bdm.E0C42771A8044C97AC44EA85076AE628.edm">#REF!</definedName>
    <definedName name="_bdm.E0D10502B3C94763BFEC991F2DCA91B7.edm">#REF!</definedName>
    <definedName name="_bdm.E121575A7982460785E44C4404BD53AF.edm">#REF!</definedName>
    <definedName name="_bdm.E1BF01ECC5D24D029D3D40B3A25B2418.edm">#REF!</definedName>
    <definedName name="_bdm.E1D1B297F3AC43D3B8BD055648104ADA.edm">#REF!</definedName>
    <definedName name="_bdm.E20AA67432C14073B42EC1145F8F39D3.edm">#REF!</definedName>
    <definedName name="_bdm.E28CB827FB524A3FB20AE9B217358593.edm">#REF!</definedName>
    <definedName name="_bdm.E2E127A56C754B63BE37A979C90D2539.edm">#REF!</definedName>
    <definedName name="_bdm.E34D6F2AD5FD42779492DC82F230531F.edm">#REF!</definedName>
    <definedName name="_bdm.E3830A89FAC94804B856472D93BEBFA3.edm">#REF!</definedName>
    <definedName name="_bdm.E3A617B9F13F438AB75A1D75630A0B7A.edm">#REF!</definedName>
    <definedName name="_bdm.E3B71D18A74B4E0F92E66D3C3A49C58E.edm">#REF!</definedName>
    <definedName name="_bdm.E42809C27388406A90C1F8CFB2B675CD.edm">#REF!</definedName>
    <definedName name="_bdm.E46BC0637FCF4ABBA80716F2BD5B4001.edm">#REF!</definedName>
    <definedName name="_bdm.E47D1ADAFBFA4F41B5260590D62CDC33.edm">#REF!</definedName>
    <definedName name="_bdm.E4C30DAFD98D4290806B37FB62F8CE73.edm">#REF!</definedName>
    <definedName name="_bdm.E4CA25655A7F44DC86EDE624DA1D2B1B.edm">#REF!</definedName>
    <definedName name="_bdm.E4F12A6304DA4CEE91C4D56AA171F29A.edm">#REF!</definedName>
    <definedName name="_bdm.E4F32DD1EDAA4128AE0BC338335B22A6.edm">#REF!</definedName>
    <definedName name="_bdm.E51513AA95D1430792D04AFEE7C1B04E.edm">#REF!</definedName>
    <definedName name="_bdm.E52124550A4C4F11939C4BE7643DAB57.edm">#REF!</definedName>
    <definedName name="_bdm.E543CA3AF81F40A8B345295E2DBF2630.edm">#REF!</definedName>
    <definedName name="_bdm.E584E03EC47147AC92B35154559EB4E0.edm">#REF!</definedName>
    <definedName name="_bdm.E5B01327F3174F5DAAC15A04ED81E147.edm">#REF!</definedName>
    <definedName name="_bdm.E5DE877A3B3046798D553CDC9548BAF4.edm">#REF!</definedName>
    <definedName name="_bdm.E6704FB222324317AF26ADE176FFD33B.edm">#REF!</definedName>
    <definedName name="_bdm.E693F272FEE9412980FB3D019EB301CD.edm">#REF!</definedName>
    <definedName name="_bdm.E69A246FC565419490AB65D30BB1CAA0.edm">#REF!</definedName>
    <definedName name="_bdm.E6AC02301F544E9F9284B70CBF8846D5.edm">#REF!</definedName>
    <definedName name="_bdm.E6B3ED2604A6474FA37F963404C217B1.edm">#REF!</definedName>
    <definedName name="_bdm.E6D1D713F05E4D9E8A7B6E268185A1DD.edm">#REF!</definedName>
    <definedName name="_bdm.E6EEAFEDD1544DC79C665A781082AEE8.edm">#REF!</definedName>
    <definedName name="_bdm.E70F52FD3B3F46EF848F55CCFA656DFB.edm">#REF!</definedName>
    <definedName name="_bdm.E749BC3DB4A44E6F97BFDE4BFA96E143.edm">#REF!</definedName>
    <definedName name="_bdm.E75170952EDC43F893ADFE1B2215F1C2.edm">#REF!</definedName>
    <definedName name="_bdm.E7604CFD969B49DAAE0058C13AB2C714.edm">#REF!</definedName>
    <definedName name="_bdm.E78DE777CC8F4C8E92873C884AE2542E.edm">#REF!</definedName>
    <definedName name="_bdm.E79DDDA4A7344138A79F3FDD36B21014.edm">#REF!</definedName>
    <definedName name="_bdm.E7A2A013A4364B2A9ACF571EEE6674C5.edm">#REF!</definedName>
    <definedName name="_bdm.E7DD78F27D0C40BCB5A6C18F136832D1.edm">#REF!</definedName>
    <definedName name="_bdm.E832DC8CFC2F4DC1B47241AA560E6461.edm">#REF!</definedName>
    <definedName name="_bdm.E83BD1A34EDB4BB5AA0FD3AAC6986DB7.edm">#REF!</definedName>
    <definedName name="_bdm.E875BB22CDD74ABC87444946CDE6A334.edm">#REF!</definedName>
    <definedName name="_bdm.E8B6BD8DD16F4CC3A62072D124D11212.edm">#REF!</definedName>
    <definedName name="_bdm.E8C07FE3459F457BB6E2F7B406CBDF57.edm">#REF!</definedName>
    <definedName name="_bdm.E8D45E1902174015A246502FD6A9C063.edm">#REF!</definedName>
    <definedName name="_bdm.E8DBA588D3B64708ACC1039A9672F708.edm">#REF!</definedName>
    <definedName name="_bdm.E8DC33CFDA7747169F0383D4FA537958.edm">#REF!</definedName>
    <definedName name="_bdm.E8EBD30A6EDE4AFB8F946822542F1546.edm">#REF!</definedName>
    <definedName name="_bdm.E8F1C1EF831A4C6995DBDB5DFD544F57.edm">#REF!</definedName>
    <definedName name="_bdm.E910D236CF614B1DAABDCE904665072B.edm">#REF!</definedName>
    <definedName name="_bdm.E9387A87383A442E9100BA9A80E5B106.edm">#REF!</definedName>
    <definedName name="_bdm.E94551004A794E0AAD2DB0B17D17C5D5.edm">#REF!</definedName>
    <definedName name="_bdm.E952431BA701448F9905B1BA2E9AE2A3.edm">#REF!</definedName>
    <definedName name="_bdm.E99575C6541844658541273C4328B7AC.edm">#REF!</definedName>
    <definedName name="_bdm.E9C0D40BAB0C46D2944383D15B429A13.edm">#REF!</definedName>
    <definedName name="_bdm.EA0EFE0B1F8E407F82CAE3596AF7CC9C.edm">#REF!</definedName>
    <definedName name="_bdm.EA481ED63417432F83E717DF094EB712.edm">#REF!</definedName>
    <definedName name="_bdm.EA4AFC0E957642EC9CC67FEF8E60EAEE.edm">#REF!</definedName>
    <definedName name="_bdm.EA4F69E356CA4D2DB46622905729438A.edm">#REF!</definedName>
    <definedName name="_bdm.EA88C2C679894059B94B6B5FC5C20C87.edm">#REF!</definedName>
    <definedName name="_bdm.EAAE9E146EE34FF78712E6966D22556D.edm">#REF!</definedName>
    <definedName name="_bdm.EAB80BCC4DC642C38EE44AF459BBB218.edm">#REF!</definedName>
    <definedName name="_bdm.EAD97E25A95B46C0A92FD12F5C151204.edm">#REF!</definedName>
    <definedName name="_bdm.EADCAC0F839243B097ACF0CE18653B12.edm">#REF!</definedName>
    <definedName name="_bdm.EAFBA424947641338A0D984847E0CBCB.edm">#REF!</definedName>
    <definedName name="_bdm.EAFD404B74F242BB8EC826088E532974.edm">#REF!</definedName>
    <definedName name="_bdm.EB1E4A73F340445BB19EB15DD0F15AB5.edm">#REF!</definedName>
    <definedName name="_bdm.EB8F8611E0A1432FA8C9F07D68C0B27A.edm">#REF!</definedName>
    <definedName name="_bdm.EBB0C13510664A61AEA1CD219338EE9D.edm">#REF!</definedName>
    <definedName name="_bdm.EBEDB1BBF71D4396B9AA7AFA7393A3AC.edm">#REF!</definedName>
    <definedName name="_bdm.EC249A7FE2604C7AA6867218ED43BCFD.edm">#REF!</definedName>
    <definedName name="_bdm.ECBE6DAEF2F54A58B1F0F609AB831212.edm">#REF!</definedName>
    <definedName name="_bdm.ED6126F77C804EE59E05B495B329D1F6.edm">#REF!</definedName>
    <definedName name="_bdm.EDBDAA11BE9D4B108CFBA39C3F386E29.edm">#REF!</definedName>
    <definedName name="_bdm.EDC5A2E31E824D3F884892BAD03F0339.edm">#REF!</definedName>
    <definedName name="_bdm.EE08EB48A15A424D8697F8EDDE7FBB0A.edm">#REF!</definedName>
    <definedName name="_bdm.EE39BB5E242E4C6E8BEC13284DB1AB65.edm">#REF!</definedName>
    <definedName name="_bdm.EE842DA20E5546EC962ADA8B8F97E323.edm">#REF!</definedName>
    <definedName name="_bdm.EE878FED14F94E3C81D25E2E9CAC8F05.edm">#REF!</definedName>
    <definedName name="_bdm.EEFA8B9435E54A05A6E01DD5600335E6.edm">#REF!</definedName>
    <definedName name="_bdm.EF0C9EE99CAA445CA44B86EE266401B8.edm">#REF!</definedName>
    <definedName name="_bdm.EF36217A5C334EBFB06A19BC95B255F5.edm">#REF!</definedName>
    <definedName name="_bdm.EF58004793D54FA1A69AFC107D7052BB.edm">#REF!</definedName>
    <definedName name="_bdm.EF6170D44F3446AC8832E676E690DC8C.edm">#REF!</definedName>
    <definedName name="_bdm.EF815049A83546D8BC57391CC89B2F91.edm">#REF!</definedName>
    <definedName name="_bdm.EFCDB2C7175548C99EC20B5AC0716ECD.edm">#REF!</definedName>
    <definedName name="_bdm.F00DB5A64842417A8CE169FCCEC052FE.edm">#REF!</definedName>
    <definedName name="_bdm.F0477F58FE7144128B3F21CFB724019F.edm">#REF!</definedName>
    <definedName name="_bdm.F0736C390065402598AAF1AC195918F8.edm">#REF!</definedName>
    <definedName name="_bdm.F078133C047648459C7E612F7CB2D944.edm">#REF!</definedName>
    <definedName name="_bdm.F0B79B10662548D6A48A9BA76991C7B1.edm">#REF!</definedName>
    <definedName name="_bdm.F0D57FBB54444C3C80E5205CBDA8FB6E.edm">#REF!</definedName>
    <definedName name="_bdm.F13C30DEB4B547288A31F0B763198E57.edm">#REF!</definedName>
    <definedName name="_bdm.F141257DAAA542E6A396AFBBB7B25BE7.edm">#REF!</definedName>
    <definedName name="_bdm.F188E2DC5E674635873624DB4C1EADD4.edm">#REF!</definedName>
    <definedName name="_bdm.F1BAEBB1B4FA4A179FA780CAEAEE4F6C.edm">#REF!</definedName>
    <definedName name="_bdm.F21F31305DD14804B4BF0BD5A28E5006.edm">#REF!</definedName>
    <definedName name="_bdm.F259EE43A13740A78E043F76E8338632.edm">#REF!</definedName>
    <definedName name="_bdm.F25FA0B7B5C3434DA4727135EA4A87ED.edm">#REF!</definedName>
    <definedName name="_bdm.F2893A79845B41619BAC2FD03F8DD8FE.edm">#REF!</definedName>
    <definedName name="_bdm.F2B2C671ADD64BFCA09A67DEE84580D6.edm">#REF!</definedName>
    <definedName name="_bdm.F2FEBCA383E34405908C8207B72DAB7F.edm">#REF!</definedName>
    <definedName name="_bdm.F31E11FA77684B899E1314CF57394E0E.edm">#REF!</definedName>
    <definedName name="_bdm.F3494F5A23424E5C903083EC9C5C9B0F.edm">#REF!</definedName>
    <definedName name="_bdm.F38F445BD03F40A3998DA0ADE52540BF.edm">#REF!</definedName>
    <definedName name="_bdm.F3AD5AFF16F940CFAFA8A48A6C20DACE.edm">#REF!</definedName>
    <definedName name="_bdm.F3D5456217D6402882D32302EC2E78A6.edm">#REF!</definedName>
    <definedName name="_bdm.F3DEF03AABD14F2AAC322F73DF0FE45D.edm">#REF!</definedName>
    <definedName name="_bdm.F40652E1155C470F938267D0914DF32D.edm">#REF!</definedName>
    <definedName name="_bdm.F443213A15B7479F885D1B83CE62C535.edm">#REF!</definedName>
    <definedName name="_bdm.F47B144F3DA646A8A6C189B25F0A3E44.edm">#REF!</definedName>
    <definedName name="_bdm.F4D01970EC5A4CE4A79709FF4AAC8EDC.edm">#REF!</definedName>
    <definedName name="_bdm.F4F4A71A4F514346ADF9364179EA7555.edm">#REF!</definedName>
    <definedName name="_bdm.F5043F03EB4E4E79B6DE563ACBE74945.edm">#REF!</definedName>
    <definedName name="_bdm.F5051B64605B4F40BE707F7C43C3CE35.edm">#REF!</definedName>
    <definedName name="_bdm.F522D60BDBA84779A096FCFA9EB1AED0.edm">#REF!</definedName>
    <definedName name="_bdm.F524242B724D40A7ABCB98662EA4C3D5.edm">#REF!</definedName>
    <definedName name="_bdm.F5280DBB0158474A96E640B4D2A08259.edm">#REF!</definedName>
    <definedName name="_bdm.F538AB67EF8144B185BBA8E5EF924BFE.edm">#REF!</definedName>
    <definedName name="_bdm.F55899475B7E4A4DBE288F5FD9544CA8.edm">#REF!</definedName>
    <definedName name="_bdm.F56BF40427A14B1F885B7C81B52BF85D.edm">#REF!</definedName>
    <definedName name="_bdm.F573AFDC6D0F4DD7A03EF51BBA53FC08.edm">#REF!</definedName>
    <definedName name="_bdm.F58F63494D5248E59B8EB3936207F7F6.edm">#REF!</definedName>
    <definedName name="_bdm.F5E2797106364C769CADB5E706F26C54.edm">#REF!</definedName>
    <definedName name="_bdm.F612E0950E9E4F64BF56E61401BC724A.edm">#REF!</definedName>
    <definedName name="_bdm.F62E737AE9DB4CBC952ED105E3A8A1B8.edm">#REF!</definedName>
    <definedName name="_bdm.F65E64D786DE47CAA834ACC53ECDD593.edm">#REF!</definedName>
    <definedName name="_bdm.F6724F914A9944C893A0D4E5A82AF011.edm">#REF!</definedName>
    <definedName name="_bdm.F6816A164AC743BDBBA48F39417877F0.edm">#REF!</definedName>
    <definedName name="_bdm.F6C894ABCE6746F1A27B988FFFE9F1FE.edm">#REF!</definedName>
    <definedName name="_bdm.F6E6D01B04A04047B827F5465420417C.edm">#REF!</definedName>
    <definedName name="_bdm.F71738AB565D405FB7D3DF407657D89A.edm">#REF!</definedName>
    <definedName name="_bdm.F73A2BF0AF304D2FAA4330D42C92D23E.edm">#REF!</definedName>
    <definedName name="_bdm.F7FCBBC083C946D583B8AAB522F53CC8.edm">#REF!</definedName>
    <definedName name="_bdm.F80F1704A76945EABB7DB79BE2CC412C.edm">#REF!</definedName>
    <definedName name="_bdm.F820DDBCAAC14A878FCA262399A574DA.edm">#REF!</definedName>
    <definedName name="_bdm.F8A356A0D670415C88A4288AF964889D.edm">#REF!</definedName>
    <definedName name="_bdm.F8E1F5FDC40C4EC09E45ACEAFB6DCCC2.edm">#REF!</definedName>
    <definedName name="_bdm.F8F93B50601A450B946BA20B66E8F69E.edm">#REF!</definedName>
    <definedName name="_bdm.F90E6EE5F64147119E02420B8FB2879E.edm">#REF!</definedName>
    <definedName name="_bdm.F936AA29065C406E9035CC864724EF81.edm">#REF!</definedName>
    <definedName name="_bdm.F95BF8854EE84458B3DA1757A209AD83.edm">#REF!</definedName>
    <definedName name="_bdm.F95D0C5B55A14EB1BBA57D270C9FFD0E.edm">#REF!</definedName>
    <definedName name="_bdm.F95F71290FA54739AC19BC6D688ADFDD.edm">#REF!</definedName>
    <definedName name="_bdm.F9620154BA2A460193F8AE99E123222F.edm">#REF!</definedName>
    <definedName name="_bdm.F97C969E10BD42CE8722B8BDA88EB3C4.edm">#REF!</definedName>
    <definedName name="_bdm.F98E533A5AD94656BAFDD8108163A53F.edm">#REF!</definedName>
    <definedName name="_bdm.F9AB2DAD2EB8448AB05098F23B72372F.edm">#REF!</definedName>
    <definedName name="_bdm.FA50A805BC9B4AE7BC5DAED844172052.edm">#REF!</definedName>
    <definedName name="_bdm.FA520B8DEE3F4F4ABBB5A37C785BD66D.edm">#REF!</definedName>
    <definedName name="_bdm.FAA51D19475147029FE878247783226E.edm">#REF!</definedName>
    <definedName name="_bdm.FAC43850A2B34A318D576903AF11D9DB.edm">#REF!</definedName>
    <definedName name="_bdm.FAEFC3403AE640278F3075017475DC54.edm">#REF!</definedName>
    <definedName name="_bdm.FB03402F18F74AB79B0D6AEC1CCF0930.edm">#REF!</definedName>
    <definedName name="_bdm.FB173135478F49779EDEE205B07007D0.edm">#REF!</definedName>
    <definedName name="_bdm.FB201DDB43F3462F99EB1CDB79A974B5.edm">#REF!</definedName>
    <definedName name="_bdm.FBF1446F5AFC4B329E53AC2447113CEC.edm">#REF!</definedName>
    <definedName name="_bdm.FCD69B8E241F4CFD90EEE482207579A0.edm">#REF!</definedName>
    <definedName name="_bdm.FD1981C16C27470994EF5FC5239E6504.edm">#REF!</definedName>
    <definedName name="_bdm.FD1D35EA453D4F609FCCA0BAB48FADBD.edm">#REF!</definedName>
    <definedName name="_bdm.FD2813133B7A47AAA70EAC2D7E5946E8.edm">#REF!</definedName>
    <definedName name="_bdm.FD4FAE3EF8604C328FD43C2A2FF37250.edm">#REF!</definedName>
    <definedName name="_bdm.FD749D7AB1CA4A878140AD3BFAF1EFBA.edm">#REF!</definedName>
    <definedName name="_bdm.FD7AF3DBBEBD40EC9AD21CB4320E48D9.edm">#REF!</definedName>
    <definedName name="_bdm.FDB336A5F93144019910044DD4B07D51.edm">#REF!</definedName>
    <definedName name="_bdm.FDC9A9405D514879A0F7B40AA5D70AE8.edm">#REF!</definedName>
    <definedName name="_bdm.FDCB3DEF85D54155BC1D86247319652A.edm">#REF!</definedName>
    <definedName name="_bdm.FDDAFD798E5C444CB5E51739E161077F.edm">#REF!</definedName>
    <definedName name="_bdm.FDE54D2F113F426E87F773F1A4073B7C.edm">#REF!</definedName>
    <definedName name="_bdm.FE56CD2E0A18446D888148BC3EED85F7.edm">#REF!</definedName>
    <definedName name="_bdm.FE75F42FFE0A4CBC97924D51A3F6C15B.edm">#REF!</definedName>
    <definedName name="_bdm.FE7BFD3BC8324955A8846DD217A60B16.edm">#REF!</definedName>
    <definedName name="_bdm.FE8D84AA942C4D9AAEABDC04406F96A0.edm">#REF!</definedName>
    <definedName name="_bdm.FE95B730E23F4561BAE08F1C036218D2.edm">#REF!</definedName>
    <definedName name="_bdm.FEAEF5B77BB94D689619810CB7599949.edm">#REF!</definedName>
    <definedName name="_bdm.FED5E6BC9EAE43769A1F19AFD5D29570.edm">#REF!</definedName>
    <definedName name="_bdm.FEE40548429842C5B4ECECB897A3C917.edm">#REF!</definedName>
    <definedName name="_bdm.FF4D5F5E13D6407CB98061498A573DF1.edm">#REF!</definedName>
    <definedName name="_bdm.FF70C0660EB24B5B985E31727D674790.edm">#REF!</definedName>
    <definedName name="_bdm.FF714423433B4CF395E60B80144F3F03.edm">#REF!</definedName>
    <definedName name="_bdm.FF99E7F0576B49389A75DBE00C9405A6.edm">#REF!</definedName>
    <definedName name="_bdm.FFCB2B81CA4B4022BCC26A5173181FBC.edm">#REF!</definedName>
    <definedName name="_bdm.FFE99E6AA07D4EA38F8F424FB63FDE46.edm">#REF!</definedName>
    <definedName name="_bdm.ToolkitBookmark.6_17_2004_9_35_05_AM.edm">#REF!</definedName>
    <definedName name="_CAP10">{"LC",#N/A,FALSE,"FC-15 Cap Expend"}</definedName>
    <definedName name="_dfk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jd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kj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P6434">{"TOTALDPAK",#N/A,FALSE,"DPAK PRODUCTION";"HADPAK",#N/A,FALSE,"DPAK PRODUCTION";"PSIDPAK",#N/A,FALSE,"DPAK PRODUCTION"}</definedName>
    <definedName name="_FA16434">{"TOTALFAB",#N/A,FALSE,"WAFER FAB 1 EXPENSE";"FABMANAGEMENT",#N/A,FALSE,"WAFER FAB 1 EXPENSE";"FABPRODUCTION",#N/A,FALSE,"WAFER FAB 1 EXPENSE";"FABENGINEERING",#N/A,FALSE,"WAFER FAB 1 EXPENSE";"FABEQUIPSUPPORT",#N/A,FALSE,"WAFER FAB 1 EXPENSE";"FABPRODUCTLINE",#N/A,FALSE,"WAFER FAB 1 EXPENSE";"FABMATERIALS",#N/A,FALSE,"WAFER FAB 1 EXPENSE"}</definedName>
    <definedName name="_FA26434">{"TOTALFAB",#N/A,FALSE,"WAFER FAB 2 EXPENSE";"FABPRODUCTION",#N/A,FALSE,"WAFER FAB 2 EXPENSE";"FABENGINEERING",#N/A,FALSE,"WAFER FAB 2 EXPENSE";"FABEQUIPSUPPORT",#N/A,FALSE,"WAFER FAB 2 EXPENSE";"FABPRODUCTLINE",#N/A,FALSE,"WAFER FAB 2 EXPENSE";"FABMATERIALS",#N/A,FALSE,"WAFER FAB 2 EXPENSE"}</definedName>
    <definedName name="_FA96434">{"TOTALFAB",#N/A,FALSE,"WAFER FAB 2 EXPENSE";"FABPRODUCTION",#N/A,FALSE,"WAFER FAB 2 EXPENSE";"FABENGINEERING",#N/A,FALSE,"WAFER FAB 2 EXPENSE";"FABEQUIPSUPPORT",#N/A,FALSE,"WAFER FAB 2 EXPENSE";"FABPRODUCTLINE",#N/A,FALSE,"WAFER FAB 2 EXPENSE";"FABMATERIALS",#N/A,FALSE,"WAFER FAB 2 EXPENSE"}</definedName>
    <definedName name="_FAC6434">{"TOTAL",#N/A,FALSE,"FACILITIES EXPENSE";"TOTALDETAIL",#N/A,FALSE,"FACILITIES EXPENSE";"MATERIALS",#N/A,FALSE,"FACILITIES EXPENSE";"FACILITIES",#N/A,FALSE,"FACILITIES EXPENSE";"CHEM",#N/A,FALSE,"FACILITIES EXPENSE";"GENSVC",#N/A,FALSE,"FACILITIES EXPENSE";"SAFETY",#N/A,FALSE,"FACILITIES EXPENSE"}</definedName>
    <definedName name="_Fill">#REF!</definedName>
    <definedName name="_xlnm._FilterDatabase" localSheetId="16" hidden="1">'Labor Spend'!$A$8:$CV$16</definedName>
    <definedName name="_xlnm._FilterDatabase" localSheetId="11" hidden="1">'MTN Payment Schedule Summary'!$B$2:$G$34</definedName>
    <definedName name="_xlnm._FilterDatabase" localSheetId="18" hidden="1">'SC Cost File'!$A$2:$AB$31</definedName>
    <definedName name="_xlnm._FilterDatabase" localSheetId="2" hidden="1">'Weekly Spend'!$A$8:$CY$97</definedName>
    <definedName name="_GR3">{"Informes",#N/A,FALSE,"CA";"Informes",#N/A,FALSE,"CN";"Informes",#N/A,FALSE,"INVERSIONES";"Informes",#N/A,FALSE,"CN Oficial";"Informes",#N/A,FALSE,"CA Oficial";"Informes",#N/A,FALSE,"Res Datos Areas"}</definedName>
    <definedName name="_GSRATES_1">"CT300001Latest          "</definedName>
    <definedName name="_GSRATES_COUNT">1</definedName>
    <definedName name="_GSRATESR_1">#REF!</definedName>
    <definedName name="_Key1">#REF!</definedName>
    <definedName name="_Key2">#REF!</definedName>
    <definedName name="_new">#REF!</definedName>
    <definedName name="_new2">{"FY97Q1 nvs",#N/A,FALSE,"FY97 - Q1";"FY97Q2 nvs",#N/A,FALSE,"FY97 - Q2";"FY97Q3 nvs",#N/A,FALSE,"FY97 - Q3";"FY97Q4 nvs",#N/A,FALSE,"FY97 - Q4"}</definedName>
    <definedName name="_new3">{"FY98Q1 nvs",#N/A,FALSE,"FY98 - Q1";"FY98Q2 nvs",#N/A,FALSE,"FY98 - Q2";"FY98Q3 nvs",#N/A,FALSE,"FY98 - Q3";"FY98Q4 nvs",#N/A,FALSE,"FY98 - Q4"}</definedName>
    <definedName name="_new4">{"INPUT",#N/A,FALSE,"REVENUE AND GM ";"CONTROL",#N/A,FALSE,"REVENUE AND GM ";"SWITCH",#N/A,FALSE,"REVENUE AND GM ";"OUTPUT",#N/A,FALSE,"REVENUE AND GM ";"TOTAL",#N/A,FALSE,"REVENUE AND GM "}</definedName>
    <definedName name="_new5">{"FY97Total",#N/A,FALSE,"FY97 - Total";"FY98Total",#N/A,FALSE,"FY98 - Total"}</definedName>
    <definedName name="_new6">{"FY97Q1",#N/A,FALSE,"FY97 - Q1";"FY97Q2",#N/A,FALSE,"FY97 - Q2";"FY97Q3",#N/A,FALSE,"FY97 - Q3";"FY97Q4",#N/A,FALSE,"FY97 - Q4"}</definedName>
    <definedName name="_o1">{#N/A,#N/A,FALSE,"SUMMARY";#N/A,#N/A,FALSE,"mcsh";#N/A,#N/A,FALSE,"vol&amp;rev";#N/A,#N/A,FALSE,"wkgcap";#N/A,#N/A,FALSE,"DEPR&amp;DT";#N/A,#N/A,FALSE,"ASSETS";#N/A,#N/A,FALSE,"NI&amp;OTH&amp;DIV";#N/A,#N/A,FALSE,"CASHFLOW";#N/A,#N/A,FALSE,"CAPEMPL";#N/A,#N/A,FALSE,"ROCE"}</definedName>
    <definedName name="_Order1">255</definedName>
    <definedName name="_Order2">255</definedName>
    <definedName name="_P00balance_sheet_2">#REF!</definedName>
    <definedName name="_P00DCF_Summary">#REF!</definedName>
    <definedName name="_P00drivers_quarterly">#REF!</definedName>
    <definedName name="_P00finacials_quarterly_nots">#REF!</definedName>
    <definedName name="_P00financials_quarterly">#REF!</definedName>
    <definedName name="_P00yearly2">#REF!</definedName>
    <definedName name="_Parse_In">#REF!</definedName>
    <definedName name="_Parse_Out">#REF!</definedName>
    <definedName name="_QR6434">{"QAEXPENSE",#N/A,FALSE,"QUALITY AND RELIABILITY EXPENSE";"qaadmin",#N/A,FALSE,"QUALITY AND RELIABILITY EXPENSE";"FA",#N/A,FALSE,"QUALITY AND RELIABILITY EXPENSE";"QA",#N/A,FALSE,"QUALITY AND RELIABILITY EXPENSE";"DOCCTRL",#N/A,FALSE,"QUALITY AND RELIABILITY EXPENSE";"PRODSUP",#N/A,FALSE,"QUALITY AND RELIABILITY EXPENSE"}</definedName>
    <definedName name="_Regression_Out">#REF!</definedName>
    <definedName name="_Regression_X">#REF!</definedName>
    <definedName name="_Regression_Y">#REF!</definedName>
    <definedName name="_Sort">#REF!</definedName>
    <definedName name="_Table1_In1">#REF!</definedName>
    <definedName name="_Table1_Out">#REF!</definedName>
    <definedName name="_Table2_In1">#REF!</definedName>
    <definedName name="_Table2_In2">#REF!</definedName>
    <definedName name="_Table2_Out">#REF!</definedName>
    <definedName name="_Table3_In2">#REF!</definedName>
    <definedName name="_TEM6434">{"ALLOCATION1",#N/A,FALSE,"EXPENSE ALLOCATIONS";"ALLOCATION2",#N/A,FALSE,"EXPENSE ALLOCATIONS";"ALLOCATION3",#N/A,FALSE,"EXPENSE ALLOCATIONS";"ALLOCATION4",#N/A,FALSE,"EXPENSE ALLOCATIONS"}</definedName>
    <definedName name="_uu56">#REF!</definedName>
    <definedName name="_Zbalance_sheet_2">{0,0,0,0,1,-4105,70.8661417322835,53.8582677165354,70.8661417322835,70.8661417322835,2,FALSE,FALSE,FALSE,FALSE,FALSE,#N/A,1,112,1,1,"","","","","","",FALSE}</definedName>
    <definedName name="_ZDCF_Summary">{0,0,0,0,1,-4105,41.04,53.8582677165354,64.08,51.84,2,FALSE,FALSE,FALSE,FALSE,FALSE,#N/A,1,65,1,1,"","","","","","",FALSE}</definedName>
    <definedName name="_Zdrivers_quarterly">{0,0,0,0,1,-4105,59.76,25.5118110236221,69.12,70.8661417322835,2,FALSE,FALSE,FALSE,FALSE,FALSE,#N/A,1,63,1,1,"","","","","","",FALSE}</definedName>
    <definedName name="_Zfinacials_quarterly_nots">{0,0,0,0,1,-4105,70.8661417322835,53.8582677165354,70.8661417322835,70.8661417322835,2,FALSE,FALSE,FALSE,FALSE,FALSE,#N/A,1,55,1,1,"","","","","","",FALSE}</definedName>
    <definedName name="_Zfinancials_quarterly">{0,0,0,0,1,-4105,70.8661417322835,53.8582677165354,70.8661417322835,70.8661417322835,2,FALSE,FALSE,FALSE,FALSE,FALSE,#N/A,1,55,1,1,"","","","","","",FALSE}</definedName>
    <definedName name="_Zyearly">{0,0,0,0,1,-4105,14.1732283464567,53.8582677165354,70.8661417322835,70.8661417322835,2,FALSE,FALSE,FALSE,FALSE,FALSE,#N/A,1,75,1,1,"","","","","","",FALSE}</definedName>
    <definedName name="_Zyearly2">{0,0,0,0,1,-4105,70.8661417322835,53.8582677165354,70.8661417322835,70.8661417322835,2,FALSE,FALSE,FALSE,FALSE,FALSE,#N/A,1,75,1,1,"","","","","","",FALSE}</definedName>
    <definedName name="a">{"WSQ1",#N/A,FALSE,"WRK P&amp;L -Qtr";"Q1ECG",#N/A,FALSE,"ECG P&amp;L -Qtr";"SRVQ1",#N/A,FALSE,"Server P&amp;L -Qtr";"Q1OPT",#N/A,FALSE,"Server Options P&amp;L -Qtr";"SOPSQ1",#N/A,FALSE,"SOPs P&amp;L -Qtr"}</definedName>
    <definedName name="aa">#REF!</definedName>
    <definedName name="aaa">{#N/A,#N/A,FALSE,"Renewals In Process";#N/A,#N/A,FALSE,"New Clients In Process";#N/A,#N/A,FALSE,"Completed New Clients";#N/A,#N/A,FALSE,"Completed Renewals"}</definedName>
    <definedName name="AAA_DOCTOPS">"AAA_SET"</definedName>
    <definedName name="AAA_duser">"OFF"</definedName>
    <definedName name="aaaa">{"WSQ1",#N/A,FALSE,"WRK P&amp;L -Qtr";"Q1ECG",#N/A,FALSE,"ECG P&amp;L -Qtr";"SRVQ1",#N/A,FALSE,"Server P&amp;L -Qtr";"Q1OPT",#N/A,FALSE,"Server Options P&amp;L -Qtr";"SOPSQ1",#N/A,FALSE,"SOPs P&amp;L -Qtr"}</definedName>
    <definedName name="AAB_Addin5">"AAB_Description for addin 5,Description for addin 5,Description for addin 5,Description for addin 5,Description for addin 5,Description for addin 5"</definedName>
    <definedName name="AAB_GSPPG">"AAB_Goldman Sachs PPG Chart Utilities 1.0g"</definedName>
    <definedName name="ab">{"WSQ1",#N/A,FALSE,"WRK P&amp;L -Qtr";"Q1ECG",#N/A,FALSE,"ECG P&amp;L -Qtr";"SRVQ1",#N/A,FALSE,"Server P&amp;L -Qtr";"Q1OPT",#N/A,FALSE,"Server Options P&amp;L -Qtr";"SOPSQ1",#N/A,FALSE,"SOPs P&amp;L -Qtr"}</definedName>
    <definedName name="abab">{"WSQ1",#N/A,FALSE,"WRK P&amp;L -Qtr";"Q1ECG",#N/A,FALSE,"ECG P&amp;L -Qtr";"SRVQ1",#N/A,FALSE,"Server P&amp;L -Qtr";"Q1OPT",#N/A,FALSE,"Server Options P&amp;L -Qtr";"SOPSQ1",#N/A,FALSE,"SOPs P&amp;L -Qtr"}</definedName>
    <definedName name="ababab">{"WSQ1",#N/A,FALSE,"WRK P&amp;L -Qtr";"Q1ECG",#N/A,FALSE,"ECG P&amp;L -Qtr";"SRVQ1",#N/A,FALSE,"Server P&amp;L -Qtr";"Q1OPT",#N/A,FALSE,"Server Options P&amp;L -Qtr";"SOPSQ1",#N/A,FALSE,"SOPs P&amp;L -Qtr"}</definedName>
    <definedName name="abababa">{"WSQ1",#N/A,FALSE,"WRK P&amp;L -Qtr";"Q1ECG",#N/A,FALSE,"ECG P&amp;L -Qtr";"SRVQ1",#N/A,FALSE,"Server P&amp;L -Qtr";"Q1OPT",#N/A,FALSE,"Server Options P&amp;L -Qtr";"SOPSQ1",#N/A,FALSE,"SOPs P&amp;L -Qtr"}</definedName>
    <definedName name="abababab">{"WSQ1",#N/A,FALSE,"WRK P&amp;L -Qtr";"Q1ECG",#N/A,FALSE,"ECG P&amp;L -Qtr";"SRVQ1",#N/A,FALSE,"Server P&amp;L -Qtr";"Q1OPT",#N/A,FALSE,"Server Options P&amp;L -Qtr";"SOPSQ1",#N/A,FALSE,"SOPs P&amp;L -Qtr"}</definedName>
    <definedName name="abc">{"WSQ1",#N/A,FALSE,"WRK P&amp;L -Qtr";"Q1ECG",#N/A,FALSE,"ECG P&amp;L -Qtr";"SRVQ1",#N/A,FALSE,"Server P&amp;L -Qtr";"Q1OPT",#N/A,FALSE,"Server Options P&amp;L -Qtr";"SOPSQ1",#N/A,FALSE,"SOPs P&amp;L -Qtr"}</definedName>
    <definedName name="AccessDatabase">"C:\DATA\Kevin\Kevin's Model.mdb"</definedName>
    <definedName name="ACCOUNT_CHANGE">"ACCOUNT_CHANGE"</definedName>
    <definedName name="ACCOUNTS_PAY">"ACCOUNTS_PAY"</definedName>
    <definedName name="ACCRUED_EXP">"ACCRUED_EXP"</definedName>
    <definedName name="ACwvu.BS.">#REF!</definedName>
    <definedName name="ACwvu.summary1.">#REF!</definedName>
    <definedName name="ACwvu.summary2.">#REF!</definedName>
    <definedName name="ACwvu.summary3.">#REF!</definedName>
    <definedName name="ADD_PAID_IN">"ADD_PAID_IN"</definedName>
    <definedName name="adf">{#N/A,#N/A,TRUE,"Summary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dfasfdadf">{#N/A,#N/A,TRUE,"Summary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sfadfda">{#N/A,#N/A,TRUE,"Summary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sfasdfasfdasdf">{#N/A,#N/A,TRUE,"Summary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E">#REF!</definedName>
    <definedName name="age">{#N/A,#N/A,TRUE,"Summary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1New">{#N/A,#N/A,TRUE,"Summary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New">{#N/A,#N/A,TRUE,"Summary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im">{#N/A,#N/A,FALSE,"Cover";#N/A,#N/A,FALSE,"Contents-Pg1";#N/A,#N/A,FALSE,"High-Com-pg2";#N/A,#N/A,FALSE,"1 Full";#N/A,#N/A,FALSE,"1chts";#N/A,#N/A,FALSE,"Table 2";#N/A,#N/A,FALSE,"3New Iss";#N/A,#N/A,FALSE,"4Money raised";#N/A,#N/A,FALSE,"5Aim";#N/A,#N/A,FALSE,"AiM charts";#N/A,#N/A,FALSE,"6FT Smll";#N/A,#N/A,FALSE,"11SEATS";#N/A,#N/A,FALSE,"12Notes"}</definedName>
    <definedName name="aimband">{#N/A,#N/A,FALSE,"Cover";#N/A,#N/A,FALSE,"Contents-Pg1";#N/A,#N/A,FALSE,"High-Com-pg2";#N/A,#N/A,FALSE,"1 Full";#N/A,#N/A,FALSE,"1chts";#N/A,#N/A,FALSE,"Table 2";#N/A,#N/A,FALSE,"3New Iss";#N/A,#N/A,FALSE,"4Money raised";#N/A,#N/A,FALSE,"5Aim";#N/A,#N/A,FALSE,"AiM charts";#N/A,#N/A,FALSE,"6FT Smll";#N/A,#N/A,FALSE,"11SEATS";#N/A,#N/A,FALSE,"12Notes"}</definedName>
    <definedName name="AJHFkjDGHF">{"Annual_Income",#N/A,FALSE,"Report Page";"Balance_Cash_Flow",#N/A,FALSE,"Report Page";"Quarterly_Income",#N/A,FALSE,"Report Page"}</definedName>
    <definedName name="anscount">1</definedName>
    <definedName name="App_1">OFFSET(#REF!,0,0,1,COUNTIF(#REF!,"&gt;0"))</definedName>
    <definedName name="App_2">OFFSET(#REF!,0,0,1,COUNTIF(#REF!,"&gt;0"))</definedName>
    <definedName name="App_3">OFFSET(#REF!,0,0,1,COUNTIF(#REF!,"&gt;0"))</definedName>
    <definedName name="App_4">OFFSET(#REF!,0,0,1,COUNTIF(#REF!,"&gt;0"))</definedName>
    <definedName name="App_5">OFFSET(#REF!,0,0,1,COUNTIF(#REF!,"&gt;0"))</definedName>
    <definedName name="App_6">OFFSET(#REF!,0,0,1,COUNTIF(#REF!,"&gt;0"))</definedName>
    <definedName name="arancio">{"FY98Q1 var",#N/A,FALSE,"FY98 - Q1";"FY98Q2 var",#N/A,FALSE,"FY98 - Q2";"FY98Q3 var",#N/A,FALSE,"FY98 - Q3";"FY98Q4 var",#N/A,FALSE,"FY98 - Q4"}</definedName>
    <definedName name="as">{#N/A,#N/A,FALSE,"SUMMARY";#N/A,#N/A,FALSE,"mcsh";#N/A,#N/A,FALSE,"vol&amp;rev";#N/A,#N/A,FALSE,"wkgcap";#N/A,#N/A,FALSE,"DEPR&amp;DT";#N/A,#N/A,FALSE,"ASSETS";#N/A,#N/A,FALSE,"NI&amp;OTH&amp;DIV";#N/A,#N/A,FALSE,"CASHFLOW";#N/A,#N/A,FALSE,"CAPEMPL";#N/A,#N/A,FALSE,"ROCE"}</definedName>
    <definedName name="AS2DocOpenMode">"AS2DocumentEdit"</definedName>
    <definedName name="asdf">{"WSQ1",#N/A,FALSE,"WRK P&amp;L -Qtr";"Q1ECG",#N/A,FALSE,"ECG P&amp;L -Qtr";"SRVQ1",#N/A,FALSE,"Server P&amp;L -Qtr";"Q1OPT",#N/A,FALSE,"Server Options P&amp;L -Qtr";"SOPSQ1",#N/A,FALSE,"SOPs P&amp;L -Qtr"}</definedName>
    <definedName name="asdfadg">{#N/A,#N/A,TRUE,"Summary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sdfasdfasd">{"ReportTop",#N/A,FALSE,"report top"}</definedName>
    <definedName name="asdfasdre">{TRUE,TRUE,-1.25,-15.5,604.5,369,FALSE,FALSE,TRUE,TRUE,0,1,83,1,38,4,5,4,TRUE,TRUE,3,TRUE,1,TRUE,75,"Swvu.inputs._.raw._.data.","ACwvu.inputs._.raw._.data.",#N/A,FALSE,FALSE,0.5,0.5,0.5,0.5,2,"&amp;F","&amp;A&amp;RPage &amp;P",FALSE,FALSE,FALSE,FALSE,1,60,#N/A,#N/A,"=R1C61:R53C89","=C1:C5",#N/A,#N/A,FALSE,FALSE,FALSE,1,600,600,FALSE,FALSE,TRUE,TRUE,TRUE}</definedName>
    <definedName name="asdsa">{"FY97Tot nvs",#N/A,FALSE,"FY97 - Total";"FY98Tot nvs",#N/A,FALSE,"FY98 - Total"}</definedName>
    <definedName name="aser">{"FY97Tot nvs",#N/A,FALSE,"FY97 - Total";"FY98Tot nvs",#N/A,FALSE,"FY98 - Total"}</definedName>
    <definedName name="asfd">{"ALLOCATION1",#N/A,FALSE,"EXPENSE ALLOCATIONS";"ALLOCATION2",#N/A,FALSE,"EXPENSE ALLOCATIONS";"ALLOCATION3",#N/A,FALSE,"EXPENSE ALLOCATIONS";"ALLOCATION4",#N/A,FALSE,"EXPENSE ALLOCATIONS"}</definedName>
    <definedName name="ASSET_TURNS">"ASSET_TURNS"</definedName>
    <definedName name="ATSeXToEUR">1/EUReXToATS</definedName>
    <definedName name="AUto1">{#N/A,#N/A,FALSE,"Sheet1"}</definedName>
    <definedName name="ave">{#N/A,#N/A,TRUE,"Summary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w">{"rawdata",#N/A,TRUE,"HKT";"in",#N/A,TRUE,"HKT";"rawdata",#N/A,TRUE,"PTInd";"in",#N/A,TRUE,"PTInd";"rawdata",#N/A,TRUE,"NTT";"in",#N/A,TRUE,"NTT";"rawdata",#N/A,TRUE,"PLD";"in",#N/A,TRUE,"PLD";"rawdata",#N/A,TRUE,"PTTelk";"in",#N/A,TRUE,"PTTelk";"rawdata",#N/A,TRUE,"ST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az">{#VALUE!,#N/A,FALSE,0}</definedName>
    <definedName name="BASIC_EPS_EXCL">"BASIC_EPS_EXCL"</definedName>
    <definedName name="BASIC_EPS_INCL">"BASIC_EPS_INCL"</definedName>
    <definedName name="BASIC_NORMAL_EPS">"BASIC_NORMAL_EPS"</definedName>
    <definedName name="BASIC_WEIGHT">"BASIC_WEIGHT"</definedName>
    <definedName name="bb">{#N/A,#N/A,FALSE,"Renewals In Process";#N/A,#N/A,FALSE,"New Clients In Process";#N/A,#N/A,FALSE,"Completed New Clients";#N/A,#N/A,FALSE,"Completed Renewals"}</definedName>
    <definedName name="bbb">{#N/A,#N/A,FALSE,"Assessment";#N/A,#N/A,FALSE,"Staffing";#N/A,#N/A,FALSE,"Hires";#N/A,#N/A,FALSE,"Assumptions"}</definedName>
    <definedName name="bbbbb">{#N/A,#N/A,FALSE,"Assessment";#N/A,#N/A,FALSE,"Staffing";#N/A,#N/A,FALSE,"Hires";#N/A,#N/A,FALSE,"Assumptions"}</definedName>
    <definedName name="Bear">{#N/A,#N/A,FALSE,"TS";#N/A,#N/A,FALSE,"Combo";#N/A,#N/A,FALSE,"FAIR";#N/A,#N/A,FALSE,"RBC";#N/A,#N/A,FALSE,"xxxx";#N/A,#N/A,FALSE,"A_D";#N/A,#N/A,FALSE,"WACC";#N/A,#N/A,FALSE,"DCF";#N/A,#N/A,FALSE,"LBO";#N/A,#N/A,FALSE,"AcqMults";#N/A,#N/A,FALSE,"CompMults"}</definedName>
    <definedName name="BEFeXToEUR">#REF!</definedName>
    <definedName name="bello">{"FY98Q1",#N/A,FALSE,"FY98 - Q1";"FY98Q2",#N/A,FALSE,"FY98 - Q2";"FY98Q3",#N/A,FALSE,"FY98 - Q3";"FY98Q4",#N/A,FALSE,"FY98 - Q4"}</definedName>
    <definedName name="belnew">{"IS",#N/A,FALSE,"IS";"RPTIS",#N/A,FALSE,"RPTIS";"STATS",#N/A,FALSE,"STATS";"CELL",#N/A,FALSE,"CELL";"BS",#N/A,FALSE,"BS"}</definedName>
    <definedName name="Benefits_Percent_Salary">#REF!</definedName>
    <definedName name="bgn">{#N/A,#N/A,FALSE,"Cover";#N/A,#N/A,FALSE,"Contents-Pg1";#N/A,#N/A,FALSE,"High-Com-pg2";#N/A,#N/A,FALSE,"1 Full";#N/A,#N/A,FALSE,"1chts";#N/A,#N/A,FALSE,"Table 2";#N/A,#N/A,FALSE,"3New Iss";#N/A,#N/A,FALSE,"4Money raised";#N/A,#N/A,FALSE,"5Aim";#N/A,#N/A,FALSE,"AiM charts";#N/A,#N/A,FALSE,"6FT Smll";#N/A,#N/A,FALSE,"11SEATS";#N/A,#N/A,FALSE,"12Notes"}</definedName>
    <definedName name="bgns">{#N/A,#N/A,FALSE,"Cover";#N/A,#N/A,FALSE,"Contents-Pg1";#N/A,#N/A,FALSE,"High-Com-pg2";#N/A,#N/A,FALSE,"1 Full";#N/A,#N/A,FALSE,"1chts";#N/A,#N/A,FALSE,"Table 2";#N/A,#N/A,FALSE,"3New Iss";#N/A,#N/A,FALSE,"4Money raised";#N/A,#N/A,FALSE,"5Aim";#N/A,#N/A,FALSE,"AiM charts";#N/A,#N/A,FALSE,"6FT Smll";#N/A,#N/A,FALSE,"11SEATS";#N/A,#N/A,FALSE,"12Notes"}</definedName>
    <definedName name="bgns2">{#N/A,#N/A,FALSE,"Cover";#N/A,#N/A,FALSE,"Contents-Pg1";#N/A,#N/A,FALSE,"High-Com-pg2";#N/A,#N/A,FALSE,"1 Full";#N/A,#N/A,FALSE,"1chts";#N/A,#N/A,FALSE,"Table 2";#N/A,#N/A,FALSE,"3New Iss";#N/A,#N/A,FALSE,"4Money raised";#N/A,#N/A,FALSE,"5Aim";#N/A,#N/A,FALSE,"AiM charts";#N/A,#N/A,FALSE,"6FT Smll";#N/A,#N/A,FALSE,"11SEATS";#N/A,#N/A,FALSE,"12Notes"}</definedName>
    <definedName name="bgns6">{#N/A,#N/A,FALSE,"Cover";#N/A,#N/A,FALSE,"Contents-Pg1";#N/A,#N/A,FALSE,"High-Com-pg2";#N/A,#N/A,FALSE,"1 Full";#N/A,#N/A,FALSE,"1chts";#N/A,#N/A,FALSE,"Table 2";#N/A,#N/A,FALSE,"3New Iss";#N/A,#N/A,FALSE,"4Money raised";#N/A,#N/A,FALSE,"5Aim";#N/A,#N/A,FALSE,"AiM charts";#N/A,#N/A,FALSE,"6FT Smll";#N/A,#N/A,FALSE,"11SEATS";#N/A,#N/A,FALSE,"12Notes"}</definedName>
    <definedName name="bla">{#N/A,#N/A,TRUE,"Main assumptions";#N/A,#N/A,TRUE,"Subscriber projections";#N/A,#N/A,TRUE,"Revenues";#N/A,#N/A,TRUE,"Opex";#N/A,#N/A,TRUE,"Capex";#N/A,#N/A,TRUE,"Working capital";#N/A,#N/A,TRUE,"P&amp;L";#N/A,#N/A,TRUE,"Cash";#N/A,#N/A,TRUE,"Balance";#N/A,#N/A,TRUE,"Valuation";#N/A,#N/A,TRUE,"Bench"}</definedName>
    <definedName name="bla_2">{#N/A,#N/A,TRUE,"Main assumptions";#N/A,#N/A,TRUE,"Subscriber projections";#N/A,#N/A,TRUE,"Revenues";#N/A,#N/A,TRUE,"Opex";#N/A,#N/A,TRUE,"Capex";#N/A,#N/A,TRUE,"Working capital";#N/A,#N/A,TRUE,"P&amp;L";#N/A,#N/A,TRUE,"Cash";#N/A,#N/A,TRUE,"Balance";#N/A,#N/A,TRUE,"Valuation";#N/A,#N/A,TRUE,"Bench"}</definedName>
    <definedName name="BLPH1">#REF!</definedName>
    <definedName name="BLPH10">#REF!</definedName>
    <definedName name="BLPH11">#REF!</definedName>
    <definedName name="BLPH12">#REF!</definedName>
    <definedName name="BLPH13">#REF!</definedName>
    <definedName name="BLPH14">#REF!</definedName>
    <definedName name="BLPH15">#REF!</definedName>
    <definedName name="BLPH16">#REF!</definedName>
    <definedName name="BLPH17">#REF!</definedName>
    <definedName name="BLPH18">#REF!</definedName>
    <definedName name="BLPH19">#REF!</definedName>
    <definedName name="BLPH2">#REF!</definedName>
    <definedName name="BLPH20">#REF!</definedName>
    <definedName name="BLPH21">#REF!</definedName>
    <definedName name="BLPH22">#REF!</definedName>
    <definedName name="BLPH23">#REF!</definedName>
    <definedName name="BLPH24">#REF!</definedName>
    <definedName name="BLPH25">#REF!</definedName>
    <definedName name="BLPH26">#REF!</definedName>
    <definedName name="BLPH27">#REF!</definedName>
    <definedName name="BLPH28">#REF!</definedName>
    <definedName name="BLPH29">#REF!</definedName>
    <definedName name="BLPH3">#REF!</definedName>
    <definedName name="BLPH30">#REF!</definedName>
    <definedName name="BLPH31">#REF!</definedName>
    <definedName name="BLPH32">#REF!</definedName>
    <definedName name="BLPH33">#REF!</definedName>
    <definedName name="BLPH34">#REF!</definedName>
    <definedName name="BLPH35">#REF!</definedName>
    <definedName name="BLPH36">#REF!</definedName>
    <definedName name="BLPH37">#REF!</definedName>
    <definedName name="BLPH38">#REF!</definedName>
    <definedName name="BLPH39">#REF!</definedName>
    <definedName name="BLPH4">#REF!</definedName>
    <definedName name="BLPH40">#REF!</definedName>
    <definedName name="BLPH41">#REF!</definedName>
    <definedName name="BLPH42">#REF!</definedName>
    <definedName name="BLPH43">#REF!</definedName>
    <definedName name="BLPH44">#REF!</definedName>
    <definedName name="BLPH45">#REF!</definedName>
    <definedName name="BLPH46">#REF!</definedName>
    <definedName name="BLPH47">#REF!</definedName>
    <definedName name="BLPH48">#REF!</definedName>
    <definedName name="BLPH49">#REF!</definedName>
    <definedName name="BLPH5">#REF!</definedName>
    <definedName name="BLPH50">#REF!</definedName>
    <definedName name="BLPH51">#REF!</definedName>
    <definedName name="BLPH52">#REF!</definedName>
    <definedName name="BLPH53">#REF!</definedName>
    <definedName name="BLPH54">#REF!</definedName>
    <definedName name="BLPH55">#REF!</definedName>
    <definedName name="BLPH56">#REF!</definedName>
    <definedName name="BLPH57">#REF!</definedName>
    <definedName name="BLPH58">#REF!</definedName>
    <definedName name="BLPH59">#REF!</definedName>
    <definedName name="BLPH6">#REF!</definedName>
    <definedName name="BLPH60">#REF!</definedName>
    <definedName name="BLPH61">#REF!</definedName>
    <definedName name="BLPH62">#REF!</definedName>
    <definedName name="BLPH63">#REF!</definedName>
    <definedName name="BLPH64">#REF!</definedName>
    <definedName name="BLPH65">#REF!</definedName>
    <definedName name="BLPH66">#REF!</definedName>
    <definedName name="BLPH67">#REF!</definedName>
    <definedName name="BLPH68">#REF!</definedName>
    <definedName name="BLPH69">#REF!</definedName>
    <definedName name="BLPH7">#REF!</definedName>
    <definedName name="BLPH8">#REF!</definedName>
    <definedName name="BLPH82">#REF!</definedName>
    <definedName name="BLPH83">#REF!</definedName>
    <definedName name="BLPH9">#REF!</definedName>
    <definedName name="bndwfb">{"FY97Total var",#N/A,FALSE,"FY97 - Total";"FY98Total var",#N/A,FALSE,"FY98 - Total"}</definedName>
    <definedName name="BOOK_VALUE">"BOOK_VALUE"</definedName>
    <definedName name="but">{"page1",#N/A,FALSE,"GIRLBO";"page2",#N/A,FALSE,"GIRLBO";"page3",#N/A,FALSE,"GIRLBO";"page4",#N/A,FALSE,"GIRLBO";"page5",#N/A,FALSE,"GIRLBO"}</definedName>
    <definedName name="BV_OVER_SHARES">"BV_OVER_SHARES"</definedName>
    <definedName name="caos">{"FY97Total",#N/A,FALSE,"FY97 - Total";"FY98Total",#N/A,FALSE,"FY98 - Total"}</definedName>
    <definedName name="CAPITAL_EXPEN">"CAPITAL_EXPEN"</definedName>
    <definedName name="CAPITAL_LEASE">"CAPITAL_LEASE"</definedName>
    <definedName name="carla">{"FY98Q1",#N/A,FALSE,"FY98 - Q1";"FY98Q2",#N/A,FALSE,"FY98 - Q2";"FY98Q3",#N/A,FALSE,"FY98 - Q3";"FY98Q4",#N/A,FALSE,"FY98 - Q4"}</definedName>
    <definedName name="CASH_DUE_BANKS">"CASH_DUE_BANKS"</definedName>
    <definedName name="CASH_EQUIV">"CASH_EQUIV"</definedName>
    <definedName name="CASH_INTEREST">"CASH_INTEREST"</definedName>
    <definedName name="CASH_ST">"CASH_ST"</definedName>
    <definedName name="CASH_TAXES">"CASH_TAXES"</definedName>
    <definedName name="casta">{"FY97Total var",#N/A,FALSE,"FY97 - Total";"FY98Total var",#N/A,FALSE,"FY98 - Total"}</definedName>
    <definedName name="CBWorkbookPriority">-1264563189</definedName>
    <definedName name="cc">{#N/A,#N/A,FALSE,"Renewals In Process";#N/A,#N/A,FALSE,"New Clients In Process";#N/A,#N/A,FALSE,"Completed New Clients";#N/A,#N/A,FALSE,"Completed Renewals"}</definedName>
    <definedName name="çç">{"Informes",#N/A,FALSE,"CA";"Informes",#N/A,FALSE,"CN";"Informes",#N/A,FALSE,"INVERSIONES";"Informes",#N/A,FALSE,"CN Oficial";"Informes",#N/A,FALSE,"CA Oficial";"Informes",#N/A,FALSE,"Res Datos Areas"}</definedName>
    <definedName name="cccc">{#N/A,#N/A,FALSE,"Assessment";#N/A,#N/A,FALSE,"Staffing";#N/A,#N/A,FALSE,"Hires";#N/A,#N/A,FALSE,"Assumptions"}</definedName>
    <definedName name="cds">{"FY97Tot nvs",#N/A,FALSE,"FY97 - Total";"FY98Tot nvs",#N/A,FALSE,"FY98 - Total"}</definedName>
    <definedName name="certo">{"FY97Q1",#N/A,FALSE,"FY97 - Q1";"FY97Q2",#N/A,FALSE,"FY97 - Q2";"FY97Q3",#N/A,FALSE,"FY97 - Q3";"FY97Q4",#N/A,FALSE,"FY97 - Q4"}</definedName>
    <definedName name="certro">{"FY98Q1",#N/A,FALSE,"FY98 - Q1";"FY98Q2",#N/A,FALSE,"FY98 - Q2";"FY98Q3",#N/A,FALSE,"FY98 - Q3";"FY98Q4",#N/A,FALSE,"FY98 - Q4"}</definedName>
    <definedName name="CHANGES_WORK_CAP">"CHANGES_WORK_CAP"</definedName>
    <definedName name="chart">{#N/A,#N/A,FALSE,"SUMMARY";#N/A,#N/A,FALSE,"mcsh";#N/A,#N/A,FALSE,"vol&amp;rev";#N/A,#N/A,FALSE,"wkgcap";#N/A,#N/A,FALSE,"DEPR&amp;DT";#N/A,#N/A,FALSE,"ASSETS";#N/A,#N/A,FALSE,"NI&amp;OTH&amp;DIV";#N/A,#N/A,FALSE,"CASHFLOW";#N/A,#N/A,FALSE,"CAPEMPL";#N/A,#N/A,FALSE,"ROCE"}</definedName>
    <definedName name="chartNew">{#N/A,#N/A,FALSE,"SUMMARY";#N/A,#N/A,FALSE,"mcsh";#N/A,#N/A,FALSE,"vol&amp;rev";#N/A,#N/A,FALSE,"wkgcap";#N/A,#N/A,FALSE,"DEPR&amp;DT";#N/A,#N/A,FALSE,"ASSETS";#N/A,#N/A,FALSE,"NI&amp;OTH&amp;DIV";#N/A,#N/A,FALSE,"CASHFLOW";#N/A,#N/A,FALSE,"CAPEMPL";#N/A,#N/A,FALSE,"ROCE"}</definedName>
    <definedName name="ciao">{"FY98Q1 var",#N/A,FALSE,"FY98 - Q1";"FY98Q2 var",#N/A,FALSE,"FY98 - Q2";"FY98Q3 var",#N/A,FALSE,"FY98 - Q3";"FY98Q4 var",#N/A,FALSE,"FY98 - Q4"}</definedName>
    <definedName name="cieco">{"Allocation Matrix p1",#N/A,FALSE,"Allocation Matrix";"Allocation Matrix p2",#N/A,FALSE,"Allocation Matrix";"Allocation Matrix p3",#N/A,FALSE,"Allocation Matrix"}</definedName>
    <definedName name="cifra">{"FY97Q1 var",#N/A,FALSE,"FY97 - Q1";"FY97Q2 var",#N/A,FALSE,"FY97 - Q2";"FY97Q3 var",#N/A,FALSE,"FY97 - Q3";"FY97Q4 var",#N/A,FALSE,"FY97 - Q4"}</definedName>
    <definedName name="CIQWBGuid">"f3adadaf-3848-48bf-9cd3-cf3149a3e84c"</definedName>
    <definedName name="COMMON_STOCK">"COMMON_STOCK"</definedName>
    <definedName name="COMPANY_ADDRESS">"COMPANY_ADDRESS"</definedName>
    <definedName name="COMPANY_NAME">"COMPANY_NAME"</definedName>
    <definedName name="COMPANY_PHONE">"COMPANY_PHONE"</definedName>
    <definedName name="COMPANY_STREET1">"COMPANY_STREET1"</definedName>
    <definedName name="COMPANY_STREET2">"COMPANY_STREET2"</definedName>
    <definedName name="COMPANY_TICKER">"COMPANY_TICKER"</definedName>
    <definedName name="COMPANY_WEBSITE">"COMPANY_WEBSITE"</definedName>
    <definedName name="COMPANY_ZIP">"COMPANY_ZIP"</definedName>
    <definedName name="con">#REF!</definedName>
    <definedName name="Confused">#REF!</definedName>
    <definedName name="COST_REVENUE">"COST_REVENUE"</definedName>
    <definedName name="CostCenter">OFFSET(#REF!,,,COUNTA(#REF!)-1)</definedName>
    <definedName name="CostType">OFFSET(#REF!,,,COUNTA(#REF!)-1)</definedName>
    <definedName name="coun">{#N/A,#N/A,FALSE,"Assessment";#N/A,#N/A,FALSE,"Staffing";#N/A,#N/A,FALSE,"Hires";#N/A,#N/A,FALSE,"Assumptions"}</definedName>
    <definedName name="COUNT2">{#N/A,#N/A,FALSE,"Assessment";#N/A,#N/A,FALSE,"Staffing";#N/A,#N/A,FALSE,"Hires";#N/A,#N/A,FALSE,"Assumptions"}</definedName>
    <definedName name="COUNTRY_NAME">"COUNTRY_NAME"</definedName>
    <definedName name="cover">#REF!</definedName>
    <definedName name="cuiao">{"Allocation Matrix p1",#N/A,FALSE,"Allocation Matrix";"Allocation Matrix p2",#N/A,FALSE,"Allocation Matrix";"Allocation Matrix p3",#N/A,FALSE,"Allocation Matrix"}</definedName>
    <definedName name="CURRENT_PORT">"CURRENT_PORT"</definedName>
    <definedName name="CURRENT_RATIO">"CURRENT_RATIO"</definedName>
    <definedName name="cv">{#N/A,#N/A,TRUE,"Summary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afs">{#N/A,#N/A,TRUE,"Summary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ata">181</definedName>
    <definedName name="dataq1">"3TDBJGTFG882I99EHA1LSHER2"</definedName>
    <definedName name="daws">{#N/A,#N/A,FALSE,"Renewals In Process";#N/A,#N/A,FALSE,"New Clients In Process";#N/A,#N/A,FALSE,"Completed New Clients";#N/A,#N/A,FALSE,"Completed Renewals"}</definedName>
    <definedName name="DAYS_PAY_OUTST">"DAYS_PAY_OUTST"</definedName>
    <definedName name="DAYS_SALES_OUTST">"DAYS_SALES_OUTST"</definedName>
    <definedName name="dd">{"M_1",#N/A,FALSE,"Main Sch";"M_2",#N/A,FALSE,"Main Sch";"M_3",#N/A,FALSE,"Main Sch";"M1B",#N/A,FALSE,"Support Sch";"M1C",#N/A,FALSE,"Support Sch";"M1D_1",#N/A,FALSE,"Support Sch";"M1D_2",#N/A,FALSE,"Support Sch";"M1E",#N/A,FALSE,"Support Sch";"M2A",#N/A,FALSE,"Support Sch";"M3A_SUMMARY",#N/A,FALSE,"Support Sch";"M3A_REVENUE",#N/A,FALSE,"Support Sch";"M3A_COMMISSIONS",#N/A,FALSE,"Support Sch";"M3B_1",#N/A,FALSE,"Support Sch";"M3B_2",#N/A,FALSE,"Support Sch";"M3C_PT1",#N/A,FALSE,"Support Sch";"M3C_PT2",#N/A,FALSE,"Support Sch";"M3D_PT1",#N/A,FALSE,"Support Sch";"M3D_PT2",#N/A,FALSE,"Support Sch";"M3E_1_PT1",#N/A,FALSE,"Support Sch";"M3E_1_PT2",#N/A,FALSE,"Support Sch";"M3E_1_PT3",#N/A,FALSE,"Support Sch";"M3E_2_PT1",#N/A,FALSE,"Support Sch";"M3E_2_PT2",#N/A,FALSE,"Support Sch";"M3E_2_PT3",#N/A,FALSE,"Support Sch";"M3E_3_PT1",#N/A,FALSE,"Support Sch";"M3E_3_PT2",#N/A,FALSE,"Support Sch";"M3E_3_PT3",#N/A,FALSE,"Support Sch";"M3F_PT1",#N/A,FALSE,"Support Sch";"M3F_PT2",#N/A,FALSE,"Support Sch";"M3F_PT3",#N/A,FALSE,"Support Sch";"M3H",#N/A,FALSE,"Support Sch";"M3J",#N/A,FALSE,"Support Sch";"M4B",#N/A,FALSE,"Support Sch"}</definedName>
    <definedName name="DDD">{"TOTALASSEMBLY",#N/A,FALSE,"ASSEMBLY EXPENSE";"DPAK",#N/A,FALSE,"ASSEMBLY EXPENSE";"TO220",#N/A,FALSE,"ASSEMBLY EXPENSE";"HEXDIP",#N/A,FALSE,"ASSEMBLY EXPENSE";"HEXSENSE",#N/A,FALSE,"ASSEMBLY EXPENSE";"MANAGEMENT",#N/A,FALSE,"ASSEMBLY EXPENSE";"MFGENGINEERING",#N/A,FALSE,"ASSEMBLY EXPENSE";"EQUIPENGINEERING",#N/A,FALSE,"ASSEMBLY EXPENSE";"TO220MGMT",#N/A,FALSE,"ASSEMBLY EXPENSE";"SAW",#N/A,FALSE,"ASSEMBLY EXPENSE";"EQUIPMENTSUPPORT",#N/A,FALSE,"ASSEMBLY EXPENSE";"MATERIALS",#N/A,FALSE,"ASSEMBLY EXPENSE"}</definedName>
    <definedName name="ddfdsfg">{"income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de">{#N/A,#N/A,FALSE,"Assessment";#N/A,#N/A,FALSE,"Staffing";#N/A,#N/A,FALSE,"Hires";#N/A,#N/A,FALSE,"Assumptions"}</definedName>
    <definedName name="DE_VAT">#REF!</definedName>
    <definedName name="def">{"510 Opex",#N/A,FALSE,"510";"520 Opex",#N/A,FALSE,"520";"UK Cons Opex",#N/A,FALSE,"Consulting-UK";"522 Opex",#N/A,FALSE,"522";"530 Opex",#N/A,FALSE,"530";"600 Opex",#N/A,FALSE,"600";"601 Opex",#N/A,FALSE,"601";"603 Opex",#N/A,FALSE,"603";"610 Opex",#N/A,FALSE,"610";"UK Sales Opex",#N/A,FALSE,"Sales-UK";"640 Opex",#N/A,FALSE,"640";"642 Opex",#N/A,FALSE,"642";"UK Mktg Opex",#N/A,FALSE,"Marketing - UK";"650 Opex",#N/A,FALSE,"650";"700 Opex",#N/A,FALSE,"700";"710 Opex",#N/A,FALSE,"710";"715 Opex",#N/A,FALSE,"715(DCS)";"720 Opex",#N/A,FALSE,"720(QA)";"800 Opex",#N/A,FALSE,"800";"810 Opex",#N/A,FALSE,"810";"820 Opex",#N/A,FALSE,"820";"830 Opex",#N/A,FALSE,"830";"850 Opex",#N/A,FALSE,"850";"851 Opex",#N/A,FALSE,"851";"Fringe Opex",#N/A,FALSE,"Fringe-825"}</definedName>
    <definedName name="DEFERRED_INC_TAX">"DEFERRED_INC_TAX"</definedName>
    <definedName name="DEFERRED_TAXES">"DEFERRED_TAXES"</definedName>
    <definedName name="deleteme">{"PA1",#N/A,FALSE,"BORDMW";"pa2",#N/A,FALSE,"BORDMW";"PA3",#N/A,FALSE,"BORDMW";"PA4",#N/A,FALSE,"BORDMW"}</definedName>
    <definedName name="deleteme2">{#N/A,#N/A,TRUE,"Main assumptions";#N/A,#N/A,TRUE,"Subscriber projections";#N/A,#N/A,TRUE,"Revenues";#N/A,#N/A,TRUE,"Opex";#N/A,#N/A,TRUE,"Capex";#N/A,#N/A,TRUE,"Working capital";#N/A,#N/A,TRUE,"P&amp;L";#N/A,#N/A,TRUE,"Cash";#N/A,#N/A,TRUE,"Balance";#N/A,#N/A,TRUE,"Valuation";#N/A,#N/A,TRUE,"Bench"}</definedName>
    <definedName name="DEMeXToEUR">#REF!</definedName>
    <definedName name="DEPRE_AMORT">"DEPRE_AMORT"</definedName>
    <definedName name="DEPRE_AMORT_SUPPL">"DEPRE_AMORT_SUPPL"</definedName>
    <definedName name="DEPRE_DEPLE">"DEPRE_DEPLE"</definedName>
    <definedName name="DEPRE_SUPP">"DEPRE_SUPP"</definedName>
    <definedName name="derta">{"FY97Q1 nvs",#N/A,FALSE,"FY97 - Q1";"FY97Q2 nvs",#N/A,FALSE,"FY97 - Q2";"FY97Q3 nvs",#N/A,FALSE,"FY97 - Q3";"FY97Q4 nvs",#N/A,FALSE,"FY97 - Q4"}</definedName>
    <definedName name="DESCRIPTION_LONG">"DESCRIPTION_LONG"</definedName>
    <definedName name="Desktop_1">OFFSET(#REF!,0,0,1,COUNTIF(#REF!,"&gt;0"))</definedName>
    <definedName name="Desktop_2">OFFSET(#REF!,0,0,1,COUNTIF(#REF!,"&gt;0"))</definedName>
    <definedName name="Desktop_3">OFFSET(#REF!,0,0,1,COUNTIF(#REF!,"&gt;0"))</definedName>
    <definedName name="Desktop_4">OFFSET(#REF!,0,0,1,COUNTIF(#REF!,"&gt;0"))</definedName>
    <definedName name="Desktop_5">OFFSET(#REF!,0,0,1,COUNTIF(#REF!,"&gt;0"))</definedName>
    <definedName name="Desktop_6">OFFSET(#REF!,0,0,1,COUNTIF(#REF!,"&gt;0"))</definedName>
    <definedName name="desto">{"FY98Q1 nvs",#N/A,FALSE,"FY98 - Q1";"FY98Q2 nvs",#N/A,FALSE,"FY98 - Q2";"FY98Q3 nvs",#N/A,FALSE,"FY98 - Q3";"FY98Q4 nvs",#N/A,FALSE,"FY98 - Q4"}</definedName>
    <definedName name="detto">{"FY97Q1",#N/A,FALSE,"FY97 - Q1";"FY97Q2",#N/A,FALSE,"FY97 - Q2";"FY97Q3",#N/A,FALSE,"FY97 - Q3";"FY97Q4",#N/A,FALSE,"FY97 - Q4"}</definedName>
    <definedName name="df">{"FY97Q1 var",#N/A,FALSE,"FY97 - Q1";"FY97Q2 var",#N/A,FALSE,"FY97 - Q2";"FY97Q3 var",#N/A,FALSE,"FY97 - Q3";"FY97Q4 var",#N/A,FALSE,"FY97 - Q4"}</definedName>
    <definedName name="dfdf">{#N/A,#N/A,FALSE,"Product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g">{"cred comp",#N/A,FALSE,"Comparable Credit Analysis";"IS",#N/A,FALSE,"IS";"Sensitivity",#N/A,FALSE,"Sensitivity";"BS",#N/A,FALSE,"BS";"Bond Summary",#N/A,FALSE,"B Summary";"AD",#N/A,FALSE,"Accretion";"NAV",#N/A,FALSE,"NAV";"SU",#N/A,FALSE,"S&amp;U";"acq. study",#N/A,FALSE,"Acq. Study";"F Charges",#N/A,FALSE,"Fixed Charges"}</definedName>
    <definedName name="dfh">#REF!</definedName>
    <definedName name="dfk">{#N/A,#N/A,TRUE,"Summary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1New">{#N/A,#N/A,TRUE,"Summary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New">{#N/A,#N/A,TRUE,"Summary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g">{#N/A,#N/A,FALSE,"Product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GFMASEH">{"'גיליון1'!$W$156:$AB$173","'גיליון1'!$S$154:$AB$158"}</definedName>
    <definedName name="dicci">{"FY97Total",#N/A,FALSE,"FY97 - Total";"FY98Total",#N/A,FALSE,"FY98 - Total"}</definedName>
    <definedName name="DILUT_ADJUST">"DILUT_ADJUST"</definedName>
    <definedName name="DILUT_EPS_EXCL">"DILUT_EPS_EXCL"</definedName>
    <definedName name="DILUT_EPS_INCL">"DILUT_EPS_INCL"</definedName>
    <definedName name="DILUT_NORMAL_EPS">"DILUT_NORMAL_EPS"</definedName>
    <definedName name="DILUT_WEIGHT">"DILUT_WEIGHT"</definedName>
    <definedName name="dimmi">{"FY97Q1 nvs",#N/A,FALSE,"FY97 - Q1";"FY97Q2 nvs",#N/A,FALSE,"FY97 - Q2";"FY97Q3 nvs",#N/A,FALSE,"FY97 - Q3";"FY97Q4 nvs",#N/A,FALSE,"FY97 - Q4"}</definedName>
    <definedName name="dirlo">{"FY97Tot nvs",#N/A,FALSE,"FY97 - Total";"FY98Tot nvs",#N/A,FALSE,"FY98 - Total"}</definedName>
    <definedName name="DISCONT_OPER">"DISCONT_OPER"</definedName>
    <definedName name="DIVID_SHARE">"DIVID_SHARE"</definedName>
    <definedName name="djd">{#N/A,#N/A,TRUE,"Summary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1New">{#N/A,#N/A,TRUE,"Summary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New">{#N/A,#N/A,TRUE,"Summary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fNew">{#N/A,#N/A,TRUE,"Summary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j">{#N/A,#N/A,TRUE,"Summary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ME_Dirty">"False"</definedName>
    <definedName name="DME_LocalFile">"True"</definedName>
    <definedName name="DME_ODMALinks1">"::ODMA\DME-MSE\London-44590=C:\TEMP\Dme\London-44590.xls"</definedName>
    <definedName name="DME_ODMALinksCount">"1"</definedName>
    <definedName name="DoCoMo">{"test2",#N/A,TRUE,"Prices"}</definedName>
    <definedName name="DONCASHFLOPMT">{"ISMTHBRDVIEW",#N/A,FALSE,"ISMTH"}</definedName>
    <definedName name="doncashflowpmt05">{"ISMTHBRDVIEW",#N/A,FALSE,"ISMTH"}</definedName>
    <definedName name="drhn">#REF!</definedName>
    <definedName name="DRS">39454.4051388889</definedName>
    <definedName name="ds">#REF!</definedName>
    <definedName name="dse">{"FY97Tot nvs",#N/A,FALSE,"FY97 - Total";"FY98Tot nvs",#N/A,FALSE,"FY98 - Total"}</definedName>
    <definedName name="DSF">{#N/A,#N/A,FALSE,"Renewals In Process";#N/A,#N/A,FALSE,"New Clients In Process";#N/A,#N/A,FALSE,"Completed New Clients";#N/A,#N/A,FALSE,"Completed Renewals"}</definedName>
    <definedName name="dsss">#REF!</definedName>
    <definedName name="EBIT_10K">"EBIT_10K"</definedName>
    <definedName name="EBIT_10Q">"EBIT_10Q"</definedName>
    <definedName name="EBIT_10Q1">"EBIT_10Q1"</definedName>
    <definedName name="EBIT_GROWTH_1">"EBIT_GROWTH_1"</definedName>
    <definedName name="EBIT_GROWTH_2">"EBIT_GROWTH_2"</definedName>
    <definedName name="EBIT_MARGIN">"EBIT_MARGIN"</definedName>
    <definedName name="EBIT_OVER_IE">"EBIT_OVER_IE"</definedName>
    <definedName name="EBITDA_10K">"EBITDA_10K"</definedName>
    <definedName name="EBITDA_10Q">"EBITDA_10Q"</definedName>
    <definedName name="EBITDA_10Q1">"EBITDA_10Q1"</definedName>
    <definedName name="EBITDA_CAPEX_OVER_TOTAL_IE">"EBITDA_CAPEX_OVER_TOTAL_IE"</definedName>
    <definedName name="EBITDA_GROWTH_1">"EBITDA_GROWTH_1"</definedName>
    <definedName name="EBITDA_GROWTH_2">"EBITDA_GROWTH_2"</definedName>
    <definedName name="EBITDA_MARGIN">"EBITDA_MARGIN"</definedName>
    <definedName name="EBITDA_OVER_TOTAL_IE">"EBITDA_OVER_TOTAL_IE"</definedName>
    <definedName name="ee">{"FY97Q1 nvs",#N/A,FALSE,"FY97 - Q1";"FY97Q2 nvs",#N/A,FALSE,"FY97 - Q2";"FY97Q3 nvs",#N/A,FALSE,"FY97 - Q3";"FY97Q4 nvs",#N/A,FALSE,"FY97 - Q4"}</definedName>
    <definedName name="eeeeeee">#REF!</definedName>
    <definedName name="eeeeeeee">#REF!</definedName>
    <definedName name="EFFECT_SPECIAL_CHARGE">"EFFECT_SPECIAL_CHARGE"</definedName>
    <definedName name="EIJI">{"ALLOCATION1",#N/A,FALSE,"EXPENSE ALLOCATIONS";"ALLOCATION2",#N/A,FALSE,"EXPENSE ALLOCATIONS";"ALLOCATION3",#N/A,FALSE,"EXPENSE ALLOCATIONS";"ALLOCATION4",#N/A,FALSE,"EXPENSE ALLOCATIONS"}</definedName>
    <definedName name="Eiji1">{"ALLOCATION1",#N/A,FALSE,"EXPENSE ALLOCATIONS";"ALLOCATION2",#N/A,FALSE,"EXPENSE ALLOCATIONS";"ALLOCATION3",#N/A,FALSE,"EXPENSE ALLOCATIONS";"ALLOCATION4",#N/A,FALSE,"EXPENSE ALLOCATIONS"}</definedName>
    <definedName name="EIJIA">{"ALLOCATION1",#N/A,FALSE,"EXPENSE ALLOCATIONS";"ALLOCATION2",#N/A,FALSE,"EXPENSE ALLOCATIONS";"ALLOCATION3",#N/A,FALSE,"EXPENSE ALLOCATIONS";"ALLOCATION4",#N/A,FALSE,"EXPENSE ALLOCATIONS"}</definedName>
    <definedName name="EIJIB">{"TOTALASSEMBLY",#N/A,FALSE,"ASSEMBLY EXPENSE";"DPAK",#N/A,FALSE,"ASSEMBLY EXPENSE";"TO220",#N/A,FALSE,"ASSEMBLY EXPENSE";"HEXDIP",#N/A,FALSE,"ASSEMBLY EXPENSE";"HEXSENSE",#N/A,FALSE,"ASSEMBLY EXPENSE";"MANAGEMENT",#N/A,FALSE,"ASSEMBLY EXPENSE";"MFGENGINEERING",#N/A,FALSE,"ASSEMBLY EXPENSE";"EQUIPENGINEERING",#N/A,FALSE,"ASSEMBLY EXPENSE";"TO220MGMT",#N/A,FALSE,"ASSEMBLY EXPENSE";"SAW",#N/A,FALSE,"ASSEMBLY EXPENSE";"EQUIPMENTSUPPORT",#N/A,FALSE,"ASSEMBLY EXPENSE";"MATERIALS",#N/A,FALSE,"ASSEMBLY EXPENSE"}</definedName>
    <definedName name="EIJIC">{"TOTALDPAK",#N/A,FALSE,"DPAK PRODUCTION";"HADPAK",#N/A,FALSE,"DPAK PRODUCTION";"PSIDPAK",#N/A,FALSE,"DPAK PRODUCTION"}</definedName>
    <definedName name="EIJID">{"TOTALFAB",#N/A,FALSE,"WAFER FAB 2 EXPENSE";"FABPRODUCTION",#N/A,FALSE,"WAFER FAB 2 EXPENSE";"FABENGINEERING",#N/A,FALSE,"WAFER FAB 2 EXPENSE";"FABEQUIPSUPPORT",#N/A,FALSE,"WAFER FAB 2 EXPENSE";"FABPRODUCTLINE",#N/A,FALSE,"WAFER FAB 2 EXPENSE";"FABMATERIALS",#N/A,FALSE,"WAFER FAB 2 EXPENSE"}</definedName>
    <definedName name="EMPLOYEES">"EMPLOYEES"</definedName>
    <definedName name="EPS">"EPS"</definedName>
    <definedName name="EPS_10K">"EPS_10K"</definedName>
    <definedName name="EPS_10Q">"EPS_10Q"</definedName>
    <definedName name="EPS_10Q1">"EPS_10Q1"</definedName>
    <definedName name="EPS_EST">"EPS_EST"</definedName>
    <definedName name="EPS_EST_1">"EPS_EST_1"</definedName>
    <definedName name="EQUITY_AFFIL">"EQUITY_AFFIL"</definedName>
    <definedName name="EQUITY_MARKET_VAL">"EQUITY_MARKET_VAL"</definedName>
    <definedName name="EQV_OVER_BV">"EQV_OVER_BV"</definedName>
    <definedName name="EQV_OVER_LTM_PRETAX_INC">"EQV_OVER_LTM_PRETAX_INC"</definedName>
    <definedName name="er">{"Allocation Matrix p1",#N/A,FALSE,"Allocation Matrix";"Allocation Matrix p2",#N/A,FALSE,"Allocation Matrix";"Allocation Matrix p3",#N/A,FALSE,"Allocation Matrix"}</definedName>
    <definedName name="ERRA">{"Allocation Matrix p1",#N/A,FALSE,"Allocation Matrix";"Allocation Matrix p2",#N/A,FALSE,"Allocation Matrix";"Allocation Matrix p3",#N/A,FALSE,"Allocation Matrix"}</definedName>
    <definedName name="esdrt">#REF!</definedName>
    <definedName name="ESOP_DEBT">"ESOP_DEBT"</definedName>
    <definedName name="ESPeXToEUR">#REF!</definedName>
    <definedName name="EUReXToATS">#REF!</definedName>
    <definedName name="EUReXToBEF">#REF!</definedName>
    <definedName name="EUReXToDEM">#REF!</definedName>
    <definedName name="EUReXToESP">#REF!</definedName>
    <definedName name="EUReXToFIM">#REF!</definedName>
    <definedName name="EUReXToFRF">#REF!</definedName>
    <definedName name="EUReXToIEP">#REF!</definedName>
    <definedName name="EUReXToITL">#REF!</definedName>
    <definedName name="EUReXToLUF">#REF!</definedName>
    <definedName name="EUReXToNLG">#REF!</definedName>
    <definedName name="EUReXToPTE">#REF!</definedName>
    <definedName name="EV__CVPARAMS__">"Trend!$B$17:$C$38;"</definedName>
    <definedName name="EV__LASTREFTIME__">38259.7064351852</definedName>
    <definedName name="EV__MAXEXPCOLS__">100</definedName>
    <definedName name="EV__MAXEXPROWS__">1000</definedName>
    <definedName name="EV__WBEVMODE__">0</definedName>
    <definedName name="EV__WBREFOPTIONS__">134217783</definedName>
    <definedName name="EV_OVER_EMPLOYEE">"EV_OVER_EMPLOYEE"</definedName>
    <definedName name="EV_OVER_LTM_EBIT">"EV_OVER_LTM_EBIT"</definedName>
    <definedName name="EV_OVER_LTM_EBITDA">"EV_OVER_LTM_EBITDA"</definedName>
    <definedName name="EV_OVER_LTM_REVENUE">"EV_OVER_LTM_REVENUE"</definedName>
    <definedName name="EV_OVER_REVENUE_EST">"EV_OVER_REVENUE_EST"</definedName>
    <definedName name="EV_OVER_REVENUE_EST_1">"EV_OVER_REVENUE_EST_1"</definedName>
    <definedName name="ev.Calculation">-4105</definedName>
    <definedName name="ev.Initialized">FALSE</definedName>
    <definedName name="ewae">{"FY98Q1",#N/A,FALSE,"FY98 - Q1";"FY98Q2",#N/A,FALSE,"FY98 - Q2";"FY98Q3",#N/A,FALSE,"FY98 - Q3";"FY98Q4",#N/A,FALSE,"FY98 - Q4"}</definedName>
    <definedName name="ewe">{#N/A,#N/A,FALSE,"inc state";#N/A,#N/A,FALSE,"Products";#N/A,#N/A,FALSE,"bal sht"}</definedName>
    <definedName name="Excel_BuiltIn_Criteria_1">#REF!</definedName>
    <definedName name="EXCHANGE">"EXCHANGE"</definedName>
    <definedName name="EXTRA_ITEMS">"EXTRA_ITEMS"</definedName>
    <definedName name="fast">{"FY97Q1",#N/A,FALSE,"FY97 - Q1";"FY97Q2",#N/A,FALSE,"FY97 - Q2";"FY97Q3",#N/A,FALSE,"FY97 - Q3";"FY97Q4",#N/A,FALSE,"FY97 - Q4"}</definedName>
    <definedName name="FDD_0_0">"A30681"</definedName>
    <definedName name="FDD_0_1">"A31047"</definedName>
    <definedName name="FDD_0_10">"A34334"</definedName>
    <definedName name="FDD_0_11">"A34699"</definedName>
    <definedName name="FDD_0_12">"A35064"</definedName>
    <definedName name="FDD_0_13">"A35430"</definedName>
    <definedName name="FDD_0_14">"A35795"</definedName>
    <definedName name="FDD_0_2">"A31412"</definedName>
    <definedName name="FDD_0_3">"A31777"</definedName>
    <definedName name="FDD_0_4">"A32142"</definedName>
    <definedName name="FDD_0_5">"A32508"</definedName>
    <definedName name="FDD_0_6">"A32873"</definedName>
    <definedName name="FDD_0_7">"A33238"</definedName>
    <definedName name="FDD_0_8">"A33603"</definedName>
    <definedName name="FDD_0_9">"A33969"</definedName>
    <definedName name="FDD_1_0">"U25569"</definedName>
    <definedName name="FDD_10_0">"A25569"</definedName>
    <definedName name="FDD_100_0">"A25569"</definedName>
    <definedName name="FDD_101_0">"A25569"</definedName>
    <definedName name="FDD_102_0">"A25569"</definedName>
    <definedName name="FDD_103_0">"A25569"</definedName>
    <definedName name="FDD_104_0">"A25569"</definedName>
    <definedName name="FDD_105_0">"A25569"</definedName>
    <definedName name="FDD_106_0">"A25569"</definedName>
    <definedName name="FDD_107_0">"A25569"</definedName>
    <definedName name="FDD_108_0">"A25569"</definedName>
    <definedName name="FDD_109_0">"A25569"</definedName>
    <definedName name="FDD_11_0">"A25569"</definedName>
    <definedName name="FDD_110_0">"A25569"</definedName>
    <definedName name="FDD_111_0">"A25569"</definedName>
    <definedName name="FDD_112_0">"A25569"</definedName>
    <definedName name="FDD_113_0">"A25569"</definedName>
    <definedName name="FDD_114_0">"A25569"</definedName>
    <definedName name="FDD_115_0">"A25569"</definedName>
    <definedName name="FDD_116_0">"A25569"</definedName>
    <definedName name="FDD_117_0">"A30681"</definedName>
    <definedName name="FDD_117_1">"A31047"</definedName>
    <definedName name="FDD_117_10">"A34334"</definedName>
    <definedName name="FDD_117_11">"A34699"</definedName>
    <definedName name="FDD_117_12">"A35064"</definedName>
    <definedName name="FDD_117_13">"A35430"</definedName>
    <definedName name="FDD_117_14">"A35795"</definedName>
    <definedName name="FDD_117_2">"A31412"</definedName>
    <definedName name="FDD_117_3">"A31777"</definedName>
    <definedName name="FDD_117_4">"A32142"</definedName>
    <definedName name="FDD_117_5">"A32508"</definedName>
    <definedName name="FDD_117_6">"A32873"</definedName>
    <definedName name="FDD_117_7">"A33238"</definedName>
    <definedName name="FDD_117_8">"A33603"</definedName>
    <definedName name="FDD_117_9">"A33969"</definedName>
    <definedName name="FDD_118_0">"A30681"</definedName>
    <definedName name="FDD_118_1">"A31047"</definedName>
    <definedName name="FDD_118_10">"A34334"</definedName>
    <definedName name="FDD_118_11">"A34699"</definedName>
    <definedName name="FDD_118_12">"A35064"</definedName>
    <definedName name="FDD_118_13">"A35430"</definedName>
    <definedName name="FDD_118_14">"A35795"</definedName>
    <definedName name="FDD_118_2">"A31412"</definedName>
    <definedName name="FDD_118_3">"A31777"</definedName>
    <definedName name="FDD_118_4">"A32142"</definedName>
    <definedName name="FDD_118_5">"A32508"</definedName>
    <definedName name="FDD_118_6">"A32873"</definedName>
    <definedName name="FDD_118_7">"A33238"</definedName>
    <definedName name="FDD_118_8">"A33603"</definedName>
    <definedName name="FDD_118_9">"A33969"</definedName>
    <definedName name="FDD_119_0">"A30681"</definedName>
    <definedName name="FDD_119_1">"A31047"</definedName>
    <definedName name="FDD_119_10">"A34334"</definedName>
    <definedName name="FDD_119_11">"A34699"</definedName>
    <definedName name="FDD_119_12">"A35064"</definedName>
    <definedName name="FDD_119_13">"A35430"</definedName>
    <definedName name="FDD_119_14">"A35795"</definedName>
    <definedName name="FDD_119_2">"A31412"</definedName>
    <definedName name="FDD_119_3">"A31777"</definedName>
    <definedName name="FDD_119_4">"A32142"</definedName>
    <definedName name="FDD_119_5">"A32508"</definedName>
    <definedName name="FDD_119_6">"A32873"</definedName>
    <definedName name="FDD_119_7">"A33238"</definedName>
    <definedName name="FDD_119_8">"A33603"</definedName>
    <definedName name="FDD_119_9">"A33969"</definedName>
    <definedName name="FDD_12_0">"A25569"</definedName>
    <definedName name="FDD_120_0">"A30681"</definedName>
    <definedName name="FDD_120_1">"A31047"</definedName>
    <definedName name="FDD_120_10">"A34334"</definedName>
    <definedName name="FDD_120_11">"A34699"</definedName>
    <definedName name="FDD_120_12">"A35064"</definedName>
    <definedName name="FDD_120_13">"A35430"</definedName>
    <definedName name="FDD_120_14">"A35795"</definedName>
    <definedName name="FDD_120_2">"A31412"</definedName>
    <definedName name="FDD_120_3">"A31777"</definedName>
    <definedName name="FDD_120_4">"A32142"</definedName>
    <definedName name="FDD_120_5">"A32508"</definedName>
    <definedName name="FDD_120_6">"A32873"</definedName>
    <definedName name="FDD_120_7">"A33238"</definedName>
    <definedName name="FDD_120_8">"A33603"</definedName>
    <definedName name="FDD_120_9">"A33969"</definedName>
    <definedName name="FDD_121_0">"A30681"</definedName>
    <definedName name="FDD_121_1">"A31047"</definedName>
    <definedName name="FDD_121_10">"A34334"</definedName>
    <definedName name="FDD_121_11">"A34699"</definedName>
    <definedName name="FDD_121_12">"A35064"</definedName>
    <definedName name="FDD_121_13">"A35430"</definedName>
    <definedName name="FDD_121_14">"A35795"</definedName>
    <definedName name="FDD_121_2">"A31412"</definedName>
    <definedName name="FDD_121_3">"A31777"</definedName>
    <definedName name="FDD_121_4">"A32142"</definedName>
    <definedName name="FDD_121_5">"A32508"</definedName>
    <definedName name="FDD_121_6">"A32873"</definedName>
    <definedName name="FDD_121_7">"A33238"</definedName>
    <definedName name="FDD_121_8">"A33603"</definedName>
    <definedName name="FDD_121_9">"A33969"</definedName>
    <definedName name="FDD_122_0">"A30681"</definedName>
    <definedName name="FDD_122_1">"A31047"</definedName>
    <definedName name="FDD_122_10">"A34334"</definedName>
    <definedName name="FDD_122_11">"A34699"</definedName>
    <definedName name="FDD_122_12">"A35064"</definedName>
    <definedName name="FDD_122_13">"A35430"</definedName>
    <definedName name="FDD_122_14">"A35795"</definedName>
    <definedName name="FDD_122_2">"A31412"</definedName>
    <definedName name="FDD_122_3">"A31777"</definedName>
    <definedName name="FDD_122_4">"A32142"</definedName>
    <definedName name="FDD_122_5">"A32508"</definedName>
    <definedName name="FDD_122_6">"A32873"</definedName>
    <definedName name="FDD_122_7">"A33238"</definedName>
    <definedName name="FDD_122_8">"A33603"</definedName>
    <definedName name="FDD_122_9">"A33969"</definedName>
    <definedName name="FDD_123_0">"A30681"</definedName>
    <definedName name="FDD_123_1">"A31047"</definedName>
    <definedName name="FDD_123_10">"A34334"</definedName>
    <definedName name="FDD_123_11">"A34699"</definedName>
    <definedName name="FDD_123_12">"A35064"</definedName>
    <definedName name="FDD_123_13">"A35430"</definedName>
    <definedName name="FDD_123_14">"A35795"</definedName>
    <definedName name="FDD_123_2">"A31412"</definedName>
    <definedName name="FDD_123_3">"A31777"</definedName>
    <definedName name="FDD_123_4">"A32142"</definedName>
    <definedName name="FDD_123_5">"A32508"</definedName>
    <definedName name="FDD_123_6">"A32873"</definedName>
    <definedName name="FDD_123_7">"A33238"</definedName>
    <definedName name="FDD_123_8">"A33603"</definedName>
    <definedName name="FDD_123_9">"A33969"</definedName>
    <definedName name="FDD_124_0">"A30681"</definedName>
    <definedName name="FDD_124_1">"A31047"</definedName>
    <definedName name="FDD_124_10">"A34334"</definedName>
    <definedName name="FDD_124_11">"A34699"</definedName>
    <definedName name="FDD_124_12">"A35064"</definedName>
    <definedName name="FDD_124_13">"A35430"</definedName>
    <definedName name="FDD_124_14">"A35795"</definedName>
    <definedName name="FDD_124_2">"A31412"</definedName>
    <definedName name="FDD_124_3">"A31777"</definedName>
    <definedName name="FDD_124_4">"A32142"</definedName>
    <definedName name="FDD_124_5">"A32508"</definedName>
    <definedName name="FDD_124_6">"A32873"</definedName>
    <definedName name="FDD_124_7">"A33238"</definedName>
    <definedName name="FDD_124_8">"A33603"</definedName>
    <definedName name="FDD_124_9">"A33969"</definedName>
    <definedName name="FDD_125_0">"A30681"</definedName>
    <definedName name="FDD_125_1">"A31047"</definedName>
    <definedName name="FDD_125_10">"A34334"</definedName>
    <definedName name="FDD_125_11">"A34699"</definedName>
    <definedName name="FDD_125_12">"A35064"</definedName>
    <definedName name="FDD_125_13">"A35430"</definedName>
    <definedName name="FDD_125_14">"A35795"</definedName>
    <definedName name="FDD_125_2">"A31412"</definedName>
    <definedName name="FDD_125_3">"A31777"</definedName>
    <definedName name="FDD_125_4">"A32142"</definedName>
    <definedName name="FDD_125_5">"A32508"</definedName>
    <definedName name="FDD_125_6">"A32873"</definedName>
    <definedName name="FDD_125_7">"A33238"</definedName>
    <definedName name="FDD_125_8">"A33603"</definedName>
    <definedName name="FDD_125_9">"A33969"</definedName>
    <definedName name="FDD_126_0">"A30681"</definedName>
    <definedName name="FDD_126_1">"A31047"</definedName>
    <definedName name="FDD_126_10">"A34334"</definedName>
    <definedName name="FDD_126_11">"A34699"</definedName>
    <definedName name="FDD_126_12">"A35064"</definedName>
    <definedName name="FDD_126_13">"A35430"</definedName>
    <definedName name="FDD_126_14">"A35795"</definedName>
    <definedName name="FDD_126_2">"A31412"</definedName>
    <definedName name="FDD_126_3">"A31777"</definedName>
    <definedName name="FDD_126_4">"A32142"</definedName>
    <definedName name="FDD_126_5">"A32508"</definedName>
    <definedName name="FDD_126_6">"A32873"</definedName>
    <definedName name="FDD_126_7">"A33238"</definedName>
    <definedName name="FDD_126_8">"A33603"</definedName>
    <definedName name="FDD_126_9">"A33969"</definedName>
    <definedName name="FDD_127_0">"A30681"</definedName>
    <definedName name="FDD_127_1">"A31047"</definedName>
    <definedName name="FDD_127_10">"A34334"</definedName>
    <definedName name="FDD_127_11">"A34699"</definedName>
    <definedName name="FDD_127_12">"A35064"</definedName>
    <definedName name="FDD_127_13">"A35430"</definedName>
    <definedName name="FDD_127_14">"A35795"</definedName>
    <definedName name="FDD_127_2">"A31412"</definedName>
    <definedName name="FDD_127_3">"A31777"</definedName>
    <definedName name="FDD_127_4">"A32142"</definedName>
    <definedName name="FDD_127_5">"A32508"</definedName>
    <definedName name="FDD_127_6">"A32873"</definedName>
    <definedName name="FDD_127_7">"A33238"</definedName>
    <definedName name="FDD_127_8">"A33603"</definedName>
    <definedName name="FDD_127_9">"A33969"</definedName>
    <definedName name="FDD_128_0">"A30681"</definedName>
    <definedName name="FDD_128_1">"A31047"</definedName>
    <definedName name="FDD_128_10">"A34334"</definedName>
    <definedName name="FDD_128_11">"A34699"</definedName>
    <definedName name="FDD_128_12">"A35064"</definedName>
    <definedName name="FDD_128_13">"A35430"</definedName>
    <definedName name="FDD_128_14">"A35795"</definedName>
    <definedName name="FDD_128_2">"A31412"</definedName>
    <definedName name="FDD_128_3">"A31777"</definedName>
    <definedName name="FDD_128_4">"A32142"</definedName>
    <definedName name="FDD_128_5">"A32508"</definedName>
    <definedName name="FDD_128_6">"A32873"</definedName>
    <definedName name="FDD_128_7">"A33238"</definedName>
    <definedName name="FDD_128_8">"A33603"</definedName>
    <definedName name="FDD_128_9">"A33969"</definedName>
    <definedName name="FDD_129_0">"A30681"</definedName>
    <definedName name="FDD_129_1">"A31047"</definedName>
    <definedName name="FDD_129_10">"A34334"</definedName>
    <definedName name="FDD_129_11">"A34699"</definedName>
    <definedName name="FDD_129_12">"A35064"</definedName>
    <definedName name="FDD_129_13">"A35430"</definedName>
    <definedName name="FDD_129_14">"A35795"</definedName>
    <definedName name="FDD_129_2">"A31412"</definedName>
    <definedName name="FDD_129_3">"A31777"</definedName>
    <definedName name="FDD_129_4">"A32142"</definedName>
    <definedName name="FDD_129_5">"A32508"</definedName>
    <definedName name="FDD_129_6">"A32873"</definedName>
    <definedName name="FDD_129_7">"A33238"</definedName>
    <definedName name="FDD_129_8">"A33603"</definedName>
    <definedName name="FDD_129_9">"A33969"</definedName>
    <definedName name="FDD_13_0">"A25569"</definedName>
    <definedName name="FDD_130_0">"A30681"</definedName>
    <definedName name="FDD_130_1">"A31047"</definedName>
    <definedName name="FDD_130_10">"A34334"</definedName>
    <definedName name="FDD_130_11">"A34699"</definedName>
    <definedName name="FDD_130_12">"A35064"</definedName>
    <definedName name="FDD_130_13">"A35430"</definedName>
    <definedName name="FDD_130_14">"A35795"</definedName>
    <definedName name="FDD_130_2">"A31412"</definedName>
    <definedName name="FDD_130_3">"A31777"</definedName>
    <definedName name="FDD_130_4">"A32142"</definedName>
    <definedName name="FDD_130_5">"A32508"</definedName>
    <definedName name="FDD_130_6">"A32873"</definedName>
    <definedName name="FDD_130_7">"A33238"</definedName>
    <definedName name="FDD_130_8">"A33603"</definedName>
    <definedName name="FDD_130_9">"A33969"</definedName>
    <definedName name="FDD_131_0">"A30681"</definedName>
    <definedName name="FDD_131_1">"A31047"</definedName>
    <definedName name="FDD_131_10">"A34334"</definedName>
    <definedName name="FDD_131_11">"A34699"</definedName>
    <definedName name="FDD_131_12">"A35064"</definedName>
    <definedName name="FDD_131_13">"A35430"</definedName>
    <definedName name="FDD_131_14">"A35795"</definedName>
    <definedName name="FDD_131_2">"A31412"</definedName>
    <definedName name="FDD_131_3">"A31777"</definedName>
    <definedName name="FDD_131_4">"A32142"</definedName>
    <definedName name="FDD_131_5">"A32508"</definedName>
    <definedName name="FDD_131_6">"A32873"</definedName>
    <definedName name="FDD_131_7">"A33238"</definedName>
    <definedName name="FDD_131_8">"A33603"</definedName>
    <definedName name="FDD_131_9">"A33969"</definedName>
    <definedName name="FDD_132_0">"U30681"</definedName>
    <definedName name="FDD_132_1">"U31047"</definedName>
    <definedName name="FDD_132_10">"U34334"</definedName>
    <definedName name="FDD_132_11">"U34699"</definedName>
    <definedName name="FDD_132_12">"U35064"</definedName>
    <definedName name="FDD_132_13">"U35430"</definedName>
    <definedName name="FDD_132_14">"U35795"</definedName>
    <definedName name="FDD_132_2">"U31412"</definedName>
    <definedName name="FDD_132_3">"U31777"</definedName>
    <definedName name="FDD_132_4">"U32142"</definedName>
    <definedName name="FDD_132_5">"U32508"</definedName>
    <definedName name="FDD_132_6">"U32873"</definedName>
    <definedName name="FDD_132_7">"U33238"</definedName>
    <definedName name="FDD_132_8">"U33603"</definedName>
    <definedName name="FDD_132_9">"U33969"</definedName>
    <definedName name="FDD_133_0">"A30681"</definedName>
    <definedName name="FDD_133_1">"A31047"</definedName>
    <definedName name="FDD_133_10">"A34334"</definedName>
    <definedName name="FDD_133_11">"A34699"</definedName>
    <definedName name="FDD_133_12">"A35064"</definedName>
    <definedName name="FDD_133_13">"A35430"</definedName>
    <definedName name="FDD_133_14">"A35795"</definedName>
    <definedName name="FDD_133_2">"A31412"</definedName>
    <definedName name="FDD_133_3">"A31777"</definedName>
    <definedName name="FDD_133_4">"A32142"</definedName>
    <definedName name="FDD_133_5">"A32508"</definedName>
    <definedName name="FDD_133_6">"A32873"</definedName>
    <definedName name="FDD_133_7">"A33238"</definedName>
    <definedName name="FDD_133_8">"A33603"</definedName>
    <definedName name="FDD_133_9">"A33969"</definedName>
    <definedName name="FDD_134_0">"A30681"</definedName>
    <definedName name="FDD_134_1">"A31047"</definedName>
    <definedName name="FDD_134_10">"A34334"</definedName>
    <definedName name="FDD_134_11">"A34699"</definedName>
    <definedName name="FDD_134_12">"A35064"</definedName>
    <definedName name="FDD_134_13">"A35430"</definedName>
    <definedName name="FDD_134_14">"A35795"</definedName>
    <definedName name="FDD_134_2">"A31412"</definedName>
    <definedName name="FDD_134_3">"A31777"</definedName>
    <definedName name="FDD_134_4">"A32142"</definedName>
    <definedName name="FDD_134_5">"A32508"</definedName>
    <definedName name="FDD_134_6">"A32873"</definedName>
    <definedName name="FDD_134_7">"A33238"</definedName>
    <definedName name="FDD_134_8">"A33603"</definedName>
    <definedName name="FDD_134_9">"A33969"</definedName>
    <definedName name="FDD_135_0">"A30681"</definedName>
    <definedName name="FDD_135_1">"A31047"</definedName>
    <definedName name="FDD_135_10">"A34334"</definedName>
    <definedName name="FDD_135_11">"A34699"</definedName>
    <definedName name="FDD_135_12">"A35064"</definedName>
    <definedName name="FDD_135_13">"A35430"</definedName>
    <definedName name="FDD_135_14">"A35795"</definedName>
    <definedName name="FDD_135_2">"A31412"</definedName>
    <definedName name="FDD_135_3">"A31777"</definedName>
    <definedName name="FDD_135_4">"A32142"</definedName>
    <definedName name="FDD_135_5">"A32508"</definedName>
    <definedName name="FDD_135_6">"A32873"</definedName>
    <definedName name="FDD_135_7">"A33238"</definedName>
    <definedName name="FDD_135_8">"A33603"</definedName>
    <definedName name="FDD_135_9">"A33969"</definedName>
    <definedName name="FDD_136_0">"A30681"</definedName>
    <definedName name="FDD_136_1">"A31047"</definedName>
    <definedName name="FDD_136_10">"A34334"</definedName>
    <definedName name="FDD_136_11">"A34699"</definedName>
    <definedName name="FDD_136_12">"A35064"</definedName>
    <definedName name="FDD_136_13">"A35430"</definedName>
    <definedName name="FDD_136_14">"A35795"</definedName>
    <definedName name="FDD_136_2">"A31412"</definedName>
    <definedName name="FDD_136_3">"A31777"</definedName>
    <definedName name="FDD_136_4">"A32142"</definedName>
    <definedName name="FDD_136_5">"A32508"</definedName>
    <definedName name="FDD_136_6">"A32873"</definedName>
    <definedName name="FDD_136_7">"A33238"</definedName>
    <definedName name="FDD_136_8">"A33603"</definedName>
    <definedName name="FDD_136_9">"A33969"</definedName>
    <definedName name="FDD_137_0">"A30681"</definedName>
    <definedName name="FDD_137_1">"A31047"</definedName>
    <definedName name="FDD_137_10">"A34334"</definedName>
    <definedName name="FDD_137_11">"A34699"</definedName>
    <definedName name="FDD_137_12">"A35064"</definedName>
    <definedName name="FDD_137_13">"A35430"</definedName>
    <definedName name="FDD_137_14">"A35795"</definedName>
    <definedName name="FDD_137_2">"A31412"</definedName>
    <definedName name="FDD_137_3">"A31777"</definedName>
    <definedName name="FDD_137_4">"A32142"</definedName>
    <definedName name="FDD_137_5">"A32508"</definedName>
    <definedName name="FDD_137_6">"A32873"</definedName>
    <definedName name="FDD_137_7">"A33238"</definedName>
    <definedName name="FDD_137_8">"A33603"</definedName>
    <definedName name="FDD_137_9">"A33969"</definedName>
    <definedName name="FDD_138_0">"A30681"</definedName>
    <definedName name="FDD_138_1">"A31047"</definedName>
    <definedName name="FDD_138_10">"A34334"</definedName>
    <definedName name="FDD_138_11">"A34699"</definedName>
    <definedName name="FDD_138_12">"A35064"</definedName>
    <definedName name="FDD_138_13">"A35430"</definedName>
    <definedName name="FDD_138_14">"A35795"</definedName>
    <definedName name="FDD_138_2">"A31412"</definedName>
    <definedName name="FDD_138_3">"A31777"</definedName>
    <definedName name="FDD_138_4">"A32142"</definedName>
    <definedName name="FDD_138_5">"A32508"</definedName>
    <definedName name="FDD_138_6">"A32873"</definedName>
    <definedName name="FDD_138_7">"A33238"</definedName>
    <definedName name="FDD_138_8">"A33603"</definedName>
    <definedName name="FDD_138_9">"A33969"</definedName>
    <definedName name="FDD_139_0">"A30681"</definedName>
    <definedName name="FDD_139_1">"A31047"</definedName>
    <definedName name="FDD_139_10">"U34334"</definedName>
    <definedName name="FDD_139_11">"U34699"</definedName>
    <definedName name="FDD_139_12">"U35064"</definedName>
    <definedName name="FDD_139_13">"U35430"</definedName>
    <definedName name="FDD_139_14">"U35795"</definedName>
    <definedName name="FDD_139_2">"A31412"</definedName>
    <definedName name="FDD_139_3">"U31777"</definedName>
    <definedName name="FDD_139_4">"U32142"</definedName>
    <definedName name="FDD_139_5">"U32508"</definedName>
    <definedName name="FDD_139_6">"U32873"</definedName>
    <definedName name="FDD_139_7">"U33238"</definedName>
    <definedName name="FDD_139_8">"U33603"</definedName>
    <definedName name="FDD_139_9">"U33969"</definedName>
    <definedName name="FDD_14_0">"A25569"</definedName>
    <definedName name="FDD_140_0">"A25569"</definedName>
    <definedName name="FDD_141_0">"A30681"</definedName>
    <definedName name="FDD_141_1">"A31047"</definedName>
    <definedName name="FDD_141_10">"A34334"</definedName>
    <definedName name="FDD_141_11">"A34699"</definedName>
    <definedName name="FDD_141_12">"A35064"</definedName>
    <definedName name="FDD_141_13">"A35430"</definedName>
    <definedName name="FDD_141_14">"A35795"</definedName>
    <definedName name="FDD_141_2">"A31412"</definedName>
    <definedName name="FDD_141_3">"A31777"</definedName>
    <definedName name="FDD_141_4">"A32142"</definedName>
    <definedName name="FDD_141_5">"A32508"</definedName>
    <definedName name="FDD_141_6">"A32873"</definedName>
    <definedName name="FDD_141_7">"A33238"</definedName>
    <definedName name="FDD_141_8">"A33603"</definedName>
    <definedName name="FDD_141_9">"A33969"</definedName>
    <definedName name="FDD_142_0">"A30681"</definedName>
    <definedName name="FDD_142_1">"A31047"</definedName>
    <definedName name="FDD_142_10">"A34334"</definedName>
    <definedName name="FDD_142_11">"A34699"</definedName>
    <definedName name="FDD_142_12">"A35064"</definedName>
    <definedName name="FDD_142_13">"A35430"</definedName>
    <definedName name="FDD_142_14">"A35795"</definedName>
    <definedName name="FDD_142_2">"A31412"</definedName>
    <definedName name="FDD_142_3">"A31777"</definedName>
    <definedName name="FDD_142_4">"A32142"</definedName>
    <definedName name="FDD_142_5">"A32508"</definedName>
    <definedName name="FDD_142_6">"A32873"</definedName>
    <definedName name="FDD_142_7">"A33238"</definedName>
    <definedName name="FDD_142_8">"A33603"</definedName>
    <definedName name="FDD_142_9">"A33969"</definedName>
    <definedName name="FDD_143_0">"A30681"</definedName>
    <definedName name="FDD_143_1">"A31047"</definedName>
    <definedName name="FDD_143_10">"A34334"</definedName>
    <definedName name="FDD_143_11">"A34699"</definedName>
    <definedName name="FDD_143_12">"A35064"</definedName>
    <definedName name="FDD_143_13">"A35430"</definedName>
    <definedName name="FDD_143_14">"A35795"</definedName>
    <definedName name="FDD_143_2">"A31412"</definedName>
    <definedName name="FDD_143_3">"A31777"</definedName>
    <definedName name="FDD_143_4">"A32142"</definedName>
    <definedName name="FDD_143_5">"A32508"</definedName>
    <definedName name="FDD_143_6">"A32873"</definedName>
    <definedName name="FDD_143_7">"A33238"</definedName>
    <definedName name="FDD_143_8">"A33603"</definedName>
    <definedName name="FDD_143_9">"A33969"</definedName>
    <definedName name="FDD_144_0">"A30681"</definedName>
    <definedName name="FDD_144_1">"A31047"</definedName>
    <definedName name="FDD_144_10">"A34334"</definedName>
    <definedName name="FDD_144_11">"A34699"</definedName>
    <definedName name="FDD_144_12">"A35064"</definedName>
    <definedName name="FDD_144_13">"A35430"</definedName>
    <definedName name="FDD_144_14">"A35795"</definedName>
    <definedName name="FDD_144_2">"A31412"</definedName>
    <definedName name="FDD_144_3">"A31777"</definedName>
    <definedName name="FDD_144_4">"A32142"</definedName>
    <definedName name="FDD_144_5">"A32508"</definedName>
    <definedName name="FDD_144_6">"A32873"</definedName>
    <definedName name="FDD_144_7">"A33238"</definedName>
    <definedName name="FDD_144_8">"A33603"</definedName>
    <definedName name="FDD_144_9">"A33969"</definedName>
    <definedName name="FDD_145_0">"A30681"</definedName>
    <definedName name="FDD_145_1">"A31047"</definedName>
    <definedName name="FDD_145_10">"A34334"</definedName>
    <definedName name="FDD_145_11">"A34699"</definedName>
    <definedName name="FDD_145_12">"A35064"</definedName>
    <definedName name="FDD_145_13">"A35430"</definedName>
    <definedName name="FDD_145_14">"A35795"</definedName>
    <definedName name="FDD_145_2">"A31412"</definedName>
    <definedName name="FDD_145_3">"A31777"</definedName>
    <definedName name="FDD_145_4">"A32142"</definedName>
    <definedName name="FDD_145_5">"A32508"</definedName>
    <definedName name="FDD_145_6">"A32873"</definedName>
    <definedName name="FDD_145_7">"A33238"</definedName>
    <definedName name="FDD_145_8">"A33603"</definedName>
    <definedName name="FDD_145_9">"A33969"</definedName>
    <definedName name="FDD_146_0">"A30681"</definedName>
    <definedName name="FDD_146_1">"A31047"</definedName>
    <definedName name="FDD_146_10">"A34334"</definedName>
    <definedName name="FDD_146_11">"A34699"</definedName>
    <definedName name="FDD_146_12">"A35064"</definedName>
    <definedName name="FDD_146_13">"A35430"</definedName>
    <definedName name="FDD_146_14">"A35795"</definedName>
    <definedName name="FDD_146_2">"A31412"</definedName>
    <definedName name="FDD_146_3">"A31777"</definedName>
    <definedName name="FDD_146_4">"A32142"</definedName>
    <definedName name="FDD_146_5">"A32508"</definedName>
    <definedName name="FDD_146_6">"A32873"</definedName>
    <definedName name="FDD_146_7">"A33238"</definedName>
    <definedName name="FDD_146_8">"A33603"</definedName>
    <definedName name="FDD_146_9">"A33969"</definedName>
    <definedName name="FDD_147_0">"U30681"</definedName>
    <definedName name="FDD_147_1">"U31047"</definedName>
    <definedName name="FDD_147_10">"U34334"</definedName>
    <definedName name="FDD_147_11">"U34699"</definedName>
    <definedName name="FDD_147_12">"U35064"</definedName>
    <definedName name="FDD_147_13">"U35430"</definedName>
    <definedName name="FDD_147_14">"U35795"</definedName>
    <definedName name="FDD_147_2">"U31412"</definedName>
    <definedName name="FDD_147_3">"U31777"</definedName>
    <definedName name="FDD_147_4">"U32142"</definedName>
    <definedName name="FDD_147_5">"U32508"</definedName>
    <definedName name="FDD_147_6">"U32873"</definedName>
    <definedName name="FDD_147_7">"U33238"</definedName>
    <definedName name="FDD_147_8">"U33603"</definedName>
    <definedName name="FDD_147_9">"U33969"</definedName>
    <definedName name="FDD_148_0">"A30681"</definedName>
    <definedName name="FDD_148_1">"A31047"</definedName>
    <definedName name="FDD_148_10">"A34334"</definedName>
    <definedName name="FDD_148_11">"A34699"</definedName>
    <definedName name="FDD_148_12">"A35064"</definedName>
    <definedName name="FDD_148_13">"A35430"</definedName>
    <definedName name="FDD_148_14">"A35795"</definedName>
    <definedName name="FDD_148_2">"A31412"</definedName>
    <definedName name="FDD_148_3">"A31777"</definedName>
    <definedName name="FDD_148_4">"A32142"</definedName>
    <definedName name="FDD_148_5">"A32508"</definedName>
    <definedName name="FDD_148_6">"A32873"</definedName>
    <definedName name="FDD_148_7">"A33238"</definedName>
    <definedName name="FDD_148_8">"A33603"</definedName>
    <definedName name="FDD_148_9">"A33969"</definedName>
    <definedName name="FDD_149_0">"U30681"</definedName>
    <definedName name="FDD_149_1">"U31047"</definedName>
    <definedName name="FDD_149_10">"U34334"</definedName>
    <definedName name="FDD_149_11">"U34699"</definedName>
    <definedName name="FDD_149_12">"U35064"</definedName>
    <definedName name="FDD_149_13">"U35430"</definedName>
    <definedName name="FDD_149_14">"A35795"</definedName>
    <definedName name="FDD_149_2">"U31412"</definedName>
    <definedName name="FDD_149_3">"U31777"</definedName>
    <definedName name="FDD_149_4">"U32142"</definedName>
    <definedName name="FDD_149_5">"U32508"</definedName>
    <definedName name="FDD_149_6">"U32873"</definedName>
    <definedName name="FDD_149_7">"U33238"</definedName>
    <definedName name="FDD_149_8">"U33603"</definedName>
    <definedName name="FDD_149_9">"U33969"</definedName>
    <definedName name="FDD_15_0">"A25569"</definedName>
    <definedName name="FDD_151_0">"A30681"</definedName>
    <definedName name="FDD_151_1">"A31047"</definedName>
    <definedName name="FDD_151_10">"A34334"</definedName>
    <definedName name="FDD_151_11">"A34699"</definedName>
    <definedName name="FDD_151_12">"A35064"</definedName>
    <definedName name="FDD_151_13">"A35430"</definedName>
    <definedName name="FDD_151_14">"A35795"</definedName>
    <definedName name="FDD_151_2">"A31412"</definedName>
    <definedName name="FDD_151_3">"A31777"</definedName>
    <definedName name="FDD_151_4">"A32142"</definedName>
    <definedName name="FDD_151_5">"A32508"</definedName>
    <definedName name="FDD_151_6">"A32873"</definedName>
    <definedName name="FDD_151_7">"A33238"</definedName>
    <definedName name="FDD_151_8">"A33603"</definedName>
    <definedName name="FDD_151_9">"A33969"</definedName>
    <definedName name="FDD_152_0">"A30681"</definedName>
    <definedName name="FDD_152_1">"A31047"</definedName>
    <definedName name="FDD_152_10">"A34334"</definedName>
    <definedName name="FDD_152_11">"A34699"</definedName>
    <definedName name="FDD_152_12">"A35064"</definedName>
    <definedName name="FDD_152_13">"A35430"</definedName>
    <definedName name="FDD_152_14">"A35795"</definedName>
    <definedName name="FDD_152_15">"E36160"</definedName>
    <definedName name="FDD_152_2">"A31412"</definedName>
    <definedName name="FDD_152_3">"A31777"</definedName>
    <definedName name="FDD_152_4">"A32142"</definedName>
    <definedName name="FDD_152_5">"A32508"</definedName>
    <definedName name="FDD_152_6">"A32873"</definedName>
    <definedName name="FDD_152_7">"A33238"</definedName>
    <definedName name="FDD_152_8">"A33603"</definedName>
    <definedName name="FDD_152_9">"A33969"</definedName>
    <definedName name="FDD_153_0">"A30681"</definedName>
    <definedName name="FDD_153_1">"A31047"</definedName>
    <definedName name="FDD_153_10">"A34334"</definedName>
    <definedName name="FDD_153_11">"A34699"</definedName>
    <definedName name="FDD_153_12">"A35064"</definedName>
    <definedName name="FDD_153_13">"A35430"</definedName>
    <definedName name="FDD_153_14">"A35795"</definedName>
    <definedName name="FDD_153_2">"A31412"</definedName>
    <definedName name="FDD_153_3">"A31777"</definedName>
    <definedName name="FDD_153_4">"A32142"</definedName>
    <definedName name="FDD_153_5">"A32508"</definedName>
    <definedName name="FDD_153_6">"A32873"</definedName>
    <definedName name="FDD_153_7">"A33238"</definedName>
    <definedName name="FDD_153_8">"A33603"</definedName>
    <definedName name="FDD_153_9">"A33969"</definedName>
    <definedName name="FDD_154_0">"A30681"</definedName>
    <definedName name="FDD_154_1">"A31047"</definedName>
    <definedName name="FDD_154_10">"A34334"</definedName>
    <definedName name="FDD_154_11">"A34699"</definedName>
    <definedName name="FDD_154_12">"A35064"</definedName>
    <definedName name="FDD_154_13">"A35430"</definedName>
    <definedName name="FDD_154_14">"A35795"</definedName>
    <definedName name="FDD_154_2">"A31412"</definedName>
    <definedName name="FDD_154_3">"A31777"</definedName>
    <definedName name="FDD_154_4">"A32142"</definedName>
    <definedName name="FDD_154_5">"A32508"</definedName>
    <definedName name="FDD_154_6">"A32873"</definedName>
    <definedName name="FDD_154_7">"A33238"</definedName>
    <definedName name="FDD_154_8">"A33603"</definedName>
    <definedName name="FDD_154_9">"A33969"</definedName>
    <definedName name="FDD_155_0">"A25569"</definedName>
    <definedName name="FDD_156_0">"A30681"</definedName>
    <definedName name="FDD_156_1">"A31047"</definedName>
    <definedName name="FDD_156_10">"A34334"</definedName>
    <definedName name="FDD_156_11">"A34699"</definedName>
    <definedName name="FDD_156_12">"A35064"</definedName>
    <definedName name="FDD_156_13">"A35430"</definedName>
    <definedName name="FDD_156_14">"A35795"</definedName>
    <definedName name="FDD_156_15">"E36160"</definedName>
    <definedName name="FDD_156_2">"A31412"</definedName>
    <definedName name="FDD_156_3">"A31777"</definedName>
    <definedName name="FDD_156_4">"A32142"</definedName>
    <definedName name="FDD_156_5">"A32508"</definedName>
    <definedName name="FDD_156_6">"A32873"</definedName>
    <definedName name="FDD_156_7">"A33238"</definedName>
    <definedName name="FDD_156_8">"A33603"</definedName>
    <definedName name="FDD_156_9">"A33969"</definedName>
    <definedName name="FDD_157_0">"A30681"</definedName>
    <definedName name="FDD_157_1">"A31047"</definedName>
    <definedName name="FDD_157_10">"A34334"</definedName>
    <definedName name="FDD_157_11">"A34699"</definedName>
    <definedName name="FDD_157_12">"A35064"</definedName>
    <definedName name="FDD_157_13">"A35430"</definedName>
    <definedName name="FDD_157_14">"A35795"</definedName>
    <definedName name="FDD_157_2">"A31412"</definedName>
    <definedName name="FDD_157_3">"A31777"</definedName>
    <definedName name="FDD_157_4">"A32142"</definedName>
    <definedName name="FDD_157_5">"A32508"</definedName>
    <definedName name="FDD_157_6">"A32873"</definedName>
    <definedName name="FDD_157_7">"A33238"</definedName>
    <definedName name="FDD_157_8">"A33603"</definedName>
    <definedName name="FDD_157_9">"A33969"</definedName>
    <definedName name="FDD_158_0">"A30681"</definedName>
    <definedName name="FDD_158_1">"A31047"</definedName>
    <definedName name="FDD_158_10">"A34334"</definedName>
    <definedName name="FDD_158_11">"A34699"</definedName>
    <definedName name="FDD_158_12">"A35064"</definedName>
    <definedName name="FDD_158_13">"A35430"</definedName>
    <definedName name="FDD_158_14">"A35795"</definedName>
    <definedName name="FDD_158_15">"E36160"</definedName>
    <definedName name="FDD_158_2">"A31412"</definedName>
    <definedName name="FDD_158_3">"A31777"</definedName>
    <definedName name="FDD_158_4">"A32142"</definedName>
    <definedName name="FDD_158_5">"A32508"</definedName>
    <definedName name="FDD_158_6">"A32873"</definedName>
    <definedName name="FDD_158_7">"A33238"</definedName>
    <definedName name="FDD_158_8">"A33603"</definedName>
    <definedName name="FDD_158_9">"A33969"</definedName>
    <definedName name="FDD_159_0">"A30681"</definedName>
    <definedName name="FDD_159_1">"A31047"</definedName>
    <definedName name="FDD_159_10">"A34334"</definedName>
    <definedName name="FDD_159_11">"A34699"</definedName>
    <definedName name="FDD_159_12">"A35064"</definedName>
    <definedName name="FDD_159_13">"A35430"</definedName>
    <definedName name="FDD_159_14">"A35795"</definedName>
    <definedName name="FDD_159_2">"A31412"</definedName>
    <definedName name="FDD_159_3">"A31777"</definedName>
    <definedName name="FDD_159_4">"A32142"</definedName>
    <definedName name="FDD_159_5">"A32508"</definedName>
    <definedName name="FDD_159_6">"A32873"</definedName>
    <definedName name="FDD_159_7">"A33238"</definedName>
    <definedName name="FDD_159_8">"A33603"</definedName>
    <definedName name="FDD_159_9">"A33969"</definedName>
    <definedName name="FDD_16_0">"A25569"</definedName>
    <definedName name="FDD_160_0">"A30681"</definedName>
    <definedName name="FDD_160_1">"A31047"</definedName>
    <definedName name="FDD_160_10">"A34334"</definedName>
    <definedName name="FDD_160_11">"A34699"</definedName>
    <definedName name="FDD_160_12">"A35064"</definedName>
    <definedName name="FDD_160_13">"A35430"</definedName>
    <definedName name="FDD_160_14">"A35795"</definedName>
    <definedName name="FDD_160_15">"E36160"</definedName>
    <definedName name="FDD_160_2">"A31412"</definedName>
    <definedName name="FDD_160_3">"A31777"</definedName>
    <definedName name="FDD_160_4">"A32142"</definedName>
    <definedName name="FDD_160_5">"A32508"</definedName>
    <definedName name="FDD_160_6">"A32873"</definedName>
    <definedName name="FDD_160_7">"A33238"</definedName>
    <definedName name="FDD_160_8">"A33603"</definedName>
    <definedName name="FDD_160_9">"A33969"</definedName>
    <definedName name="FDD_161_0">"A30681"</definedName>
    <definedName name="FDD_161_1">"A31047"</definedName>
    <definedName name="FDD_161_10">"A34334"</definedName>
    <definedName name="FDD_161_11">"A34699"</definedName>
    <definedName name="FDD_161_12">"A35064"</definedName>
    <definedName name="FDD_161_13">"A35430"</definedName>
    <definedName name="FDD_161_14">"A35795"</definedName>
    <definedName name="FDD_161_2">"A31412"</definedName>
    <definedName name="FDD_161_3">"A31777"</definedName>
    <definedName name="FDD_161_4">"A32142"</definedName>
    <definedName name="FDD_161_5">"A32508"</definedName>
    <definedName name="FDD_161_6">"A32873"</definedName>
    <definedName name="FDD_161_7">"A33238"</definedName>
    <definedName name="FDD_161_8">"A33603"</definedName>
    <definedName name="FDD_161_9">"A33969"</definedName>
    <definedName name="FDD_162_0">"A30681"</definedName>
    <definedName name="FDD_162_1">"A31047"</definedName>
    <definedName name="FDD_162_10">"A34334"</definedName>
    <definedName name="FDD_162_11">"A34699"</definedName>
    <definedName name="FDD_162_12">"A35064"</definedName>
    <definedName name="FDD_162_13">"A35430"</definedName>
    <definedName name="FDD_162_14">"A35795"</definedName>
    <definedName name="FDD_162_2">"A31412"</definedName>
    <definedName name="FDD_162_3">"A31777"</definedName>
    <definedName name="FDD_162_4">"A32142"</definedName>
    <definedName name="FDD_162_5">"A32508"</definedName>
    <definedName name="FDD_162_6">"A32873"</definedName>
    <definedName name="FDD_162_7">"A33238"</definedName>
    <definedName name="FDD_162_8">"A33603"</definedName>
    <definedName name="FDD_162_9">"A33969"</definedName>
    <definedName name="FDD_163_0">"A30681"</definedName>
    <definedName name="FDD_163_1">"A31047"</definedName>
    <definedName name="FDD_163_10">"A34334"</definedName>
    <definedName name="FDD_163_11">"A34699"</definedName>
    <definedName name="FDD_163_12">"A35064"</definedName>
    <definedName name="FDD_163_13">"A35430"</definedName>
    <definedName name="FDD_163_14">"A35795"</definedName>
    <definedName name="FDD_163_2">"A31412"</definedName>
    <definedName name="FDD_163_3">"A31777"</definedName>
    <definedName name="FDD_163_4">"A32142"</definedName>
    <definedName name="FDD_163_5">"A32508"</definedName>
    <definedName name="FDD_163_6">"A32873"</definedName>
    <definedName name="FDD_163_7">"A33238"</definedName>
    <definedName name="FDD_163_8">"A33603"</definedName>
    <definedName name="FDD_163_9">"A33969"</definedName>
    <definedName name="FDD_164_0">"A25569"</definedName>
    <definedName name="FDD_165_0">"A30681"</definedName>
    <definedName name="FDD_165_1">"A31047"</definedName>
    <definedName name="FDD_165_10">"A34334"</definedName>
    <definedName name="FDD_165_11">"A34699"</definedName>
    <definedName name="FDD_165_12">"A35064"</definedName>
    <definedName name="FDD_165_13">"A35430"</definedName>
    <definedName name="FDD_165_14">"A35795"</definedName>
    <definedName name="FDD_165_2">"A31412"</definedName>
    <definedName name="FDD_165_3">"A31777"</definedName>
    <definedName name="FDD_165_4">"A32142"</definedName>
    <definedName name="FDD_165_5">"A32508"</definedName>
    <definedName name="FDD_165_6">"A32873"</definedName>
    <definedName name="FDD_165_7">"A33238"</definedName>
    <definedName name="FDD_165_8">"A33603"</definedName>
    <definedName name="FDD_165_9">"A33969"</definedName>
    <definedName name="FDD_166_0">"A30681"</definedName>
    <definedName name="FDD_166_1">"A31047"</definedName>
    <definedName name="FDD_166_10">"A34334"</definedName>
    <definedName name="FDD_166_11">"A34699"</definedName>
    <definedName name="FDD_166_12">"A35064"</definedName>
    <definedName name="FDD_166_13">"A35430"</definedName>
    <definedName name="FDD_166_14">"A35795"</definedName>
    <definedName name="FDD_166_2">"A31412"</definedName>
    <definedName name="FDD_166_3">"A31777"</definedName>
    <definedName name="FDD_166_4">"A32142"</definedName>
    <definedName name="FDD_166_5">"A32508"</definedName>
    <definedName name="FDD_166_6">"A32873"</definedName>
    <definedName name="FDD_166_7">"A33238"</definedName>
    <definedName name="FDD_166_8">"A33603"</definedName>
    <definedName name="FDD_166_9">"A33969"</definedName>
    <definedName name="FDD_167_0">"A30681"</definedName>
    <definedName name="FDD_167_1">"A31047"</definedName>
    <definedName name="FDD_167_10">"A34334"</definedName>
    <definedName name="FDD_167_11">"A34699"</definedName>
    <definedName name="FDD_167_12">"A35064"</definedName>
    <definedName name="FDD_167_13">"A35430"</definedName>
    <definedName name="FDD_167_14">"A35795"</definedName>
    <definedName name="FDD_167_2">"A31412"</definedName>
    <definedName name="FDD_167_3">"A31777"</definedName>
    <definedName name="FDD_167_4">"A32142"</definedName>
    <definedName name="FDD_167_5">"A32508"</definedName>
    <definedName name="FDD_167_6">"A32873"</definedName>
    <definedName name="FDD_167_7">"A33238"</definedName>
    <definedName name="FDD_167_8">"A33603"</definedName>
    <definedName name="FDD_167_9">"A33969"</definedName>
    <definedName name="FDD_168_0">"E36160"</definedName>
    <definedName name="FDD_168_1">"E36525"</definedName>
    <definedName name="FDD_168_2">"E36891"</definedName>
    <definedName name="FDD_169_0">"A30681"</definedName>
    <definedName name="FDD_169_1">"A31047"</definedName>
    <definedName name="FDD_169_10">"A34334"</definedName>
    <definedName name="FDD_169_11">"A34699"</definedName>
    <definedName name="FDD_169_12">"A35064"</definedName>
    <definedName name="FDD_169_13">"A35430"</definedName>
    <definedName name="FDD_169_14">"A35795"</definedName>
    <definedName name="FDD_169_2">"A31412"</definedName>
    <definedName name="FDD_169_3">"A31777"</definedName>
    <definedName name="FDD_169_4">"A32142"</definedName>
    <definedName name="FDD_169_5">"A32508"</definedName>
    <definedName name="FDD_169_6">"A32873"</definedName>
    <definedName name="FDD_169_7">"A33238"</definedName>
    <definedName name="FDD_169_8">"A33603"</definedName>
    <definedName name="FDD_169_9">"A33969"</definedName>
    <definedName name="FDD_17_0">"A25569"</definedName>
    <definedName name="FDD_170_0">"A30681"</definedName>
    <definedName name="FDD_170_1">"A31047"</definedName>
    <definedName name="FDD_170_10">"A34334"</definedName>
    <definedName name="FDD_170_11">"A34699"</definedName>
    <definedName name="FDD_170_12">"A35064"</definedName>
    <definedName name="FDD_170_13">"A35430"</definedName>
    <definedName name="FDD_170_14">"A35795"</definedName>
    <definedName name="FDD_170_2">"A31412"</definedName>
    <definedName name="FDD_170_3">"A31777"</definedName>
    <definedName name="FDD_170_4">"A32142"</definedName>
    <definedName name="FDD_170_5">"A32508"</definedName>
    <definedName name="FDD_170_6">"A32873"</definedName>
    <definedName name="FDD_170_7">"A33238"</definedName>
    <definedName name="FDD_170_8">"A33603"</definedName>
    <definedName name="FDD_170_9">"A33969"</definedName>
    <definedName name="FDD_171_0">"A30681"</definedName>
    <definedName name="FDD_171_1">"A31047"</definedName>
    <definedName name="FDD_171_10">"A34334"</definedName>
    <definedName name="FDD_171_11">"A34699"</definedName>
    <definedName name="FDD_171_12">"A35064"</definedName>
    <definedName name="FDD_171_13">"A35430"</definedName>
    <definedName name="FDD_171_14">"A35795"</definedName>
    <definedName name="FDD_171_2">"A31412"</definedName>
    <definedName name="FDD_171_3">"A31777"</definedName>
    <definedName name="FDD_171_4">"A32142"</definedName>
    <definedName name="FDD_171_5">"A32508"</definedName>
    <definedName name="FDD_171_6">"A32873"</definedName>
    <definedName name="FDD_171_7">"A33238"</definedName>
    <definedName name="FDD_171_8">"A33603"</definedName>
    <definedName name="FDD_171_9">"A33969"</definedName>
    <definedName name="FDD_172_0">"A30681"</definedName>
    <definedName name="FDD_172_1">"A31047"</definedName>
    <definedName name="FDD_172_10">"A34334"</definedName>
    <definedName name="FDD_172_11">"A34699"</definedName>
    <definedName name="FDD_172_12">"A35064"</definedName>
    <definedName name="FDD_172_13">"A35430"</definedName>
    <definedName name="FDD_172_14">"A35795"</definedName>
    <definedName name="FDD_172_2">"A31412"</definedName>
    <definedName name="FDD_172_3">"A31777"</definedName>
    <definedName name="FDD_172_4">"A32142"</definedName>
    <definedName name="FDD_172_5">"A32508"</definedName>
    <definedName name="FDD_172_6">"A32873"</definedName>
    <definedName name="FDD_172_7">"A33238"</definedName>
    <definedName name="FDD_172_8">"A33603"</definedName>
    <definedName name="FDD_172_9">"A33969"</definedName>
    <definedName name="FDD_173_0">"A30681"</definedName>
    <definedName name="FDD_173_1">"A31047"</definedName>
    <definedName name="FDD_173_10">"A34334"</definedName>
    <definedName name="FDD_173_11">"A34699"</definedName>
    <definedName name="FDD_173_12">"A35064"</definedName>
    <definedName name="FDD_173_13">"A35430"</definedName>
    <definedName name="FDD_173_14">"A35795"</definedName>
    <definedName name="FDD_173_2">"A31412"</definedName>
    <definedName name="FDD_173_3">"A31777"</definedName>
    <definedName name="FDD_173_4">"A32142"</definedName>
    <definedName name="FDD_173_5">"A32508"</definedName>
    <definedName name="FDD_173_6">"A32873"</definedName>
    <definedName name="FDD_173_7">"A33238"</definedName>
    <definedName name="FDD_173_8">"A33603"</definedName>
    <definedName name="FDD_173_9">"A33969"</definedName>
    <definedName name="FDD_174_0">"A30681"</definedName>
    <definedName name="FDD_174_1">"A31047"</definedName>
    <definedName name="FDD_174_10">"A34334"</definedName>
    <definedName name="FDD_174_11">"A34699"</definedName>
    <definedName name="FDD_174_12">"A35064"</definedName>
    <definedName name="FDD_174_13">"A35430"</definedName>
    <definedName name="FDD_174_14">"A35795"</definedName>
    <definedName name="FDD_174_2">"A31412"</definedName>
    <definedName name="FDD_174_3">"A31777"</definedName>
    <definedName name="FDD_174_4">"A32142"</definedName>
    <definedName name="FDD_174_5">"A32508"</definedName>
    <definedName name="FDD_174_6">"A32873"</definedName>
    <definedName name="FDD_174_7">"A33238"</definedName>
    <definedName name="FDD_174_8">"A33603"</definedName>
    <definedName name="FDD_174_9">"A33969"</definedName>
    <definedName name="FDD_175_0">"E36160"</definedName>
    <definedName name="FDD_175_1">"E36525"</definedName>
    <definedName name="FDD_175_2">"E36891"</definedName>
    <definedName name="FDD_176_0">"E36160"</definedName>
    <definedName name="FDD_176_1">"E36525"</definedName>
    <definedName name="FDD_176_2">"E36891"</definedName>
    <definedName name="FDD_177_0">"E36160"</definedName>
    <definedName name="FDD_177_1">"E36525"</definedName>
    <definedName name="FDD_177_2">"E36891"</definedName>
    <definedName name="FDD_178_0">"E36160"</definedName>
    <definedName name="FDD_178_1">"E36525"</definedName>
    <definedName name="FDD_178_2">"E36891"</definedName>
    <definedName name="FDD_179_0">"E36160"</definedName>
    <definedName name="FDD_179_1">"E36525"</definedName>
    <definedName name="FDD_179_2">"E36891"</definedName>
    <definedName name="FDD_18_0">"A25569"</definedName>
    <definedName name="FDD_180_0">"E36160"</definedName>
    <definedName name="FDD_180_1">"E36525"</definedName>
    <definedName name="FDD_180_2">"E36891"</definedName>
    <definedName name="FDD_181_0">"E36160"</definedName>
    <definedName name="FDD_181_1">"E36525"</definedName>
    <definedName name="FDD_181_2">"E36891"</definedName>
    <definedName name="FDD_182_0">"E36160"</definedName>
    <definedName name="FDD_182_1">"E36525"</definedName>
    <definedName name="FDD_182_2">"E36891"</definedName>
    <definedName name="FDD_183_0">"E36160"</definedName>
    <definedName name="FDD_183_1">"E36525"</definedName>
    <definedName name="FDD_183_2">"E36891"</definedName>
    <definedName name="FDD_184_0">"E36160"</definedName>
    <definedName name="FDD_184_1">"E36525"</definedName>
    <definedName name="FDD_184_2">"E36891"</definedName>
    <definedName name="FDD_185_0">"E36160"</definedName>
    <definedName name="FDD_185_1">"E36525"</definedName>
    <definedName name="FDD_185_2">"E36891"</definedName>
    <definedName name="FDD_186_0">"E36160"</definedName>
    <definedName name="FDD_186_1">"E36525"</definedName>
    <definedName name="FDD_186_2">"E36891"</definedName>
    <definedName name="FDD_187_0">"E36160"</definedName>
    <definedName name="FDD_187_1">"E36525"</definedName>
    <definedName name="FDD_187_2">"E36891"</definedName>
    <definedName name="FDD_188_0">"A30681"</definedName>
    <definedName name="FDD_188_1">"A31047"</definedName>
    <definedName name="FDD_188_10">"A34334"</definedName>
    <definedName name="FDD_188_11">"A34699"</definedName>
    <definedName name="FDD_188_12">"A35064"</definedName>
    <definedName name="FDD_188_13">"A35430"</definedName>
    <definedName name="FDD_188_14">"A35795"</definedName>
    <definedName name="FDD_188_2">"A31412"</definedName>
    <definedName name="FDD_188_3">"A31777"</definedName>
    <definedName name="FDD_188_4">"A32142"</definedName>
    <definedName name="FDD_188_5">"A32508"</definedName>
    <definedName name="FDD_188_6">"A32873"</definedName>
    <definedName name="FDD_188_7">"A33238"</definedName>
    <definedName name="FDD_188_8">"A33603"</definedName>
    <definedName name="FDD_188_9">"A33969"</definedName>
    <definedName name="FDD_189_0">"A30681"</definedName>
    <definedName name="FDD_189_1">"A31047"</definedName>
    <definedName name="FDD_189_10">"A34334"</definedName>
    <definedName name="FDD_189_11">"A34699"</definedName>
    <definedName name="FDD_189_12">"A35064"</definedName>
    <definedName name="FDD_189_13">"A35430"</definedName>
    <definedName name="FDD_189_14">"A35795"</definedName>
    <definedName name="FDD_189_2">"A31412"</definedName>
    <definedName name="FDD_189_3">"A31777"</definedName>
    <definedName name="FDD_189_4">"A32142"</definedName>
    <definedName name="FDD_189_5">"A32508"</definedName>
    <definedName name="FDD_189_6">"A32873"</definedName>
    <definedName name="FDD_189_7">"A33238"</definedName>
    <definedName name="FDD_189_8">"A33603"</definedName>
    <definedName name="FDD_189_9">"A33969"</definedName>
    <definedName name="FDD_19_0">"A25569"</definedName>
    <definedName name="FDD_190_0">"A30681"</definedName>
    <definedName name="FDD_190_1">"A31047"</definedName>
    <definedName name="FDD_190_10">"A34334"</definedName>
    <definedName name="FDD_190_11">"A34699"</definedName>
    <definedName name="FDD_190_12">"A35064"</definedName>
    <definedName name="FDD_190_13">"A35430"</definedName>
    <definedName name="FDD_190_14">"A35795"</definedName>
    <definedName name="FDD_190_2">"A31412"</definedName>
    <definedName name="FDD_190_3">"A31777"</definedName>
    <definedName name="FDD_190_4">"A32142"</definedName>
    <definedName name="FDD_190_5">"A32508"</definedName>
    <definedName name="FDD_190_6">"A32873"</definedName>
    <definedName name="FDD_190_7">"A33238"</definedName>
    <definedName name="FDD_190_8">"A33603"</definedName>
    <definedName name="FDD_190_9">"A33969"</definedName>
    <definedName name="FDD_191_0">"A30681"</definedName>
    <definedName name="FDD_191_1">"A31047"</definedName>
    <definedName name="FDD_191_10">"A34334"</definedName>
    <definedName name="FDD_191_11">"A34699"</definedName>
    <definedName name="FDD_191_12">"A35064"</definedName>
    <definedName name="FDD_191_13">"A35430"</definedName>
    <definedName name="FDD_191_14">"A35795"</definedName>
    <definedName name="FDD_191_2">"A31412"</definedName>
    <definedName name="FDD_191_3">"A31777"</definedName>
    <definedName name="FDD_191_4">"A32142"</definedName>
    <definedName name="FDD_191_5">"A32508"</definedName>
    <definedName name="FDD_191_6">"A32873"</definedName>
    <definedName name="FDD_191_7">"A33238"</definedName>
    <definedName name="FDD_191_8">"A33603"</definedName>
    <definedName name="FDD_191_9">"A33969"</definedName>
    <definedName name="FDD_192_0">"E36160"</definedName>
    <definedName name="FDD_192_1">"E36525"</definedName>
    <definedName name="FDD_192_2">"E36891"</definedName>
    <definedName name="FDD_193_0">"A30681"</definedName>
    <definedName name="FDD_193_1">"A31047"</definedName>
    <definedName name="FDD_193_10">"A34334"</definedName>
    <definedName name="FDD_193_11">"A34699"</definedName>
    <definedName name="FDD_193_12">"A35064"</definedName>
    <definedName name="FDD_193_13">"A35430"</definedName>
    <definedName name="FDD_193_14">"A35795"</definedName>
    <definedName name="FDD_193_2">"A31412"</definedName>
    <definedName name="FDD_193_3">"A31777"</definedName>
    <definedName name="FDD_193_4">"A32142"</definedName>
    <definedName name="FDD_193_5">"A32508"</definedName>
    <definedName name="FDD_193_6">"A32873"</definedName>
    <definedName name="FDD_193_7">"A33238"</definedName>
    <definedName name="FDD_193_8">"A33603"</definedName>
    <definedName name="FDD_193_9">"A33969"</definedName>
    <definedName name="FDD_194_0">"A30681"</definedName>
    <definedName name="FDD_194_1">"A31047"</definedName>
    <definedName name="FDD_194_10">"A34334"</definedName>
    <definedName name="FDD_194_11">"A34699"</definedName>
    <definedName name="FDD_194_12">"A35064"</definedName>
    <definedName name="FDD_194_13">"A35430"</definedName>
    <definedName name="FDD_194_14">"A35795"</definedName>
    <definedName name="FDD_194_2">"A31412"</definedName>
    <definedName name="FDD_194_3">"A31777"</definedName>
    <definedName name="FDD_194_4">"A32142"</definedName>
    <definedName name="FDD_194_5">"A32508"</definedName>
    <definedName name="FDD_194_6">"A32873"</definedName>
    <definedName name="FDD_194_7">"A33238"</definedName>
    <definedName name="FDD_194_8">"A33603"</definedName>
    <definedName name="FDD_194_9">"A33969"</definedName>
    <definedName name="FDD_195_0">"A30681"</definedName>
    <definedName name="FDD_195_1">"A31047"</definedName>
    <definedName name="FDD_195_10">"A34334"</definedName>
    <definedName name="FDD_195_11">"A34699"</definedName>
    <definedName name="FDD_195_12">"A35064"</definedName>
    <definedName name="FDD_195_13">"A35430"</definedName>
    <definedName name="FDD_195_14">"A35795"</definedName>
    <definedName name="FDD_195_2">"A31412"</definedName>
    <definedName name="FDD_195_3">"A31777"</definedName>
    <definedName name="FDD_195_4">"A32142"</definedName>
    <definedName name="FDD_195_5">"A32508"</definedName>
    <definedName name="FDD_195_6">"A32873"</definedName>
    <definedName name="FDD_195_7">"A33238"</definedName>
    <definedName name="FDD_195_8">"A33603"</definedName>
    <definedName name="FDD_195_9">"A33969"</definedName>
    <definedName name="FDD_196_0">"E36160"</definedName>
    <definedName name="FDD_196_1">"E36525"</definedName>
    <definedName name="FDD_196_2">"E36891"</definedName>
    <definedName name="FDD_197_0">"A30681"</definedName>
    <definedName name="FDD_197_1">"A31047"</definedName>
    <definedName name="FDD_197_10">"A34334"</definedName>
    <definedName name="FDD_197_11">"A34699"</definedName>
    <definedName name="FDD_197_12">"A35064"</definedName>
    <definedName name="FDD_197_13">"A35430"</definedName>
    <definedName name="FDD_197_14">"A35795"</definedName>
    <definedName name="FDD_197_2">"A31412"</definedName>
    <definedName name="FDD_197_3">"A31777"</definedName>
    <definedName name="FDD_197_4">"A32142"</definedName>
    <definedName name="FDD_197_5">"A32508"</definedName>
    <definedName name="FDD_197_6">"A32873"</definedName>
    <definedName name="FDD_197_7">"A33238"</definedName>
    <definedName name="FDD_197_8">"A33603"</definedName>
    <definedName name="FDD_197_9">"A33969"</definedName>
    <definedName name="FDD_198_0">"A30681"</definedName>
    <definedName name="FDD_198_1">"A31047"</definedName>
    <definedName name="FDD_198_10">"U34334"</definedName>
    <definedName name="FDD_198_11">"U34699"</definedName>
    <definedName name="FDD_198_12">"U35064"</definedName>
    <definedName name="FDD_198_13">"U35430"</definedName>
    <definedName name="FDD_198_14">"U35795"</definedName>
    <definedName name="FDD_198_2">"A31412"</definedName>
    <definedName name="FDD_198_3">"U31777"</definedName>
    <definedName name="FDD_198_4">"U32142"</definedName>
    <definedName name="FDD_198_5">"U32508"</definedName>
    <definedName name="FDD_198_6">"U32873"</definedName>
    <definedName name="FDD_198_7">"U33238"</definedName>
    <definedName name="FDD_198_8">"U33603"</definedName>
    <definedName name="FDD_198_9">"U33969"</definedName>
    <definedName name="FDD_199_0">"E36160"</definedName>
    <definedName name="FDD_199_1">"E36525"</definedName>
    <definedName name="FDD_199_2">"E36891"</definedName>
    <definedName name="FDD_2_0">"A25569"</definedName>
    <definedName name="FDD_20_0">"A25569"</definedName>
    <definedName name="FDD_200_0">"E36160"</definedName>
    <definedName name="FDD_200_1">"E36525"</definedName>
    <definedName name="FDD_200_2">"E36891"</definedName>
    <definedName name="FDD_201_0">"A30681"</definedName>
    <definedName name="FDD_201_1">"A31047"</definedName>
    <definedName name="FDD_201_10">"A34334"</definedName>
    <definedName name="FDD_201_11">"A34699"</definedName>
    <definedName name="FDD_201_12">"A35064"</definedName>
    <definedName name="FDD_201_13">"A35430"</definedName>
    <definedName name="FDD_201_14">"A35795"</definedName>
    <definedName name="FDD_201_2">"A31412"</definedName>
    <definedName name="FDD_201_3">"A31777"</definedName>
    <definedName name="FDD_201_4">"A32142"</definedName>
    <definedName name="FDD_201_5">"A32508"</definedName>
    <definedName name="FDD_201_6">"A32873"</definedName>
    <definedName name="FDD_201_7">"A33238"</definedName>
    <definedName name="FDD_201_8">"A33603"</definedName>
    <definedName name="FDD_201_9">"A33969"</definedName>
    <definedName name="FDD_202_0">"A30681"</definedName>
    <definedName name="FDD_202_1">"A31047"</definedName>
    <definedName name="FDD_202_10">"A34334"</definedName>
    <definedName name="FDD_202_11">"A34699"</definedName>
    <definedName name="FDD_202_12">"A35064"</definedName>
    <definedName name="FDD_202_13">"A35430"</definedName>
    <definedName name="FDD_202_14">"A35795"</definedName>
    <definedName name="FDD_202_2">"A31412"</definedName>
    <definedName name="FDD_202_3">"A31777"</definedName>
    <definedName name="FDD_202_4">"A32142"</definedName>
    <definedName name="FDD_202_5">"A32508"</definedName>
    <definedName name="FDD_202_6">"A32873"</definedName>
    <definedName name="FDD_202_7">"A33238"</definedName>
    <definedName name="FDD_202_8">"A33603"</definedName>
    <definedName name="FDD_202_9">"A33969"</definedName>
    <definedName name="FDD_203_0">"E36160"</definedName>
    <definedName name="FDD_203_1">"E36525"</definedName>
    <definedName name="FDD_203_2">"E36891"</definedName>
    <definedName name="FDD_204_0">"A25569"</definedName>
    <definedName name="FDD_205_0">"A25569"</definedName>
    <definedName name="FDD_206_0">"A25569"</definedName>
    <definedName name="FDD_207_0">"A25569"</definedName>
    <definedName name="FDD_208_0">"E36160"</definedName>
    <definedName name="FDD_208_1">"E36525"</definedName>
    <definedName name="FDD_208_2">"E36891"</definedName>
    <definedName name="FDD_209_0">"A25569"</definedName>
    <definedName name="FDD_21_0">"A25569"</definedName>
    <definedName name="FDD_210_0">"A25569"</definedName>
    <definedName name="FDD_211_0">"A25569"</definedName>
    <definedName name="FDD_212_0">"A25569"</definedName>
    <definedName name="FDD_213_0">"E36160"</definedName>
    <definedName name="FDD_213_1">"E36525"</definedName>
    <definedName name="FDD_213_2">"E36891"</definedName>
    <definedName name="FDD_214_0">"A25569"</definedName>
    <definedName name="FDD_215_0">"A25569"</definedName>
    <definedName name="FDD_216_0">"A25569"</definedName>
    <definedName name="FDD_217_0">"A25569"</definedName>
    <definedName name="FDD_218_0">"E36160"</definedName>
    <definedName name="FDD_218_1">"E36525"</definedName>
    <definedName name="FDD_218_2">"E36891"</definedName>
    <definedName name="FDD_219_0">"U25569"</definedName>
    <definedName name="FDD_22_0">"A25569"</definedName>
    <definedName name="FDD_220_0">"U25569"</definedName>
    <definedName name="FDD_221_0">"U25569"</definedName>
    <definedName name="FDD_222_0">"U25569"</definedName>
    <definedName name="FDD_223_0">"E36160"</definedName>
    <definedName name="FDD_223_1">"E36525"</definedName>
    <definedName name="FDD_223_2">"E36891"</definedName>
    <definedName name="FDD_224_0">"A25569"</definedName>
    <definedName name="FDD_225_0">"A25569"</definedName>
    <definedName name="FDD_226_0">"A25569"</definedName>
    <definedName name="FDD_227_0">"A25569"</definedName>
    <definedName name="FDD_228_0">"E36160"</definedName>
    <definedName name="FDD_228_1">"E36525"</definedName>
    <definedName name="FDD_228_2">"E36891"</definedName>
    <definedName name="FDD_229_0">"A25569"</definedName>
    <definedName name="FDD_23_0">"A25569"</definedName>
    <definedName name="FDD_230_0">"A25569"</definedName>
    <definedName name="FDD_231_0">"A25569"</definedName>
    <definedName name="FDD_232_0">"A25569"</definedName>
    <definedName name="FDD_233_0">"A25569"</definedName>
    <definedName name="FDD_234_0">"A25569"</definedName>
    <definedName name="FDD_235_0">"A25569"</definedName>
    <definedName name="FDD_236_0">"A25569"</definedName>
    <definedName name="FDD_237_0">"A25569"</definedName>
    <definedName name="FDD_238_0">"A30681"</definedName>
    <definedName name="FDD_238_1">"A31047"</definedName>
    <definedName name="FDD_238_10">"A34334"</definedName>
    <definedName name="FDD_238_11">"A34699"</definedName>
    <definedName name="FDD_238_12">"A35064"</definedName>
    <definedName name="FDD_238_13">"A35430"</definedName>
    <definedName name="FDD_238_14">"A35795"</definedName>
    <definedName name="FDD_238_2">"A31412"</definedName>
    <definedName name="FDD_238_3">"A31777"</definedName>
    <definedName name="FDD_238_4">"A32142"</definedName>
    <definedName name="FDD_238_5">"A32508"</definedName>
    <definedName name="FDD_238_6">"A32873"</definedName>
    <definedName name="FDD_238_7">"A33238"</definedName>
    <definedName name="FDD_238_8">"A33603"</definedName>
    <definedName name="FDD_238_9">"A33969"</definedName>
    <definedName name="FDD_24_0">"A25569"</definedName>
    <definedName name="FDD_243_0">"E36160"</definedName>
    <definedName name="FDD_243_1">"E36525"</definedName>
    <definedName name="FDD_243_2">"E36891"</definedName>
    <definedName name="FDD_244_0">"A25569"</definedName>
    <definedName name="FDD_245_0">"A25569"</definedName>
    <definedName name="FDD_246_0">"A25569"</definedName>
    <definedName name="FDD_247_0">"A25569"</definedName>
    <definedName name="FDD_248_0">"E36160"</definedName>
    <definedName name="FDD_248_1">"E36525"</definedName>
    <definedName name="FDD_248_2">"E36891"</definedName>
    <definedName name="FDD_249_0">"A25569"</definedName>
    <definedName name="FDD_25_0">"A25569"</definedName>
    <definedName name="FDD_250_0">"A25569"</definedName>
    <definedName name="FDD_251_0">"A25569"</definedName>
    <definedName name="FDD_252_0">"A25569"</definedName>
    <definedName name="FDD_253_0">"E36160"</definedName>
    <definedName name="FDD_253_1">"E36525"</definedName>
    <definedName name="FDD_253_2">"E36891"</definedName>
    <definedName name="FDD_254_0">"E36160"</definedName>
    <definedName name="FDD_254_1">"E36525"</definedName>
    <definedName name="FDD_254_2">"E36891"</definedName>
    <definedName name="FDD_255_0">"E36160"</definedName>
    <definedName name="FDD_255_1">"E36525"</definedName>
    <definedName name="FDD_255_2">"E36891"</definedName>
    <definedName name="FDD_256_0">"U36160"</definedName>
    <definedName name="FDD_256_1">"U36525"</definedName>
    <definedName name="FDD_256_2">"U36891"</definedName>
    <definedName name="FDD_257_0">"E36160"</definedName>
    <definedName name="FDD_257_1">"E36525"</definedName>
    <definedName name="FDD_257_2">"E36891"</definedName>
    <definedName name="FDD_258_0">"E36160"</definedName>
    <definedName name="FDD_258_1">"E36525"</definedName>
    <definedName name="FDD_258_2">"E36891"</definedName>
    <definedName name="FDD_259_0">"E36160"</definedName>
    <definedName name="FDD_259_1">"E36525"</definedName>
    <definedName name="FDD_259_2">"E36891"</definedName>
    <definedName name="FDD_26_0">"A25569"</definedName>
    <definedName name="FDD_260_0">"E36160"</definedName>
    <definedName name="FDD_260_1">"E36525"</definedName>
    <definedName name="FDD_260_2">"E36891"</definedName>
    <definedName name="FDD_261_0">"E36160"</definedName>
    <definedName name="FDD_261_1">"E36525"</definedName>
    <definedName name="FDD_261_2">"E36891"</definedName>
    <definedName name="FDD_264_0">"E36160"</definedName>
    <definedName name="FDD_264_1">"E36525"</definedName>
    <definedName name="FDD_264_2">"E36891"</definedName>
    <definedName name="FDD_265_0">"A25569"</definedName>
    <definedName name="FDD_266_0">"A25569"</definedName>
    <definedName name="FDD_267_0">"A25569"</definedName>
    <definedName name="FDD_268_0">"A25569"</definedName>
    <definedName name="FDD_269_0">"E36160"</definedName>
    <definedName name="FDD_269_1">"E36525"</definedName>
    <definedName name="FDD_269_2">"E36891"</definedName>
    <definedName name="FDD_27_0">"A25569"</definedName>
    <definedName name="FDD_270_0">"A25569"</definedName>
    <definedName name="FDD_271_0">"A25569"</definedName>
    <definedName name="FDD_272_0">"A25569"</definedName>
    <definedName name="FDD_273_0">"A25569"</definedName>
    <definedName name="FDD_274_0">"E36160"</definedName>
    <definedName name="FDD_274_1">"E36525"</definedName>
    <definedName name="FDD_274_2">"E36891"</definedName>
    <definedName name="FDD_275_0">"A25569"</definedName>
    <definedName name="FDD_276_0">"A25569"</definedName>
    <definedName name="FDD_277_0">"A25569"</definedName>
    <definedName name="FDD_278_0">"A25569"</definedName>
    <definedName name="FDD_279_0">"E36160"</definedName>
    <definedName name="FDD_279_1">"E36525"</definedName>
    <definedName name="FDD_279_2">"E36891"</definedName>
    <definedName name="FDD_28_0">"A25569"</definedName>
    <definedName name="FDD_280_0">"E36160"</definedName>
    <definedName name="FDD_280_1">"E36525"</definedName>
    <definedName name="FDD_280_2">"E36891"</definedName>
    <definedName name="FDD_281_0">"E36160"</definedName>
    <definedName name="FDD_281_1">"E36525"</definedName>
    <definedName name="FDD_281_2">"E36891"</definedName>
    <definedName name="FDD_282_0">"E36160"</definedName>
    <definedName name="FDD_282_1">"E36525"</definedName>
    <definedName name="FDD_282_2">"E36891"</definedName>
    <definedName name="FDD_283_0">"E36160"</definedName>
    <definedName name="FDD_283_1">"E36525"</definedName>
    <definedName name="FDD_283_2">"E36891"</definedName>
    <definedName name="FDD_284_0">"A30681"</definedName>
    <definedName name="FDD_284_1">"A31047"</definedName>
    <definedName name="FDD_284_10">"A34334"</definedName>
    <definedName name="FDD_284_11">"A34699"</definedName>
    <definedName name="FDD_284_12">"A35064"</definedName>
    <definedName name="FDD_284_13">"A35430"</definedName>
    <definedName name="FDD_284_14">"A35795"</definedName>
    <definedName name="FDD_284_2">"A31412"</definedName>
    <definedName name="FDD_284_3">"A31777"</definedName>
    <definedName name="FDD_284_4">"A32142"</definedName>
    <definedName name="FDD_284_5">"A32508"</definedName>
    <definedName name="FDD_284_6">"A32873"</definedName>
    <definedName name="FDD_284_7">"A33238"</definedName>
    <definedName name="FDD_284_8">"A33603"</definedName>
    <definedName name="FDD_284_9">"A33969"</definedName>
    <definedName name="FDD_285_0">"A35795"</definedName>
    <definedName name="FDD_285_1">"E36160"</definedName>
    <definedName name="FDD_285_10">"E39447"</definedName>
    <definedName name="FDD_285_11">"E39813"</definedName>
    <definedName name="FDD_285_12">"E40178"</definedName>
    <definedName name="FDD_285_13">"E40543"</definedName>
    <definedName name="FDD_285_14">"E40908"</definedName>
    <definedName name="FDD_285_15">"E41274"</definedName>
    <definedName name="FDD_285_16">"E41639"</definedName>
    <definedName name="FDD_285_17">"E42004"</definedName>
    <definedName name="FDD_285_18">"E42369"</definedName>
    <definedName name="FDD_285_19">"E42735"</definedName>
    <definedName name="FDD_285_2">"E36525"</definedName>
    <definedName name="FDD_285_20">"E43100"</definedName>
    <definedName name="FDD_285_21">"E43465"</definedName>
    <definedName name="FDD_285_22">"E43830"</definedName>
    <definedName name="FDD_285_23">"E44196"</definedName>
    <definedName name="FDD_285_24">"E44561"</definedName>
    <definedName name="FDD_285_25">"E44926"</definedName>
    <definedName name="FDD_285_3">"E36891"</definedName>
    <definedName name="FDD_285_4">"E37256"</definedName>
    <definedName name="FDD_285_5">"E37621"</definedName>
    <definedName name="FDD_285_6">"E37986"</definedName>
    <definedName name="FDD_285_7">"E38352"</definedName>
    <definedName name="FDD_285_8">"E38717"</definedName>
    <definedName name="FDD_285_9">"E39082"</definedName>
    <definedName name="FDD_286_0">"E36160"</definedName>
    <definedName name="FDD_286_1">"E36525"</definedName>
    <definedName name="FDD_286_10">"E39813"</definedName>
    <definedName name="FDD_286_11">"E40178"</definedName>
    <definedName name="FDD_286_12">"E40543"</definedName>
    <definedName name="FDD_286_13">"E40908"</definedName>
    <definedName name="FDD_286_14">"E41274"</definedName>
    <definedName name="FDD_286_15">"E41639"</definedName>
    <definedName name="FDD_286_16">"E42004"</definedName>
    <definedName name="FDD_286_17">"E42369"</definedName>
    <definedName name="FDD_286_18">"E42735"</definedName>
    <definedName name="FDD_286_19">"E43100"</definedName>
    <definedName name="FDD_286_2">"E36891"</definedName>
    <definedName name="FDD_286_20">"E43465"</definedName>
    <definedName name="FDD_286_21">"E43830"</definedName>
    <definedName name="FDD_286_22">"E44196"</definedName>
    <definedName name="FDD_286_23">"E44561"</definedName>
    <definedName name="FDD_286_24">"E44926"</definedName>
    <definedName name="FDD_286_3">"E37256"</definedName>
    <definedName name="FDD_286_4">"E37621"</definedName>
    <definedName name="FDD_286_5">"E37986"</definedName>
    <definedName name="FDD_286_6">"E38352"</definedName>
    <definedName name="FDD_286_7">"E38717"</definedName>
    <definedName name="FDD_286_8">"E39082"</definedName>
    <definedName name="FDD_286_9">"E39447"</definedName>
    <definedName name="FDD_287_0">"A25569"</definedName>
    <definedName name="FDD_288_0">"A25569"</definedName>
    <definedName name="FDD_289_0">"A36890"</definedName>
    <definedName name="FDD_29_0">"A25569"</definedName>
    <definedName name="FDD_290_0">"A36890"</definedName>
    <definedName name="FDD_291_0">"A25569"</definedName>
    <definedName name="FDD_295_0">"U25569"</definedName>
    <definedName name="FDD_296_0">"A25569"</definedName>
    <definedName name="FDD_297_0">"A25569"</definedName>
    <definedName name="FDD_298_0">"A25569"</definedName>
    <definedName name="FDD_299_0">"A25569"</definedName>
    <definedName name="FDD_3_0">"A25569"</definedName>
    <definedName name="FDD_30_0">"A25569"</definedName>
    <definedName name="FDD_300_0">"U25569"</definedName>
    <definedName name="FDD_301_0">"U35795"</definedName>
    <definedName name="FDD_301_1">"U36160"</definedName>
    <definedName name="FDD_301_2">"U36525"</definedName>
    <definedName name="FDD_302_0">"U35795"</definedName>
    <definedName name="FDD_302_1">"U36160"</definedName>
    <definedName name="FDD_302_2">"U36525"</definedName>
    <definedName name="FDD_303_0">"U35795"</definedName>
    <definedName name="FDD_303_1">"U36160"</definedName>
    <definedName name="FDD_303_2">"U36525"</definedName>
    <definedName name="FDD_304_0">"U35795"</definedName>
    <definedName name="FDD_304_1">"U36160"</definedName>
    <definedName name="FDD_304_2">"U36525"</definedName>
    <definedName name="FDD_305_0">"A30681"</definedName>
    <definedName name="FDD_305_1">"A31047"</definedName>
    <definedName name="FDD_305_10">"U34334"</definedName>
    <definedName name="FDD_305_11">"U34699"</definedName>
    <definedName name="FDD_305_12">"U35064"</definedName>
    <definedName name="FDD_305_13">"U35430"</definedName>
    <definedName name="FDD_305_14">"U35795"</definedName>
    <definedName name="FDD_305_2">"A31412"</definedName>
    <definedName name="FDD_305_3">"U31777"</definedName>
    <definedName name="FDD_305_4">"U32142"</definedName>
    <definedName name="FDD_305_5">"U32508"</definedName>
    <definedName name="FDD_305_6">"U32873"</definedName>
    <definedName name="FDD_305_7">"U33238"</definedName>
    <definedName name="FDD_305_8">"U33603"</definedName>
    <definedName name="FDD_305_9">"U33969"</definedName>
    <definedName name="FDD_306_0">"U35795"</definedName>
    <definedName name="FDD_306_1">"E36160"</definedName>
    <definedName name="FDD_306_2">"U36525"</definedName>
    <definedName name="FDD_307_0">"A35795"</definedName>
    <definedName name="FDD_307_1">"U36160"</definedName>
    <definedName name="FDD_307_2">"U36525"</definedName>
    <definedName name="FDD_31_0">"A25569"</definedName>
    <definedName name="FDD_32_0">"A25569"</definedName>
    <definedName name="FDD_33_0">"A25569"</definedName>
    <definedName name="FDD_34_0">"A25569"</definedName>
    <definedName name="FDD_35_0">"A25569"</definedName>
    <definedName name="FDD_36_0">"A25569"</definedName>
    <definedName name="FDD_37_0">"A25569"</definedName>
    <definedName name="FDD_38_0">"A25569"</definedName>
    <definedName name="FDD_39_0">"A25569"</definedName>
    <definedName name="FDD_4_0">"A25569"</definedName>
    <definedName name="FDD_40_0">"A25569"</definedName>
    <definedName name="FDD_41_0">"U25569"</definedName>
    <definedName name="FDD_42_0">"U25569"</definedName>
    <definedName name="FDD_43_0">"A25569"</definedName>
    <definedName name="FDD_44_0">"A30681"</definedName>
    <definedName name="FDD_44_1">"A31047"</definedName>
    <definedName name="FDD_44_10">"A34334"</definedName>
    <definedName name="FDD_44_11">"A34699"</definedName>
    <definedName name="FDD_44_12">"A35064"</definedName>
    <definedName name="FDD_44_13">"A35430"</definedName>
    <definedName name="FDD_44_14">"A35795"</definedName>
    <definedName name="FDD_44_2">"A31412"</definedName>
    <definedName name="FDD_44_3">"A31777"</definedName>
    <definedName name="FDD_44_4">"A32142"</definedName>
    <definedName name="FDD_44_5">"A32508"</definedName>
    <definedName name="FDD_44_6">"A32873"</definedName>
    <definedName name="FDD_44_7">"A33238"</definedName>
    <definedName name="FDD_44_8">"A33603"</definedName>
    <definedName name="FDD_44_9">"A33969"</definedName>
    <definedName name="FDD_45_0">"A30681"</definedName>
    <definedName name="FDD_45_1">"A31047"</definedName>
    <definedName name="FDD_45_10">"A34334"</definedName>
    <definedName name="FDD_45_11">"A34699"</definedName>
    <definedName name="FDD_45_12">"A35064"</definedName>
    <definedName name="FDD_45_13">"A35430"</definedName>
    <definedName name="FDD_45_14">"A35795"</definedName>
    <definedName name="FDD_45_2">"A31412"</definedName>
    <definedName name="FDD_45_3">"A31777"</definedName>
    <definedName name="FDD_45_4">"A32142"</definedName>
    <definedName name="FDD_45_5">"A32508"</definedName>
    <definedName name="FDD_45_6">"A32873"</definedName>
    <definedName name="FDD_45_7">"A33238"</definedName>
    <definedName name="FDD_45_8">"A33603"</definedName>
    <definedName name="FDD_45_9">"A33969"</definedName>
    <definedName name="FDD_46_0">"A30681"</definedName>
    <definedName name="FDD_46_1">"A31047"</definedName>
    <definedName name="FDD_46_10">"A34334"</definedName>
    <definedName name="FDD_46_11">"A34699"</definedName>
    <definedName name="FDD_46_12">"A35064"</definedName>
    <definedName name="FDD_46_13">"A35430"</definedName>
    <definedName name="FDD_46_14">"A35795"</definedName>
    <definedName name="FDD_46_2">"A31412"</definedName>
    <definedName name="FDD_46_3">"A31777"</definedName>
    <definedName name="FDD_46_4">"A32142"</definedName>
    <definedName name="FDD_46_5">"A32508"</definedName>
    <definedName name="FDD_46_6">"A32873"</definedName>
    <definedName name="FDD_46_7">"A33238"</definedName>
    <definedName name="FDD_46_8">"A33603"</definedName>
    <definedName name="FDD_46_9">"A33969"</definedName>
    <definedName name="FDD_47_0">"A30681"</definedName>
    <definedName name="FDD_47_1">"A31047"</definedName>
    <definedName name="FDD_47_10">"A34334"</definedName>
    <definedName name="FDD_47_11">"A34699"</definedName>
    <definedName name="FDD_47_12">"A35064"</definedName>
    <definedName name="FDD_47_13">"A35430"</definedName>
    <definedName name="FDD_47_14">"A35795"</definedName>
    <definedName name="FDD_47_2">"A31412"</definedName>
    <definedName name="FDD_47_3">"A31777"</definedName>
    <definedName name="FDD_47_4">"A32142"</definedName>
    <definedName name="FDD_47_5">"A32508"</definedName>
    <definedName name="FDD_47_6">"A32873"</definedName>
    <definedName name="FDD_47_7">"A33238"</definedName>
    <definedName name="FDD_47_8">"A33603"</definedName>
    <definedName name="FDD_47_9">"A33969"</definedName>
    <definedName name="FDD_48_0">"A30681"</definedName>
    <definedName name="FDD_48_1">"A31047"</definedName>
    <definedName name="FDD_48_10">"A34334"</definedName>
    <definedName name="FDD_48_11">"A34699"</definedName>
    <definedName name="FDD_48_12">"A35064"</definedName>
    <definedName name="FDD_48_13">"A35430"</definedName>
    <definedName name="FDD_48_14">"A35795"</definedName>
    <definedName name="FDD_48_2">"A31412"</definedName>
    <definedName name="FDD_48_3">"A31777"</definedName>
    <definedName name="FDD_48_4">"A32142"</definedName>
    <definedName name="FDD_48_5">"A32508"</definedName>
    <definedName name="FDD_48_6">"A32873"</definedName>
    <definedName name="FDD_48_7">"A33238"</definedName>
    <definedName name="FDD_48_8">"A33603"</definedName>
    <definedName name="FDD_48_9">"A33969"</definedName>
    <definedName name="FDD_49_0">"A30681"</definedName>
    <definedName name="FDD_49_1">"A31047"</definedName>
    <definedName name="FDD_49_10">"A34334"</definedName>
    <definedName name="FDD_49_11">"A34699"</definedName>
    <definedName name="FDD_49_12">"A35064"</definedName>
    <definedName name="FDD_49_13">"A35430"</definedName>
    <definedName name="FDD_49_14">"A35795"</definedName>
    <definedName name="FDD_49_2">"A31412"</definedName>
    <definedName name="FDD_49_3">"A31777"</definedName>
    <definedName name="FDD_49_4">"A32142"</definedName>
    <definedName name="FDD_49_5">"A32508"</definedName>
    <definedName name="FDD_49_6">"A32873"</definedName>
    <definedName name="FDD_49_7">"A33238"</definedName>
    <definedName name="FDD_49_8">"A33603"</definedName>
    <definedName name="FDD_49_9">"A33969"</definedName>
    <definedName name="FDD_5_0">"A25569"</definedName>
    <definedName name="FDD_50_0">"A30681"</definedName>
    <definedName name="FDD_50_1">"A31047"</definedName>
    <definedName name="FDD_50_10">"A34334"</definedName>
    <definedName name="FDD_50_11">"A34699"</definedName>
    <definedName name="FDD_50_12">"A35064"</definedName>
    <definedName name="FDD_50_13">"A35430"</definedName>
    <definedName name="FDD_50_14">"A35795"</definedName>
    <definedName name="FDD_50_2">"A31412"</definedName>
    <definedName name="FDD_50_3">"A31777"</definedName>
    <definedName name="FDD_50_4">"A32142"</definedName>
    <definedName name="FDD_50_5">"A32508"</definedName>
    <definedName name="FDD_50_6">"A32873"</definedName>
    <definedName name="FDD_50_7">"A33238"</definedName>
    <definedName name="FDD_50_8">"A33603"</definedName>
    <definedName name="FDD_50_9">"A33969"</definedName>
    <definedName name="FDD_51_0">"A30681"</definedName>
    <definedName name="FDD_51_1">"A31047"</definedName>
    <definedName name="FDD_51_10">"A34334"</definedName>
    <definedName name="FDD_51_11">"A34699"</definedName>
    <definedName name="FDD_51_12">"A35064"</definedName>
    <definedName name="FDD_51_13">"A35430"</definedName>
    <definedName name="FDD_51_14">"A35795"</definedName>
    <definedName name="FDD_51_2">"A31412"</definedName>
    <definedName name="FDD_51_3">"A31777"</definedName>
    <definedName name="FDD_51_4">"A32142"</definedName>
    <definedName name="FDD_51_5">"A32508"</definedName>
    <definedName name="FDD_51_6">"A32873"</definedName>
    <definedName name="FDD_51_7">"A33238"</definedName>
    <definedName name="FDD_51_8">"A33603"</definedName>
    <definedName name="FDD_51_9">"A33969"</definedName>
    <definedName name="FDD_52_0">"A30681"</definedName>
    <definedName name="FDD_52_1">"A31047"</definedName>
    <definedName name="FDD_52_10">"A34334"</definedName>
    <definedName name="FDD_52_11">"A34699"</definedName>
    <definedName name="FDD_52_12">"A35064"</definedName>
    <definedName name="FDD_52_13">"A35430"</definedName>
    <definedName name="FDD_52_14">"A35795"</definedName>
    <definedName name="FDD_52_2">"A31412"</definedName>
    <definedName name="FDD_52_3">"A31777"</definedName>
    <definedName name="FDD_52_4">"A32142"</definedName>
    <definedName name="FDD_52_5">"A32508"</definedName>
    <definedName name="FDD_52_6">"A32873"</definedName>
    <definedName name="FDD_52_7">"A33238"</definedName>
    <definedName name="FDD_52_8">"A33603"</definedName>
    <definedName name="FDD_52_9">"A33969"</definedName>
    <definedName name="FDD_53_0">"U30681"</definedName>
    <definedName name="FDD_53_1">"A31047"</definedName>
    <definedName name="FDD_53_10">"A34334"</definedName>
    <definedName name="FDD_53_11">"A34699"</definedName>
    <definedName name="FDD_53_12">"A35064"</definedName>
    <definedName name="FDD_53_13">"A35430"</definedName>
    <definedName name="FDD_53_14">"A35795"</definedName>
    <definedName name="FDD_53_2">"A31412"</definedName>
    <definedName name="FDD_53_3">"A31777"</definedName>
    <definedName name="FDD_53_4">"A32142"</definedName>
    <definedName name="FDD_53_5">"A32508"</definedName>
    <definedName name="FDD_53_6">"A32873"</definedName>
    <definedName name="FDD_53_7">"A33238"</definedName>
    <definedName name="FDD_53_8">"A33603"</definedName>
    <definedName name="FDD_53_9">"A33969"</definedName>
    <definedName name="FDD_54_0">"A30681"</definedName>
    <definedName name="FDD_54_1">"A31047"</definedName>
    <definedName name="FDD_54_10">"A34334"</definedName>
    <definedName name="FDD_54_11">"A34699"</definedName>
    <definedName name="FDD_54_12">"A35064"</definedName>
    <definedName name="FDD_54_13">"A35430"</definedName>
    <definedName name="FDD_54_14">"A35795"</definedName>
    <definedName name="FDD_54_2">"A31412"</definedName>
    <definedName name="FDD_54_3">"A31777"</definedName>
    <definedName name="FDD_54_4">"A32142"</definedName>
    <definedName name="FDD_54_5">"A32508"</definedName>
    <definedName name="FDD_54_6">"A32873"</definedName>
    <definedName name="FDD_54_7">"A33238"</definedName>
    <definedName name="FDD_54_8">"A33603"</definedName>
    <definedName name="FDD_54_9">"A33969"</definedName>
    <definedName name="FDD_55_0">"A30681"</definedName>
    <definedName name="FDD_55_1">"A31047"</definedName>
    <definedName name="FDD_55_10">"A34334"</definedName>
    <definedName name="FDD_55_11">"A34699"</definedName>
    <definedName name="FDD_55_12">"A35064"</definedName>
    <definedName name="FDD_55_13">"A35430"</definedName>
    <definedName name="FDD_55_14">"A35795"</definedName>
    <definedName name="FDD_55_2">"A31412"</definedName>
    <definedName name="FDD_55_3">"A31777"</definedName>
    <definedName name="FDD_55_4">"A32142"</definedName>
    <definedName name="FDD_55_5">"A32508"</definedName>
    <definedName name="FDD_55_6">"A32873"</definedName>
    <definedName name="FDD_55_7">"A33238"</definedName>
    <definedName name="FDD_55_8">"A33603"</definedName>
    <definedName name="FDD_55_9">"A33969"</definedName>
    <definedName name="FDD_56_0">"A30681"</definedName>
    <definedName name="FDD_56_1">"A31047"</definedName>
    <definedName name="FDD_56_10">"A34334"</definedName>
    <definedName name="FDD_56_11">"A34699"</definedName>
    <definedName name="FDD_56_12">"A35064"</definedName>
    <definedName name="FDD_56_13">"A35430"</definedName>
    <definedName name="FDD_56_14">"A35795"</definedName>
    <definedName name="FDD_56_2">"A31412"</definedName>
    <definedName name="FDD_56_3">"A31777"</definedName>
    <definedName name="FDD_56_4">"A32142"</definedName>
    <definedName name="FDD_56_5">"A32508"</definedName>
    <definedName name="FDD_56_6">"A32873"</definedName>
    <definedName name="FDD_56_7">"A33238"</definedName>
    <definedName name="FDD_56_8">"A33603"</definedName>
    <definedName name="FDD_56_9">"A33969"</definedName>
    <definedName name="FDD_57_0">"A30681"</definedName>
    <definedName name="FDD_57_1">"A31047"</definedName>
    <definedName name="FDD_57_10">"A34334"</definedName>
    <definedName name="FDD_57_11">"A34699"</definedName>
    <definedName name="FDD_57_12">"A35064"</definedName>
    <definedName name="FDD_57_13">"A35430"</definedName>
    <definedName name="FDD_57_14">"A35795"</definedName>
    <definedName name="FDD_57_2">"A31412"</definedName>
    <definedName name="FDD_57_3">"A31777"</definedName>
    <definedName name="FDD_57_4">"A32142"</definedName>
    <definedName name="FDD_57_5">"A32508"</definedName>
    <definedName name="FDD_57_6">"A32873"</definedName>
    <definedName name="FDD_57_7">"A33238"</definedName>
    <definedName name="FDD_57_8">"A33603"</definedName>
    <definedName name="FDD_57_9">"A33969"</definedName>
    <definedName name="FDD_58_0">"A30681"</definedName>
    <definedName name="FDD_58_1">"A31047"</definedName>
    <definedName name="FDD_58_10">"A34334"</definedName>
    <definedName name="FDD_58_11">"A34699"</definedName>
    <definedName name="FDD_58_12">"A35064"</definedName>
    <definedName name="FDD_58_13">"A35430"</definedName>
    <definedName name="FDD_58_14">"A35795"</definedName>
    <definedName name="FDD_58_2">"A31412"</definedName>
    <definedName name="FDD_58_3">"A31777"</definedName>
    <definedName name="FDD_58_4">"A32142"</definedName>
    <definedName name="FDD_58_5">"A32508"</definedName>
    <definedName name="FDD_58_6">"A32873"</definedName>
    <definedName name="FDD_58_7">"A33238"</definedName>
    <definedName name="FDD_58_8">"A33603"</definedName>
    <definedName name="FDD_58_9">"A33969"</definedName>
    <definedName name="FDD_59_0">"A30681"</definedName>
    <definedName name="FDD_59_1">"A31047"</definedName>
    <definedName name="FDD_59_10">"A34334"</definedName>
    <definedName name="FDD_59_11">"A34699"</definedName>
    <definedName name="FDD_59_12">"A35064"</definedName>
    <definedName name="FDD_59_13">"A35430"</definedName>
    <definedName name="FDD_59_14">"A35795"</definedName>
    <definedName name="FDD_59_2">"A31412"</definedName>
    <definedName name="FDD_59_3">"A31777"</definedName>
    <definedName name="FDD_59_4">"A32142"</definedName>
    <definedName name="FDD_59_5">"A32508"</definedName>
    <definedName name="FDD_59_6">"A32873"</definedName>
    <definedName name="FDD_59_7">"A33238"</definedName>
    <definedName name="FDD_59_8">"A33603"</definedName>
    <definedName name="FDD_59_9">"A33969"</definedName>
    <definedName name="FDD_6_0">"A25569"</definedName>
    <definedName name="FDD_60_0">"A30681"</definedName>
    <definedName name="FDD_60_1">"A31047"</definedName>
    <definedName name="FDD_60_10">"A34334"</definedName>
    <definedName name="FDD_60_11">"A34699"</definedName>
    <definedName name="FDD_60_12">"A35064"</definedName>
    <definedName name="FDD_60_13">"A35430"</definedName>
    <definedName name="FDD_60_14">"A35795"</definedName>
    <definedName name="FDD_60_2">"A31412"</definedName>
    <definedName name="FDD_60_3">"A31777"</definedName>
    <definedName name="FDD_60_4">"A32142"</definedName>
    <definedName name="FDD_60_5">"A32508"</definedName>
    <definedName name="FDD_60_6">"A32873"</definedName>
    <definedName name="FDD_60_7">"A33238"</definedName>
    <definedName name="FDD_60_8">"A33603"</definedName>
    <definedName name="FDD_60_9">"A33969"</definedName>
    <definedName name="FDD_61_0">"A30681"</definedName>
    <definedName name="FDD_61_1">"A31047"</definedName>
    <definedName name="FDD_61_10">"A34334"</definedName>
    <definedName name="FDD_61_11">"A34699"</definedName>
    <definedName name="FDD_61_12">"A35064"</definedName>
    <definedName name="FDD_61_13">"A35430"</definedName>
    <definedName name="FDD_61_14">"A35795"</definedName>
    <definedName name="FDD_61_2">"A31412"</definedName>
    <definedName name="FDD_61_3">"A31777"</definedName>
    <definedName name="FDD_61_4">"A32142"</definedName>
    <definedName name="FDD_61_5">"A32508"</definedName>
    <definedName name="FDD_61_6">"A32873"</definedName>
    <definedName name="FDD_61_7">"A33238"</definedName>
    <definedName name="FDD_61_8">"A33603"</definedName>
    <definedName name="FDD_61_9">"A33969"</definedName>
    <definedName name="FDD_62_0">"A30681"</definedName>
    <definedName name="FDD_62_1">"A31047"</definedName>
    <definedName name="FDD_62_10">"A34334"</definedName>
    <definedName name="FDD_62_11">"A34699"</definedName>
    <definedName name="FDD_62_12">"A35064"</definedName>
    <definedName name="FDD_62_13">"A35430"</definedName>
    <definedName name="FDD_62_14">"A35795"</definedName>
    <definedName name="FDD_62_2">"A31412"</definedName>
    <definedName name="FDD_62_3">"A31777"</definedName>
    <definedName name="FDD_62_4">"A32142"</definedName>
    <definedName name="FDD_62_5">"A32508"</definedName>
    <definedName name="FDD_62_6">"A32873"</definedName>
    <definedName name="FDD_62_7">"A33238"</definedName>
    <definedName name="FDD_62_8">"A33603"</definedName>
    <definedName name="FDD_62_9">"A33969"</definedName>
    <definedName name="FDD_63_0">"A30681"</definedName>
    <definedName name="FDD_63_1">"A31047"</definedName>
    <definedName name="FDD_63_10">"A34334"</definedName>
    <definedName name="FDD_63_11">"A34699"</definedName>
    <definedName name="FDD_63_12">"A35064"</definedName>
    <definedName name="FDD_63_13">"A35430"</definedName>
    <definedName name="FDD_63_14">"A35795"</definedName>
    <definedName name="FDD_63_2">"A31412"</definedName>
    <definedName name="FDD_63_3">"A31777"</definedName>
    <definedName name="FDD_63_4">"A32142"</definedName>
    <definedName name="FDD_63_5">"A32508"</definedName>
    <definedName name="FDD_63_6">"A32873"</definedName>
    <definedName name="FDD_63_7">"A33238"</definedName>
    <definedName name="FDD_63_8">"A33603"</definedName>
    <definedName name="FDD_63_9">"A33969"</definedName>
    <definedName name="FDD_64_0">"A30681"</definedName>
    <definedName name="FDD_64_1">"A31047"</definedName>
    <definedName name="FDD_64_10">"A34334"</definedName>
    <definedName name="FDD_64_11">"A34699"</definedName>
    <definedName name="FDD_64_12">"A35064"</definedName>
    <definedName name="FDD_64_13">"A35430"</definedName>
    <definedName name="FDD_64_14">"A35795"</definedName>
    <definedName name="FDD_64_2">"A31412"</definedName>
    <definedName name="FDD_64_3">"A31777"</definedName>
    <definedName name="FDD_64_4">"A32142"</definedName>
    <definedName name="FDD_64_5">"A32508"</definedName>
    <definedName name="FDD_64_6">"A32873"</definedName>
    <definedName name="FDD_64_7">"A33238"</definedName>
    <definedName name="FDD_64_8">"A33603"</definedName>
    <definedName name="FDD_64_9">"A33969"</definedName>
    <definedName name="FDD_65_0">"A30681"</definedName>
    <definedName name="FDD_65_1">"A31047"</definedName>
    <definedName name="FDD_65_10">"A34334"</definedName>
    <definedName name="FDD_65_11">"A34699"</definedName>
    <definedName name="FDD_65_12">"A35064"</definedName>
    <definedName name="FDD_65_13">"A35430"</definedName>
    <definedName name="FDD_65_14">"A35795"</definedName>
    <definedName name="FDD_65_2">"A31412"</definedName>
    <definedName name="FDD_65_3">"A31777"</definedName>
    <definedName name="FDD_65_4">"A32142"</definedName>
    <definedName name="FDD_65_5">"A32508"</definedName>
    <definedName name="FDD_65_6">"A32873"</definedName>
    <definedName name="FDD_65_7">"A33238"</definedName>
    <definedName name="FDD_65_8">"A33603"</definedName>
    <definedName name="FDD_65_9">"A33969"</definedName>
    <definedName name="FDD_66_0">"A30681"</definedName>
    <definedName name="FDD_66_1">"A31047"</definedName>
    <definedName name="FDD_66_10">"A34334"</definedName>
    <definedName name="FDD_66_11">"A34699"</definedName>
    <definedName name="FDD_66_12">"A35064"</definedName>
    <definedName name="FDD_66_13">"A35430"</definedName>
    <definedName name="FDD_66_14">"A35795"</definedName>
    <definedName name="FDD_66_2">"A31412"</definedName>
    <definedName name="FDD_66_3">"A31777"</definedName>
    <definedName name="FDD_66_4">"A32142"</definedName>
    <definedName name="FDD_66_5">"A32508"</definedName>
    <definedName name="FDD_66_6">"A32873"</definedName>
    <definedName name="FDD_66_7">"A33238"</definedName>
    <definedName name="FDD_66_8">"A33603"</definedName>
    <definedName name="FDD_66_9">"A33969"</definedName>
    <definedName name="FDD_67_0">"A30681"</definedName>
    <definedName name="FDD_67_1">"A31047"</definedName>
    <definedName name="FDD_67_10">"A34334"</definedName>
    <definedName name="FDD_67_11">"A34699"</definedName>
    <definedName name="FDD_67_12">"A35064"</definedName>
    <definedName name="FDD_67_13">"A35430"</definedName>
    <definedName name="FDD_67_14">"A35795"</definedName>
    <definedName name="FDD_67_2">"A31412"</definedName>
    <definedName name="FDD_67_3">"A31777"</definedName>
    <definedName name="FDD_67_4">"A32142"</definedName>
    <definedName name="FDD_67_5">"A32508"</definedName>
    <definedName name="FDD_67_6">"A32873"</definedName>
    <definedName name="FDD_67_7">"A33238"</definedName>
    <definedName name="FDD_67_8">"A33603"</definedName>
    <definedName name="FDD_67_9">"A33969"</definedName>
    <definedName name="FDD_68_0">"A30681"</definedName>
    <definedName name="FDD_68_1">"A31047"</definedName>
    <definedName name="FDD_68_10">"A34334"</definedName>
    <definedName name="FDD_68_11">"A34699"</definedName>
    <definedName name="FDD_68_12">"A35064"</definedName>
    <definedName name="FDD_68_13">"A35430"</definedName>
    <definedName name="FDD_68_14">"A35795"</definedName>
    <definedName name="FDD_68_2">"A31412"</definedName>
    <definedName name="FDD_68_3">"A31777"</definedName>
    <definedName name="FDD_68_4">"A32142"</definedName>
    <definedName name="FDD_68_5">"A32508"</definedName>
    <definedName name="FDD_68_6">"A32873"</definedName>
    <definedName name="FDD_68_7">"A33238"</definedName>
    <definedName name="FDD_68_8">"A33603"</definedName>
    <definedName name="FDD_68_9">"A33969"</definedName>
    <definedName name="FDD_69_0">"U30681"</definedName>
    <definedName name="FDD_69_1">"A31047"</definedName>
    <definedName name="FDD_69_10">"A34334"</definedName>
    <definedName name="FDD_69_11">"A34699"</definedName>
    <definedName name="FDD_69_12">"A35064"</definedName>
    <definedName name="FDD_69_13">"A35430"</definedName>
    <definedName name="FDD_69_14">"A35795"</definedName>
    <definedName name="FDD_69_2">"A31412"</definedName>
    <definedName name="FDD_69_3">"A31777"</definedName>
    <definedName name="FDD_69_4">"A32142"</definedName>
    <definedName name="FDD_69_5">"A32508"</definedName>
    <definedName name="FDD_69_6">"A32873"</definedName>
    <definedName name="FDD_69_7">"A33238"</definedName>
    <definedName name="FDD_69_8">"A33603"</definedName>
    <definedName name="FDD_69_9">"A33969"</definedName>
    <definedName name="FDD_7_0">"A25569"</definedName>
    <definedName name="FDD_70_0">"A30681"</definedName>
    <definedName name="FDD_70_1">"A31047"</definedName>
    <definedName name="FDD_70_10">"A34334"</definedName>
    <definedName name="FDD_70_11">"A34699"</definedName>
    <definedName name="FDD_70_12">"A35064"</definedName>
    <definedName name="FDD_70_13">"A35430"</definedName>
    <definedName name="FDD_70_14">"A35795"</definedName>
    <definedName name="FDD_70_2">"A31412"</definedName>
    <definedName name="FDD_70_3">"A31777"</definedName>
    <definedName name="FDD_70_4">"A32142"</definedName>
    <definedName name="FDD_70_5">"A32508"</definedName>
    <definedName name="FDD_70_6">"A32873"</definedName>
    <definedName name="FDD_70_7">"A33238"</definedName>
    <definedName name="FDD_70_8">"A33603"</definedName>
    <definedName name="FDD_70_9">"A33969"</definedName>
    <definedName name="FDD_71_0">"A30681"</definedName>
    <definedName name="FDD_71_1">"A31047"</definedName>
    <definedName name="FDD_71_10">"A34334"</definedName>
    <definedName name="FDD_71_11">"A34699"</definedName>
    <definedName name="FDD_71_12">"A35064"</definedName>
    <definedName name="FDD_71_13">"A35430"</definedName>
    <definedName name="FDD_71_14">"A35795"</definedName>
    <definedName name="FDD_71_2">"A31412"</definedName>
    <definedName name="FDD_71_3">"A31777"</definedName>
    <definedName name="FDD_71_4">"A32142"</definedName>
    <definedName name="FDD_71_5">"A32508"</definedName>
    <definedName name="FDD_71_6">"A32873"</definedName>
    <definedName name="FDD_71_7">"A33238"</definedName>
    <definedName name="FDD_71_8">"A33603"</definedName>
    <definedName name="FDD_71_9">"A33969"</definedName>
    <definedName name="FDD_72_0">"A30681"</definedName>
    <definedName name="FDD_72_1">"A31047"</definedName>
    <definedName name="FDD_72_10">"A34334"</definedName>
    <definedName name="FDD_72_11">"A34699"</definedName>
    <definedName name="FDD_72_12">"A35064"</definedName>
    <definedName name="FDD_72_13">"A35430"</definedName>
    <definedName name="FDD_72_14">"A35795"</definedName>
    <definedName name="FDD_72_2">"A31412"</definedName>
    <definedName name="FDD_72_3">"A31777"</definedName>
    <definedName name="FDD_72_4">"A32142"</definedName>
    <definedName name="FDD_72_5">"A32508"</definedName>
    <definedName name="FDD_72_6">"A32873"</definedName>
    <definedName name="FDD_72_7">"A33238"</definedName>
    <definedName name="FDD_72_8">"A33603"</definedName>
    <definedName name="FDD_72_9">"A33969"</definedName>
    <definedName name="FDD_73_0">"A30681"</definedName>
    <definedName name="FDD_73_1">"A31047"</definedName>
    <definedName name="FDD_73_10">"A34334"</definedName>
    <definedName name="FDD_73_11">"A34699"</definedName>
    <definedName name="FDD_73_12">"A35064"</definedName>
    <definedName name="FDD_73_13">"A35430"</definedName>
    <definedName name="FDD_73_14">"A35795"</definedName>
    <definedName name="FDD_73_2">"A31412"</definedName>
    <definedName name="FDD_73_3">"A31777"</definedName>
    <definedName name="FDD_73_4">"A32142"</definedName>
    <definedName name="FDD_73_5">"A32508"</definedName>
    <definedName name="FDD_73_6">"A32873"</definedName>
    <definedName name="FDD_73_7">"A33238"</definedName>
    <definedName name="FDD_73_8">"A33603"</definedName>
    <definedName name="FDD_73_9">"A33969"</definedName>
    <definedName name="FDD_74_0">"A30681"</definedName>
    <definedName name="FDD_74_1">"A31047"</definedName>
    <definedName name="FDD_74_10">"A34334"</definedName>
    <definedName name="FDD_74_11">"A34699"</definedName>
    <definedName name="FDD_74_12">"A35064"</definedName>
    <definedName name="FDD_74_13">"A35430"</definedName>
    <definedName name="FDD_74_14">"A35795"</definedName>
    <definedName name="FDD_74_2">"A31412"</definedName>
    <definedName name="FDD_74_3">"A31777"</definedName>
    <definedName name="FDD_74_4">"A32142"</definedName>
    <definedName name="FDD_74_5">"A32508"</definedName>
    <definedName name="FDD_74_6">"A32873"</definedName>
    <definedName name="FDD_74_7">"A33238"</definedName>
    <definedName name="FDD_74_8">"A33603"</definedName>
    <definedName name="FDD_74_9">"A33969"</definedName>
    <definedName name="FDD_75_0">"A30681"</definedName>
    <definedName name="FDD_75_1">"A31047"</definedName>
    <definedName name="FDD_75_10">"A34334"</definedName>
    <definedName name="FDD_75_11">"A34699"</definedName>
    <definedName name="FDD_75_12">"A35064"</definedName>
    <definedName name="FDD_75_13">"A35430"</definedName>
    <definedName name="FDD_75_14">"A35795"</definedName>
    <definedName name="FDD_75_2">"A31412"</definedName>
    <definedName name="FDD_75_3">"A31777"</definedName>
    <definedName name="FDD_75_4">"A32142"</definedName>
    <definedName name="FDD_75_5">"A32508"</definedName>
    <definedName name="FDD_75_6">"A32873"</definedName>
    <definedName name="FDD_75_7">"A33238"</definedName>
    <definedName name="FDD_75_8">"A33603"</definedName>
    <definedName name="FDD_75_9">"A33969"</definedName>
    <definedName name="FDD_76_0">"A30681"</definedName>
    <definedName name="FDD_76_1">"A31047"</definedName>
    <definedName name="FDD_76_10">"A34334"</definedName>
    <definedName name="FDD_76_11">"A34699"</definedName>
    <definedName name="FDD_76_12">"A35064"</definedName>
    <definedName name="FDD_76_13">"A35430"</definedName>
    <definedName name="FDD_76_14">"A35795"</definedName>
    <definedName name="FDD_76_2">"A31412"</definedName>
    <definedName name="FDD_76_3">"A31777"</definedName>
    <definedName name="FDD_76_4">"A32142"</definedName>
    <definedName name="FDD_76_5">"A32508"</definedName>
    <definedName name="FDD_76_6">"A32873"</definedName>
    <definedName name="FDD_76_7">"A33238"</definedName>
    <definedName name="FDD_76_8">"A33603"</definedName>
    <definedName name="FDD_76_9">"A33969"</definedName>
    <definedName name="FDD_77_0">"A30681"</definedName>
    <definedName name="FDD_77_1">"A31047"</definedName>
    <definedName name="FDD_77_10">"A34334"</definedName>
    <definedName name="FDD_77_11">"A34699"</definedName>
    <definedName name="FDD_77_12">"A35064"</definedName>
    <definedName name="FDD_77_13">"A35430"</definedName>
    <definedName name="FDD_77_14">"A35795"</definedName>
    <definedName name="FDD_77_2">"A31412"</definedName>
    <definedName name="FDD_77_3">"A31777"</definedName>
    <definedName name="FDD_77_4">"A32142"</definedName>
    <definedName name="FDD_77_5">"A32508"</definedName>
    <definedName name="FDD_77_6">"A32873"</definedName>
    <definedName name="FDD_77_7">"A33238"</definedName>
    <definedName name="FDD_77_8">"A33603"</definedName>
    <definedName name="FDD_77_9">"A33969"</definedName>
    <definedName name="FDD_78_0">"A30681"</definedName>
    <definedName name="FDD_78_1">"A31047"</definedName>
    <definedName name="FDD_78_10">"A34334"</definedName>
    <definedName name="FDD_78_11">"A34699"</definedName>
    <definedName name="FDD_78_12">"A35064"</definedName>
    <definedName name="FDD_78_13">"A35430"</definedName>
    <definedName name="FDD_78_14">"A35795"</definedName>
    <definedName name="FDD_78_2">"A31412"</definedName>
    <definedName name="FDD_78_3">"A31777"</definedName>
    <definedName name="FDD_78_4">"A32142"</definedName>
    <definedName name="FDD_78_5">"A32508"</definedName>
    <definedName name="FDD_78_6">"A32873"</definedName>
    <definedName name="FDD_78_7">"A33238"</definedName>
    <definedName name="FDD_78_8">"A33603"</definedName>
    <definedName name="FDD_78_9">"A33969"</definedName>
    <definedName name="FDD_79_0">"A30681"</definedName>
    <definedName name="FDD_79_1">"A31047"</definedName>
    <definedName name="FDD_79_10">"A34334"</definedName>
    <definedName name="FDD_79_11">"A34699"</definedName>
    <definedName name="FDD_79_12">"A35064"</definedName>
    <definedName name="FDD_79_13">"A35430"</definedName>
    <definedName name="FDD_79_14">"A35795"</definedName>
    <definedName name="FDD_79_2">"A31412"</definedName>
    <definedName name="FDD_79_3">"A31777"</definedName>
    <definedName name="FDD_79_4">"A32142"</definedName>
    <definedName name="FDD_79_5">"A32508"</definedName>
    <definedName name="FDD_79_6">"A32873"</definedName>
    <definedName name="FDD_79_7">"A33238"</definedName>
    <definedName name="FDD_79_8">"A33603"</definedName>
    <definedName name="FDD_79_9">"A33969"</definedName>
    <definedName name="FDD_8_0">"A25569"</definedName>
    <definedName name="FDD_80_0">"A30681"</definedName>
    <definedName name="FDD_80_1">"A31047"</definedName>
    <definedName name="FDD_80_10">"A34334"</definedName>
    <definedName name="FDD_80_11">"A34699"</definedName>
    <definedName name="FDD_80_12">"A35064"</definedName>
    <definedName name="FDD_80_13">"A35430"</definedName>
    <definedName name="FDD_80_14">"A35795"</definedName>
    <definedName name="FDD_80_2">"A31412"</definedName>
    <definedName name="FDD_80_3">"A31777"</definedName>
    <definedName name="FDD_80_4">"A32142"</definedName>
    <definedName name="FDD_80_5">"A32508"</definedName>
    <definedName name="FDD_80_6">"A32873"</definedName>
    <definedName name="FDD_80_7">"A33238"</definedName>
    <definedName name="FDD_80_8">"A33603"</definedName>
    <definedName name="FDD_80_9">"A33969"</definedName>
    <definedName name="FDD_81_0">"A30681"</definedName>
    <definedName name="FDD_81_1">"A31047"</definedName>
    <definedName name="FDD_81_10">"A34334"</definedName>
    <definedName name="FDD_81_11">"A34699"</definedName>
    <definedName name="FDD_81_12">"A35064"</definedName>
    <definedName name="FDD_81_13">"A35430"</definedName>
    <definedName name="FDD_81_14">"A35795"</definedName>
    <definedName name="FDD_81_2">"A31412"</definedName>
    <definedName name="FDD_81_3">"A31777"</definedName>
    <definedName name="FDD_81_4">"A32142"</definedName>
    <definedName name="FDD_81_5">"A32508"</definedName>
    <definedName name="FDD_81_6">"A32873"</definedName>
    <definedName name="FDD_81_7">"A33238"</definedName>
    <definedName name="FDD_81_8">"A33603"</definedName>
    <definedName name="FDD_81_9">"A33969"</definedName>
    <definedName name="FDD_82_0">"A30681"</definedName>
    <definedName name="FDD_82_1">"A31047"</definedName>
    <definedName name="FDD_82_10">"A34334"</definedName>
    <definedName name="FDD_82_11">"A34699"</definedName>
    <definedName name="FDD_82_12">"A35064"</definedName>
    <definedName name="FDD_82_13">"A35430"</definedName>
    <definedName name="FDD_82_14">"A35795"</definedName>
    <definedName name="FDD_82_2">"A31412"</definedName>
    <definedName name="FDD_82_3">"A31777"</definedName>
    <definedName name="FDD_82_4">"A32142"</definedName>
    <definedName name="FDD_82_5">"A32508"</definedName>
    <definedName name="FDD_82_6">"A32873"</definedName>
    <definedName name="FDD_82_7">"A33238"</definedName>
    <definedName name="FDD_82_8">"A33603"</definedName>
    <definedName name="FDD_82_9">"A33969"</definedName>
    <definedName name="FDD_83_0">"A30681"</definedName>
    <definedName name="FDD_83_1">"A31047"</definedName>
    <definedName name="FDD_83_10">"A34334"</definedName>
    <definedName name="FDD_83_11">"A34699"</definedName>
    <definedName name="FDD_83_12">"A35064"</definedName>
    <definedName name="FDD_83_13">"A35430"</definedName>
    <definedName name="FDD_83_14">"A35795"</definedName>
    <definedName name="FDD_83_2">"A31412"</definedName>
    <definedName name="FDD_83_3">"A31777"</definedName>
    <definedName name="FDD_83_4">"A32142"</definedName>
    <definedName name="FDD_83_5">"A32508"</definedName>
    <definedName name="FDD_83_6">"A32873"</definedName>
    <definedName name="FDD_83_7">"A33238"</definedName>
    <definedName name="FDD_83_8">"A33603"</definedName>
    <definedName name="FDD_83_9">"A33969"</definedName>
    <definedName name="FDD_84_0">"A30681"</definedName>
    <definedName name="FDD_84_1">"A31047"</definedName>
    <definedName name="FDD_84_10">"A34334"</definedName>
    <definedName name="FDD_84_11">"A34699"</definedName>
    <definedName name="FDD_84_12">"A35064"</definedName>
    <definedName name="FDD_84_13">"A35430"</definedName>
    <definedName name="FDD_84_14">"A35795"</definedName>
    <definedName name="FDD_84_2">"A31412"</definedName>
    <definedName name="FDD_84_3">"A31777"</definedName>
    <definedName name="FDD_84_4">"A32142"</definedName>
    <definedName name="FDD_84_5">"A32508"</definedName>
    <definedName name="FDD_84_6">"A32873"</definedName>
    <definedName name="FDD_84_7">"A33238"</definedName>
    <definedName name="FDD_84_8">"A33603"</definedName>
    <definedName name="FDD_84_9">"A33969"</definedName>
    <definedName name="FDD_85_0">"A30681"</definedName>
    <definedName name="FDD_85_1">"A31047"</definedName>
    <definedName name="FDD_85_10">"A34334"</definedName>
    <definedName name="FDD_85_11">"A34699"</definedName>
    <definedName name="FDD_85_12">"A35064"</definedName>
    <definedName name="FDD_85_13">"A35430"</definedName>
    <definedName name="FDD_85_14">"A35795"</definedName>
    <definedName name="FDD_85_2">"A31412"</definedName>
    <definedName name="FDD_85_3">"A31777"</definedName>
    <definedName name="FDD_85_4">"A32142"</definedName>
    <definedName name="FDD_85_5">"A32508"</definedName>
    <definedName name="FDD_85_6">"A32873"</definedName>
    <definedName name="FDD_85_7">"A33238"</definedName>
    <definedName name="FDD_85_8">"A33603"</definedName>
    <definedName name="FDD_85_9">"A33969"</definedName>
    <definedName name="FDD_86_0">"A30681"</definedName>
    <definedName name="FDD_86_1">"A31047"</definedName>
    <definedName name="FDD_86_10">"A34334"</definedName>
    <definedName name="FDD_86_11">"A34699"</definedName>
    <definedName name="FDD_86_12">"A35064"</definedName>
    <definedName name="FDD_86_13">"A35430"</definedName>
    <definedName name="FDD_86_14">"A35795"</definedName>
    <definedName name="FDD_86_2">"A31412"</definedName>
    <definedName name="FDD_86_3">"A31777"</definedName>
    <definedName name="FDD_86_4">"A32142"</definedName>
    <definedName name="FDD_86_5">"A32508"</definedName>
    <definedName name="FDD_86_6">"A32873"</definedName>
    <definedName name="FDD_86_7">"A33238"</definedName>
    <definedName name="FDD_86_8">"A33603"</definedName>
    <definedName name="FDD_86_9">"A33969"</definedName>
    <definedName name="FDD_87_0">"A30681"</definedName>
    <definedName name="FDD_87_1">"A31047"</definedName>
    <definedName name="FDD_87_10">"A34334"</definedName>
    <definedName name="FDD_87_11">"A34699"</definedName>
    <definedName name="FDD_87_12">"A35064"</definedName>
    <definedName name="FDD_87_13">"A35430"</definedName>
    <definedName name="FDD_87_14">"A35795"</definedName>
    <definedName name="FDD_87_2">"A31412"</definedName>
    <definedName name="FDD_87_3">"A31777"</definedName>
    <definedName name="FDD_87_4">"A32142"</definedName>
    <definedName name="FDD_87_5">"A32508"</definedName>
    <definedName name="FDD_87_6">"A32873"</definedName>
    <definedName name="FDD_87_7">"A33238"</definedName>
    <definedName name="FDD_87_8">"A33603"</definedName>
    <definedName name="FDD_87_9">"A33969"</definedName>
    <definedName name="FDD_88_0">"A30681"</definedName>
    <definedName name="FDD_88_1">"A31047"</definedName>
    <definedName name="FDD_88_10">"A34334"</definedName>
    <definedName name="FDD_88_11">"A34699"</definedName>
    <definedName name="FDD_88_12">"A35064"</definedName>
    <definedName name="FDD_88_13">"A35430"</definedName>
    <definedName name="FDD_88_14">"A35795"</definedName>
    <definedName name="FDD_88_2">"A31412"</definedName>
    <definedName name="FDD_88_3">"A31777"</definedName>
    <definedName name="FDD_88_4">"A32142"</definedName>
    <definedName name="FDD_88_5">"A32508"</definedName>
    <definedName name="FDD_88_6">"A32873"</definedName>
    <definedName name="FDD_88_7">"A33238"</definedName>
    <definedName name="FDD_88_8">"A33603"</definedName>
    <definedName name="FDD_88_9">"A33969"</definedName>
    <definedName name="FDD_89_0">"A30681"</definedName>
    <definedName name="FDD_89_1">"A31047"</definedName>
    <definedName name="FDD_89_10">"A34334"</definedName>
    <definedName name="FDD_89_11">"A34699"</definedName>
    <definedName name="FDD_89_12">"A35064"</definedName>
    <definedName name="FDD_89_13">"A35430"</definedName>
    <definedName name="FDD_89_14">"A35795"</definedName>
    <definedName name="FDD_89_2">"A31412"</definedName>
    <definedName name="FDD_89_3">"A31777"</definedName>
    <definedName name="FDD_89_4">"A32142"</definedName>
    <definedName name="FDD_89_5">"A32508"</definedName>
    <definedName name="FDD_89_6">"A32873"</definedName>
    <definedName name="FDD_89_7">"A33238"</definedName>
    <definedName name="FDD_89_8">"A33603"</definedName>
    <definedName name="FDD_89_9">"A33969"</definedName>
    <definedName name="FDD_9_0">"A25569"</definedName>
    <definedName name="FDD_90_0">"A30681"</definedName>
    <definedName name="FDD_90_1">"A31047"</definedName>
    <definedName name="FDD_90_10">"A34334"</definedName>
    <definedName name="FDD_90_11">"A34699"</definedName>
    <definedName name="FDD_90_12">"A35064"</definedName>
    <definedName name="FDD_90_13">"A35430"</definedName>
    <definedName name="FDD_90_14">"A35795"</definedName>
    <definedName name="FDD_90_2">"A31412"</definedName>
    <definedName name="FDD_90_3">"A31777"</definedName>
    <definedName name="FDD_90_4">"A32142"</definedName>
    <definedName name="FDD_90_5">"A32508"</definedName>
    <definedName name="FDD_90_6">"A32873"</definedName>
    <definedName name="FDD_90_7">"A33238"</definedName>
    <definedName name="FDD_90_8">"A33603"</definedName>
    <definedName name="FDD_90_9">"A33969"</definedName>
    <definedName name="FDD_91_0">"A30681"</definedName>
    <definedName name="FDD_91_1">"A31047"</definedName>
    <definedName name="FDD_91_10">"A34334"</definedName>
    <definedName name="FDD_91_11">"A34699"</definedName>
    <definedName name="FDD_91_12">"A35064"</definedName>
    <definedName name="FDD_91_13">"A35430"</definedName>
    <definedName name="FDD_91_14">"A35795"</definedName>
    <definedName name="FDD_91_2">"A31412"</definedName>
    <definedName name="FDD_91_3">"A31777"</definedName>
    <definedName name="FDD_91_4">"A32142"</definedName>
    <definedName name="FDD_91_5">"A32508"</definedName>
    <definedName name="FDD_91_6">"A32873"</definedName>
    <definedName name="FDD_91_7">"A33238"</definedName>
    <definedName name="FDD_91_8">"A33603"</definedName>
    <definedName name="FDD_91_9">"A33969"</definedName>
    <definedName name="FDD_92_0">"A30681"</definedName>
    <definedName name="FDD_92_1">"A31047"</definedName>
    <definedName name="FDD_92_10">"A34334"</definedName>
    <definedName name="FDD_92_11">"A34699"</definedName>
    <definedName name="FDD_92_12">"A35064"</definedName>
    <definedName name="FDD_92_13">"A35430"</definedName>
    <definedName name="FDD_92_14">"A35795"</definedName>
    <definedName name="FDD_92_2">"A31412"</definedName>
    <definedName name="FDD_92_3">"A31777"</definedName>
    <definedName name="FDD_92_4">"A32142"</definedName>
    <definedName name="FDD_92_5">"A32508"</definedName>
    <definedName name="FDD_92_6">"A32873"</definedName>
    <definedName name="FDD_92_7">"A33238"</definedName>
    <definedName name="FDD_92_8">"A33603"</definedName>
    <definedName name="FDD_92_9">"A33969"</definedName>
    <definedName name="FDD_93_0">"A30681"</definedName>
    <definedName name="FDD_93_1">"A31047"</definedName>
    <definedName name="FDD_93_10">"A34334"</definedName>
    <definedName name="FDD_93_11">"A34699"</definedName>
    <definedName name="FDD_93_12">"A35064"</definedName>
    <definedName name="FDD_93_13">"A35430"</definedName>
    <definedName name="FDD_93_14">"A35795"</definedName>
    <definedName name="FDD_93_2">"A31412"</definedName>
    <definedName name="FDD_93_3">"A31777"</definedName>
    <definedName name="FDD_93_4">"A32142"</definedName>
    <definedName name="FDD_93_5">"A32508"</definedName>
    <definedName name="FDD_93_6">"A32873"</definedName>
    <definedName name="FDD_93_7">"A33238"</definedName>
    <definedName name="FDD_93_8">"A33603"</definedName>
    <definedName name="FDD_93_9">"A33969"</definedName>
    <definedName name="FDD_94_0">"A30681"</definedName>
    <definedName name="FDD_94_1">"A31047"</definedName>
    <definedName name="FDD_94_10">"A34334"</definedName>
    <definedName name="FDD_94_11">"A34699"</definedName>
    <definedName name="FDD_94_12">"A35064"</definedName>
    <definedName name="FDD_94_13">"A35430"</definedName>
    <definedName name="FDD_94_14">"A35795"</definedName>
    <definedName name="FDD_94_2">"A31412"</definedName>
    <definedName name="FDD_94_3">"A31777"</definedName>
    <definedName name="FDD_94_4">"A32142"</definedName>
    <definedName name="FDD_94_5">"A32508"</definedName>
    <definedName name="FDD_94_6">"A32873"</definedName>
    <definedName name="FDD_94_7">"A33238"</definedName>
    <definedName name="FDD_94_8">"A33603"</definedName>
    <definedName name="FDD_94_9">"A33969"</definedName>
    <definedName name="FDD_95_0">"A30681"</definedName>
    <definedName name="FDD_95_1">"A31047"</definedName>
    <definedName name="FDD_95_10">"A34334"</definedName>
    <definedName name="FDD_95_11">"A34699"</definedName>
    <definedName name="FDD_95_12">"A35064"</definedName>
    <definedName name="FDD_95_13">"A35430"</definedName>
    <definedName name="FDD_95_14">"A35795"</definedName>
    <definedName name="FDD_95_2">"A31412"</definedName>
    <definedName name="FDD_95_3">"A31777"</definedName>
    <definedName name="FDD_95_4">"A32142"</definedName>
    <definedName name="FDD_95_5">"A32508"</definedName>
    <definedName name="FDD_95_6">"A32873"</definedName>
    <definedName name="FDD_95_7">"A33238"</definedName>
    <definedName name="FDD_95_8">"A33603"</definedName>
    <definedName name="FDD_95_9">"A33969"</definedName>
    <definedName name="FDD_96_0">"U30681"</definedName>
    <definedName name="FDD_96_1">"A31047"</definedName>
    <definedName name="FDD_96_10">"A34334"</definedName>
    <definedName name="FDD_96_11">"A34699"</definedName>
    <definedName name="FDD_96_12">"A35064"</definedName>
    <definedName name="FDD_96_13">"A35430"</definedName>
    <definedName name="FDD_96_14">"A35795"</definedName>
    <definedName name="FDD_96_2">"A31412"</definedName>
    <definedName name="FDD_96_3">"A31777"</definedName>
    <definedName name="FDD_96_4">"A32142"</definedName>
    <definedName name="FDD_96_5">"A32508"</definedName>
    <definedName name="FDD_96_6">"A32873"</definedName>
    <definedName name="FDD_96_7">"A33238"</definedName>
    <definedName name="FDD_96_8">"A33603"</definedName>
    <definedName name="FDD_96_9">"A33969"</definedName>
    <definedName name="FDD_97_0">"U30681"</definedName>
    <definedName name="FDD_97_1">"A31047"</definedName>
    <definedName name="FDD_97_10">"A34334"</definedName>
    <definedName name="FDD_97_11">"A34699"</definedName>
    <definedName name="FDD_97_12">"A35064"</definedName>
    <definedName name="FDD_97_13">"A35430"</definedName>
    <definedName name="FDD_97_14">"A35795"</definedName>
    <definedName name="FDD_97_2">"A31412"</definedName>
    <definedName name="FDD_97_3">"A31777"</definedName>
    <definedName name="FDD_97_4">"A32142"</definedName>
    <definedName name="FDD_97_5">"A32508"</definedName>
    <definedName name="FDD_97_6">"A32873"</definedName>
    <definedName name="FDD_97_7">"A33238"</definedName>
    <definedName name="FDD_97_8">"A33603"</definedName>
    <definedName name="FDD_97_9">"A33969"</definedName>
    <definedName name="FDD_98_0">"U30681"</definedName>
    <definedName name="FDD_98_1">"A31047"</definedName>
    <definedName name="FDD_98_10">"A34334"</definedName>
    <definedName name="FDD_98_11">"A34699"</definedName>
    <definedName name="FDD_98_12">"A35064"</definedName>
    <definedName name="FDD_98_13">"A35430"</definedName>
    <definedName name="FDD_98_14">"A35795"</definedName>
    <definedName name="FDD_98_2">"A31412"</definedName>
    <definedName name="FDD_98_3">"A31777"</definedName>
    <definedName name="FDD_98_4">"A32142"</definedName>
    <definedName name="FDD_98_5">"A32508"</definedName>
    <definedName name="FDD_98_6">"A32873"</definedName>
    <definedName name="FDD_98_7">"A33238"</definedName>
    <definedName name="FDD_98_8">"A33603"</definedName>
    <definedName name="FDD_98_9">"A33969"</definedName>
    <definedName name="FDD_99_0">"U30681"</definedName>
    <definedName name="FDD_99_1">"A31047"</definedName>
    <definedName name="FDD_99_10">"A34334"</definedName>
    <definedName name="FDD_99_11">"A34699"</definedName>
    <definedName name="FDD_99_12">"A35064"</definedName>
    <definedName name="FDD_99_13">"A35430"</definedName>
    <definedName name="FDD_99_14">"A35795"</definedName>
    <definedName name="FDD_99_2">"A31412"</definedName>
    <definedName name="FDD_99_3">"A31777"</definedName>
    <definedName name="FDD_99_4">"A32142"</definedName>
    <definedName name="FDD_99_5">"A32508"</definedName>
    <definedName name="FDD_99_6">"A32873"</definedName>
    <definedName name="FDD_99_7">"A33238"</definedName>
    <definedName name="FDD_99_8">"A33603"</definedName>
    <definedName name="FDD_99_9">"A33969"</definedName>
    <definedName name="ff">{#N/A,#N/A,TRUE,"Summary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FFF">{"REP1",#N/A,FALSE,"ריכוז";"REP2",#N/A,FALSE,"מפורט1";"REP3",#N/A,FALSE,"מפורט1";"REP4",#N/A,FALSE,"מפורט2";"REP5",#N/A,FALSE,"מפורט2";"REP6",#N/A,FALSE,"מפורט2"}</definedName>
    <definedName name="FIMeXToEUR">#REF!</definedName>
    <definedName name="financial">{#N/A,#N/A,FALSE,"Summary";#N/A,#N/A,FALSE,"Projections";#N/A,#N/A,FALSE,"Mkt Mults";#N/A,#N/A,FALSE,"DCF";#N/A,#N/A,FALSE,"Accr Dil";#N/A,#N/A,FALSE,"PIC LBO";#N/A,#N/A,FALSE,"MULT10_4";#N/A,#N/A,FALSE,"CBI LBO"}</definedName>
    <definedName name="FINANCING_CASH">"FINANCING_CASH"</definedName>
    <definedName name="FOREIGN_EXCHANGE">"FOREIGN_EXCHANGE"</definedName>
    <definedName name="fre">{"FY98Q1 var",#N/A,FALSE,"FY98 - Q1";"FY98Q2 var",#N/A,FALSE,"FY98 - Q2";"FY98Q3 var",#N/A,FALSE,"FY98 - Q3";"FY98Q4 var",#N/A,FALSE,"FY98 - Q4"}</definedName>
    <definedName name="FRFeXToEUR">#REF!</definedName>
    <definedName name="FY_DATE">"FY_DATE"</definedName>
    <definedName name="GAIN_SALE_ASSETS">"GAIN_SALE_ASSETS"</definedName>
    <definedName name="GeelCapexFcst">{#N/A,#N/A,FALSE,"SUMMARY";#N/A,#N/A,FALSE,"mcsh";#N/A,#N/A,FALSE,"vol&amp;rev";#N/A,#N/A,FALSE,"wkgcap";#N/A,#N/A,FALSE,"DEPR&amp;DT";#N/A,#N/A,FALSE,"ASSETS";#N/A,#N/A,FALSE,"NI&amp;OTH&amp;DIV";#N/A,#N/A,FALSE,"CASHFLOW";#N/A,#N/A,FALSE,"CAPEMPL";#N/A,#N/A,FALSE,"ROCE"}</definedName>
    <definedName name="gfa">{"FY98Q1 nvs",#N/A,FALSE,"FY98 - Q1";"FY98Q2 nvs",#N/A,FALSE,"FY98 - Q2";"FY98Q3 nvs",#N/A,FALSE,"FY98 - Q3";"FY98Q4 nvs",#N/A,FALSE,"FY98 - Q4"}</definedName>
    <definedName name="ggfgf">{#N/A,#N/A,FALSE,"Tab 5 - Budget Statement";#N/A,#N/A,FALSE,"Tab 4 - Financial Worksheet";#N/A,#N/A,FALSE,"Tab 1 - Resource Worksheet";#N/A,#N/A,FALSE,"Tab 2 - Educ-Travel-Ent";#N/A,#N/A,FALSE,"Tab 3 - Hardware-Software"}</definedName>
    <definedName name="ghggg">#REF!</definedName>
    <definedName name="ghi">{"510 Opex",#N/A,FALSE,"510";"520 Opex",#N/A,FALSE,"520";"UK Cons Opex",#N/A,FALSE,"Consulting-UK";"522 Opex",#N/A,FALSE,"522";"530 Opex",#N/A,FALSE,"530";"600 Opex",#N/A,FALSE,"600";"601 Opex",#N/A,FALSE,"601";"603 Opex",#N/A,FALSE,"603";"610 Opex",#N/A,FALSE,"610";"UK Sales Opex",#N/A,FALSE,"Sales-UK";"640 Opex",#N/A,FALSE,"640";"642 Opex",#N/A,FALSE,"642";"UK Mktg Opex",#N/A,FALSE,"Marketing - UK";"650 Opex",#N/A,FALSE,"650";"700 Opex",#N/A,FALSE,"700";"710 Opex",#N/A,FALSE,"710";"715 Opex",#N/A,FALSE,"715(DCS)";"720 Opex",#N/A,FALSE,"720(QA)";"800 Opex",#N/A,FALSE,"800";"810 Opex",#N/A,FALSE,"810";"820 Opex",#N/A,FALSE,"820";"830 Opex",#N/A,FALSE,"830";"850 Opex",#N/A,FALSE,"850";"851 Opex",#N/A,FALSE,"851";"Fringe Opex",#N/A,FALSE,"Fringe-825"}</definedName>
    <definedName name="GIGI">{"FY98Q1",#N/A,FALSE,"FY98 - Q1";"FY98Q2",#N/A,FALSE,"FY98 - Q2";"FY98Q3",#N/A,FALSE,"FY98 - Q3";"FY98Q4",#N/A,FALSE,"FY98 - Q4"}</definedName>
    <definedName name="GIORGIO">{"FY97Q1 var",#N/A,FALSE,"FY97 - Q1";"FY97Q2 var",#N/A,FALSE,"FY97 - Q2";"FY97Q3 var",#N/A,FALSE,"FY97 - Q3";"FY97Q4 var",#N/A,FALSE,"FY97 - Q4"}</definedName>
    <definedName name="GOODWILL_NET">"GOODWILL_NET"</definedName>
    <definedName name="GP_Sens">#REF!</definedName>
    <definedName name="GROSS_DIVID">"GROSS_DIVID"</definedName>
    <definedName name="GROSS_MARGIN">"GROSS_MARGIN"</definedName>
    <definedName name="GROSS_PROFIT">"GROSS_PROFIT"</definedName>
    <definedName name="h">#REF!</definedName>
    <definedName name="helloandgo">{#N/A,#N/A,FALSE,"Cover";#N/A,#N/A,FALSE,"Contents-Pg1";#N/A,#N/A,FALSE,"High-Com-pg2";#N/A,#N/A,FALSE,"1 Full";#N/A,#N/A,FALSE,"1chts";#N/A,#N/A,FALSE,"Table 2";#N/A,#N/A,FALSE,"3New Iss";#N/A,#N/A,FALSE,"4Money raised";#N/A,#N/A,FALSE,"5Aim";#N/A,#N/A,FALSE,"AiM charts";#N/A,#N/A,FALSE,"6FT Smll";#N/A,#N/A,FALSE,"11SEATS";#N/A,#N/A,FALSE,"12Notes"}</definedName>
    <definedName name="hherereq">#REF!</definedName>
    <definedName name="hhhhhh">#REF!</definedName>
    <definedName name="HighPrice">#REF!</definedName>
    <definedName name="hn.ExtDb">FALSE</definedName>
    <definedName name="hn.ModelType">"DEAL"</definedName>
    <definedName name="hn.ModelVersion">1</definedName>
    <definedName name="hn.NoUpload">0</definedName>
    <definedName name="hod">{#N/A,#N/A,FALSE,"TS";#N/A,#N/A,FALSE,"Combo";#N/A,#N/A,FALSE,"FAIR";#N/A,#N/A,FALSE,"RBC";#N/A,#N/A,FALSE,"xxxx";#N/A,#N/A,FALSE,"A_D";#N/A,#N/A,FALSE,"WACC";#N/A,#N/A,FALSE,"DCF";#N/A,#N/A,FALSE,"LBO";#N/A,#N/A,FALSE,"AcqMults";#N/A,#N/A,FALSE,"CompMults"}</definedName>
    <definedName name="HOMFE">{#N/A,#N/A,FALSE,"Assessment";#N/A,#N/A,FALSE,"Staffing";#N/A,#N/A,FALSE,"Hires";#N/A,#N/A,FALSE,"Assumptions"}</definedName>
    <definedName name="houy">{#N/A,#N/A,FALSE,"AD_Purchase";#N/A,#N/A,FALSE,"Credit";#N/A,#N/A,FALSE,"PF Acquisition";#N/A,#N/A,FALSE,"PF Offering"}</definedName>
    <definedName name="hppackage.xls">{"LCCOST",#N/A,FALSE,"FC-3 "}</definedName>
    <definedName name="HTML_CodePage">1255</definedName>
    <definedName name="HTML_Control">{"'גיליון1'!$W$156:$AB$173","'גיליון1'!$S$154:$AB$158"}</definedName>
    <definedName name="HTML_Description">""</definedName>
    <definedName name="HTML_Email">""</definedName>
    <definedName name="HTML_Header">"גיליון1"</definedName>
    <definedName name="HTML_LastUpdate">"23/08/98"</definedName>
    <definedName name="HTML_LineAfter">FALSE</definedName>
    <definedName name="HTML_LineBefore">FALSE</definedName>
    <definedName name="HTML_Name">"Nathan Sharon"</definedName>
    <definedName name="HTML_OBDlg2">TRUE</definedName>
    <definedName name="HTML_OBDlg4">TRUE</definedName>
    <definedName name="HTML_OS">0</definedName>
    <definedName name="HTML_PathFile">"A:\MyHTML.htm"</definedName>
    <definedName name="HTML_PathFileMac">"Macintosh HD:HomePageStuff:New_Home_Page:datafile:ctryprem.html"</definedName>
    <definedName name="HTML_Title">"MONTHLY COST DEC.1998"</definedName>
    <definedName name="hu">{#N/A,#N/A,TRUE,"Summary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EPeXToEUR">#REF!</definedName>
    <definedName name="IGIENE">{"FY97Total var",#N/A,FALSE,"FY97 - Total";"FY98Total var",#N/A,FALSE,"FY98 - Total"}</definedName>
    <definedName name="iiiii">{#N/A,#N/A,TRUE,"Summary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iiiiiiiiiii">{#N/A,#N/A,TRUE,"Summary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iiiiiiiiiiiiiiiiiiiiiiiiiiiiiii">{#N/A,#N/A,TRUE,"Summary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NC_AFTER_TAX">"INC_AFTER_TAX"</definedName>
    <definedName name="INC_AVAIL_EXCL">"INC_AVAIL_EXCL"</definedName>
    <definedName name="INC_AVAIL_INCL">"INC_AVAIL_INCL"</definedName>
    <definedName name="INC_BEFORE_TAX">"INC_BEFORE_TAX"</definedName>
    <definedName name="INC_TAX">"INC_TAX"</definedName>
    <definedName name="INC_TAX_EXCL">"INC_TAX_EXCL"</definedName>
    <definedName name="InstallAndroid">OFFSET(#REF!,0,0,1,COUNTIF(#REF!,"&gt;0"))</definedName>
    <definedName name="InstalliOS">OFFSET(#REF!,0,0,1,COUNTIF(#REF!,"&gt;0"))</definedName>
    <definedName name="INTANGIBLES_NET">"INTANGIBLES_NET"</definedName>
    <definedName name="INTEREST_EXP_NET">"INTEREST_EXP_NET"</definedName>
    <definedName name="INTEREST_EXP_NON">"INTEREST_EXP_NON"</definedName>
    <definedName name="INTEREST_EXP_SUPPL">"INTEREST_EXP_SUPPL"</definedName>
    <definedName name="INTEREST_INC">"INTEREST_INC"</definedName>
    <definedName name="INTEREST_INC_10K">"INTEREST_INC_10K"</definedName>
    <definedName name="INTEREST_INC_10Q">"INTEREST_INC_10Q"</definedName>
    <definedName name="INTEREST_INC_10Q1">"INTEREST_INC_10Q1"</definedName>
    <definedName name="INTEREST_INC_NON">"INTEREST_INC_NON"</definedName>
    <definedName name="INTL_VAT">#REF!</definedName>
    <definedName name="Inventory">{#N/A,#N/A,TRUE,"Summary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NVENTORY_TURNS">"INVENTORY_TURNS"</definedName>
    <definedName name="IQ_1_4_FAMILY_JUNIOR_LIENS_CHARGE_OFFS_FDIC">"c6605"</definedName>
    <definedName name="IQ_1_4_FAMILY_JUNIOR_LIENS_NET_CHARGE_OFFS_FDIC">"c6643"</definedName>
    <definedName name="IQ_1_4_FAMILY_JUNIOR_LIENS_RECOVERIES_FDIC">"c6624"</definedName>
    <definedName name="IQ_1_4_FAMILY_RES_DOM_FFIEC">"c15269"</definedName>
    <definedName name="IQ_1_4_FAMILY_SENIOR_LIENS_CHARGE_OFFS_FDIC">"c6604"</definedName>
    <definedName name="IQ_1_4_FAMILY_SENIOR_LIENS_NET_CHARGE_OFFS_FDIC">"c6642"</definedName>
    <definedName name="IQ_1_4_FAMILY_SENIOR_LIENS_RECOVERIES_FDIC">"c6623"</definedName>
    <definedName name="IQ_1_4_HOME_EQUITY_NET_LOANS_FDIC">"c6441"</definedName>
    <definedName name="IQ_1_4_RESIDENTIAL_FIRST_LIENS_NET_LOANS_FDIC">"c6439"</definedName>
    <definedName name="IQ_1_4_RESIDENTIAL_JUNIOR_LIENS_NET_LOANS_FDIC">"c6440"</definedName>
    <definedName name="IQ_1_4_RESIDENTIAL_LOANS_FDIC">"c6310"</definedName>
    <definedName name="IQ_ACCEPTANCES_OTHER_FOREIGN_BANKS_LL_REC_FFIEC">"c15293"</definedName>
    <definedName name="IQ_ACCEPTANCES_OTHER_US_BANKS_LL_REC_FFIEC">"c15292"</definedName>
    <definedName name="IQ_ACQUIRED_BY_REPORTING_BANK_FDIC">"c6535"</definedName>
    <definedName name="IQ_ADDIN">"AUTO"</definedName>
    <definedName name="IQ_ADDITIONAL_NON_INT_INC_FDIC">"c6574"</definedName>
    <definedName name="IQ_ADDITIONS_NON_ACCRUAL_ASSET_DURING_QTR_FFIEC">"c15349"</definedName>
    <definedName name="IQ_ADJUSTABLE_RATE_LOANS_FDIC">"c6375"</definedName>
    <definedName name="IQ_AE_BR">"c10"</definedName>
    <definedName name="IQ_AFTER_TAX_INCOME_FDIC">"c6583"</definedName>
    <definedName name="IQ_AG_PROD_FARM_LOANS_DOM_QUARTERLY_AVG_FFIEC">"c15477"</definedName>
    <definedName name="IQ_AGRICULTURAL_PRODUCTION_CHARGE_OFFS_FDIC">"c6597"</definedName>
    <definedName name="IQ_AGRICULTURAL_PRODUCTION_CHARGE_OFFS_LESS_THAN_300M_FDIC">"c6655"</definedName>
    <definedName name="IQ_AGRICULTURAL_PRODUCTION_NET_CHARGE_OFFS_FDIC">"c6635"</definedName>
    <definedName name="IQ_AGRICULTURAL_PRODUCTION_NET_CHARGE_OFFS_LESS_THAN_300M_FDIC">"c6657"</definedName>
    <definedName name="IQ_AGRICULTURAL_PRODUCTION_RECOVERIES_FDIC">"c6616"</definedName>
    <definedName name="IQ_AGRICULTURAL_PRODUCTION_RECOVERIES_LESS_THAN_300M_FDIC">"c6656"</definedName>
    <definedName name="IQ_ALL_OTHER_DEPOSITS_FOREIGN_DEP_FFIEC">"c15347"</definedName>
    <definedName name="IQ_ALL_OTHER_INVEST_UNCONSOL_SUBS_FFIEC">"c15275"</definedName>
    <definedName name="IQ_AMENDED_BALANCE_PREVIOUS_YR_FDIC">"c6499"</definedName>
    <definedName name="IQ_AMORT_EXPENSE_FDIC">"c6677"</definedName>
    <definedName name="IQ_AMORTIZED_COST_FDIC">"c6426"</definedName>
    <definedName name="IQ_AP_BR">"c34"</definedName>
    <definedName name="IQ_AR_BR">"c41"</definedName>
    <definedName name="IQ_ASSET_BACKED_FDIC">"c6301"</definedName>
    <definedName name="IQ_ASSET_WRITEDOWN_BR">"c50"</definedName>
    <definedName name="IQ_ASSET_WRITEDOWN_CF_BR">"c53"</definedName>
    <definedName name="IQ_ASSETS_HELD_FDIC">"c6305"</definedName>
    <definedName name="IQ_ASSETS_PER_EMPLOYEE_FDIC">"c6737"</definedName>
    <definedName name="IQ_ASSETS_SOLD_1_4_FAMILY_LOANS_FDIC">"c6686"</definedName>
    <definedName name="IQ_ASSETS_SOLD_AUTO_LOANS_FDIC">"c6680"</definedName>
    <definedName name="IQ_ASSETS_SOLD_CL_LOANS_FDIC">"c6681"</definedName>
    <definedName name="IQ_ASSETS_SOLD_CREDIT_CARDS_RECEIVABLES_FDIC">"c6683"</definedName>
    <definedName name="IQ_ASSETS_SOLD_HOME_EQUITY_LINES_FDIC">"c6684"</definedName>
    <definedName name="IQ_ASSETS_SOLD_OTHER_CONSUMER_LOANS_FDIC">"c6682"</definedName>
    <definedName name="IQ_ASSETS_SOLD_OTHER_LOANS_FDIC">"c6685"</definedName>
    <definedName name="IQ_AVAIL_FOR_SALE_FAIR_VALUE_TOT_FFIEC">"c15399"</definedName>
    <definedName name="IQ_AVAIL_FOR_SALE_LEVEL_1_FFIEC">"c15421"</definedName>
    <definedName name="IQ_AVAIL_FOR_SALE_LEVEL_2_FFIEC">"c15434"</definedName>
    <definedName name="IQ_AVAIL_FOR_SALE_LEVEL_3_FFIEC">"c15447"</definedName>
    <definedName name="IQ_AVAILABLE_FOR_SALE_FDIC">"c6409"</definedName>
    <definedName name="IQ_AVERAGE_ASSETS_FDIC">"c6362"</definedName>
    <definedName name="IQ_AVERAGE_ASSETS_QUART_FDIC">"c6363"</definedName>
    <definedName name="IQ_AVERAGE_DEPOSITS">"c15256"</definedName>
    <definedName name="IQ_AVERAGE_EARNING_ASSETS_FDIC">"c6748"</definedName>
    <definedName name="IQ_AVERAGE_EQUITY_FDIC">"c6749"</definedName>
    <definedName name="IQ_AVERAGE_INTEREST_BEARING_DEPOSITS">"c15254"</definedName>
    <definedName name="IQ_AVERAGE_LOANS_FDIC">"c6750"</definedName>
    <definedName name="IQ_AVERAGE_LOANS_HFI">"c15251"</definedName>
    <definedName name="IQ_AVERAGE_LOANS_HFS">"c15252"</definedName>
    <definedName name="IQ_AVERAGE_NON_INTEREST_BEARING_DEPOSITS">"c15255"</definedName>
    <definedName name="IQ_AVG_PRICE_TARGET">"c82"</definedName>
    <definedName name="IQ_BALANCE_GOODS_APR_FC_UNUSED_UNUSED_UNUSED">"c8353"</definedName>
    <definedName name="IQ_BALANCE_GOODS_APR_UNUSED_UNUSED_UNUSED">"c7473"</definedName>
    <definedName name="IQ_BALANCE_GOODS_FC_UNUSED_UNUSED_UNUSED">"c7693"</definedName>
    <definedName name="IQ_BALANCE_GOODS_POP_FC_UNUSED_UNUSED_UNUSED">"c7913"</definedName>
    <definedName name="IQ_BALANCE_GOODS_POP_UNUSED_UNUSED_UNUSED">"c7033"</definedName>
    <definedName name="IQ_BALANCE_GOODS_UNUSED_UNUSED_UNUSED">"c6813"</definedName>
    <definedName name="IQ_BALANCE_GOODS_YOY_FC_UNUSED_UNUSED_UNUSED">"c8133"</definedName>
    <definedName name="IQ_BALANCE_GOODS_YOY_UNUSED_UNUSED_UNUSED">"c7253"</definedName>
    <definedName name="IQ_BALANCE_SERV_APR_FC_UNUSED_UNUSED_UNUSED">"c8355"</definedName>
    <definedName name="IQ_BALANCE_SERV_APR_UNUSED_UNUSED_UNUSED">"c7475"</definedName>
    <definedName name="IQ_BALANCE_SERV_FC_UNUSED_UNUSED_UNUSED">"c7695"</definedName>
    <definedName name="IQ_BALANCE_SERV_POP_FC_UNUSED_UNUSED_UNUSED">"c7915"</definedName>
    <definedName name="IQ_BALANCE_SERV_POP_UNUSED_UNUSED_UNUSED">"c7035"</definedName>
    <definedName name="IQ_BALANCE_SERV_UNUSED_UNUSED_UNUSED">"c6815"</definedName>
    <definedName name="IQ_BALANCE_SERV_YOY_FC_UNUSED_UNUSED_UNUSED">"c8135"</definedName>
    <definedName name="IQ_BALANCE_SERV_YOY_UNUSED_UNUSED_UNUSED">"c7255"</definedName>
    <definedName name="IQ_BALANCE_TRADE_APR_FC_UNUSED_UNUSED_UNUSED">"c8357"</definedName>
    <definedName name="IQ_BALANCE_TRADE_APR_UNUSED_UNUSED_UNUSED">"c7477"</definedName>
    <definedName name="IQ_BALANCE_TRADE_FC_UNUSED_UNUSED_UNUSED">"c7697"</definedName>
    <definedName name="IQ_BALANCE_TRADE_POP_FC_UNUSED_UNUSED_UNUSED">"c7917"</definedName>
    <definedName name="IQ_BALANCE_TRADE_POP_UNUSED_UNUSED_UNUSED">"c7037"</definedName>
    <definedName name="IQ_BALANCE_TRADE_UNUSED_UNUSED_UNUSED">"c6817"</definedName>
    <definedName name="IQ_BALANCE_TRADE_YOY_FC_UNUSED_UNUSED_UNUSED">"c8137"</definedName>
    <definedName name="IQ_BALANCE_TRADE_YOY_UNUSED_UNUSED_UNUSED">"c7257"</definedName>
    <definedName name="IQ_BALANCES_DUE_DEPOSITORY_INSTITUTIONS_FDIC">"c6389"</definedName>
    <definedName name="IQ_BALANCES_DUE_FOREIGN_FDIC">"c6391"</definedName>
    <definedName name="IQ_BALANCES_DUE_FRB_FDIC">"c6393"</definedName>
    <definedName name="IQ_BANK_BENEFICIARY_FDIC">"c6505"</definedName>
    <definedName name="IQ_BANK_GUARANTOR_FDIC">"c6506"</definedName>
    <definedName name="IQ_BANK_PREMISES_FDIC">"c6329"</definedName>
    <definedName name="IQ_BANK_SECURITIZATION_1_4_FAMILY_LOANS_FDIC">"c6721"</definedName>
    <definedName name="IQ_BANK_SECURITIZATION_AUTO_LOANS_FDIC">"c6715"</definedName>
    <definedName name="IQ_BANK_SECURITIZATION_CL_LOANS_FDIC">"c6716"</definedName>
    <definedName name="IQ_BANK_SECURITIZATION_CREDIT_CARDS_RECEIVABLES_FDIC">"c6718"</definedName>
    <definedName name="IQ_BANK_SECURITIZATION_HOME_EQUITY_LINES_FDIC">"c6719"</definedName>
    <definedName name="IQ_BANK_SECURITIZATION_OTHER_CONSUMER_LOANS_FDIC">"c6717"</definedName>
    <definedName name="IQ_BANK_SECURITIZATION_OTHER_LOANS_FDIC">"c6720"</definedName>
    <definedName name="IQ_BANKS_FOREIGN_COUNTRIES_NON_TRANS_ACCTS_FFIEC">"c15326"</definedName>
    <definedName name="IQ_BANKS_FOREIGN_COUNTRIES_TOTAL_DEPOSITS_FDIC">"c6475"</definedName>
    <definedName name="IQ_BANKS_FOREIGN_COUNTRIES_TRANS_ACCTS_FFIEC">"c15318"</definedName>
    <definedName name="IQ_BOARD_MEMBER_ASSISTANT_EMAIL">"c15179"</definedName>
    <definedName name="IQ_BOARD_MEMBER_ASSISTANT_FAX">"c15181"</definedName>
    <definedName name="IQ_BOARD_MEMBER_ASSISTANT_NAME">"c15178"</definedName>
    <definedName name="IQ_BOARD_MEMBER_ASSISTANT_PHONE">"c15180"</definedName>
    <definedName name="IQ_BOARD_MEMBER_DIRECT_FAX">"c15176"</definedName>
    <definedName name="IQ_BOARD_MEMBER_DIRECT_PHONE">"c15175"</definedName>
    <definedName name="IQ_BOARD_MEMBER_EMAIL">"c15177"</definedName>
    <definedName name="IQ_BOARD_MEMBER_FAX">"c2100"</definedName>
    <definedName name="IQ_BOARD_MEMBER_MAIN_FAX">"c15174"</definedName>
    <definedName name="IQ_BOARD_MEMBER_MAIN_PHONE">"c15173"</definedName>
    <definedName name="IQ_BOARD_MEMBER_OFFICE">"c2098"</definedName>
    <definedName name="IQ_BOARD_MEMBER_OFFICE_ADDRESS">"c15172"</definedName>
    <definedName name="IQ_BOARD_MEMBER_PHONE">"c2099"</definedName>
    <definedName name="IQ_BONDRATING_FITCH">"IQ_BONDRATING_FITCH"</definedName>
    <definedName name="IQ_BONDRATING_FITCH_DATE">"c241"</definedName>
    <definedName name="IQ_BONDRATING_SP">"IQ_BONDRATING_SP"</definedName>
    <definedName name="IQ_BONDRATING_SP_DATE">"c242"</definedName>
    <definedName name="IQ_BOOK_VALUE">"IQ_BOOK_VALUE"</definedName>
    <definedName name="IQ_BROKER_DEPOSIT_LESS_THAN_100000_1_YR_LESS_FFIEC">"c15307"</definedName>
    <definedName name="IQ_BROKER_DEPOSIT_LESS_THAN_100000_1_YR_MORE_FFIEC">"c15308"</definedName>
    <definedName name="IQ_BROKER_DEPOSIT_LESS_THAN_100000_FFIEC">"c15306"</definedName>
    <definedName name="IQ_BROKER_DEPOSIT_MORE_THAN_100000_1_YR_LESS_FFIEC">"c15310"</definedName>
    <definedName name="IQ_BROKER_DEPOSIT_MORE_THAN_100000_1_YR_MORE_FFIEC">"c15311"</definedName>
    <definedName name="IQ_BROKER_DEPOSIT_MORE_THAN_100000_FFIEC">"c15309"</definedName>
    <definedName name="IQ_BROKERED_DEPOSITS_FDIC">"c6486"</definedName>
    <definedName name="IQ_BUDGET_BALANCE_APR_FC_UNUSED_UNUSED_UNUSED">"c8359"</definedName>
    <definedName name="IQ_BUDGET_BALANCE_APR_UNUSED_UNUSED_UNUSED">"c7479"</definedName>
    <definedName name="IQ_BUDGET_BALANCE_FC_UNUSED_UNUSED_UNUSED">"c7699"</definedName>
    <definedName name="IQ_BUDGET_BALANCE_POP_FC_UNUSED_UNUSED_UNUSED">"c7919"</definedName>
    <definedName name="IQ_BUDGET_BALANCE_POP_UNUSED_UNUSED_UNUSED">"c7039"</definedName>
    <definedName name="IQ_BUDGET_BALANCE_UNUSED_UNUSED_UNUSED">"c6819"</definedName>
    <definedName name="IQ_BUDGET_BALANCE_YOY_FC_UNUSED_UNUSED_UNUSED">"c8139"</definedName>
    <definedName name="IQ_BUDGET_BALANCE_YOY_UNUSED_UNUSED_UNUSED">"c7259"</definedName>
    <definedName name="IQ_BUDGET_RECEIPTS_APR_FC_UNUSED_UNUSED_UNUSED">"c8361"</definedName>
    <definedName name="IQ_BUDGET_RECEIPTS_APR_UNUSED_UNUSED_UNUSED">"c7481"</definedName>
    <definedName name="IQ_BUDGET_RECEIPTS_FC_UNUSED_UNUSED_UNUSED">"c7701"</definedName>
    <definedName name="IQ_BUDGET_RECEIPTS_POP_FC_UNUSED_UNUSED_UNUSED">"c7921"</definedName>
    <definedName name="IQ_BUDGET_RECEIPTS_POP_UNUSED_UNUSED_UNUSED">"c7041"</definedName>
    <definedName name="IQ_BUDGET_RECEIPTS_UNUSED_UNUSED_UNUSED">"c6821"</definedName>
    <definedName name="IQ_BUDGET_RECEIPTS_YOY_FC_UNUSED_UNUSED_UNUSED">"c8141"</definedName>
    <definedName name="IQ_BUDGET_RECEIPTS_YOY_UNUSED_UNUSED_UNUSED">"c7261"</definedName>
    <definedName name="IQ_BV_ACT_OR_EST_REUT">"c5471"</definedName>
    <definedName name="IQ_BV_EST_REUT">"c5403"</definedName>
    <definedName name="IQ_BV_HIGH_EST_REUT">"c5405"</definedName>
    <definedName name="IQ_BV_LOW_EST_REUT">"c5406"</definedName>
    <definedName name="IQ_BV_MEDIAN_EST_REUT">"c5404"</definedName>
    <definedName name="IQ_BV_NUM_EST_REUT">"c5407"</definedName>
    <definedName name="IQ_BV_STDDEV_EST_REUT">"c5408"</definedName>
    <definedName name="IQ_CAPEX_BR">"c111"</definedName>
    <definedName name="IQ_CAPITAL_ALLOCATION_ADJUSTMENT_FOREIGN_FFIEC">"c15389"</definedName>
    <definedName name="IQ_CASH_BANKS_FOREIGN_COUNTRIES_DOM_FFIEC">"c15289"</definedName>
    <definedName name="IQ_CASH_COLLECTION_UNPOSTED_DEBITS_CURRENCY_FFIEC">"c15279"</definedName>
    <definedName name="IQ_CASH_COLLECTION_UNPOSTED_DEBITS_DOM_FFIEC">"c15286"</definedName>
    <definedName name="IQ_CASH_DEPOSITORY_INSTIT_US_DOM_FFIEC">"c15288"</definedName>
    <definedName name="IQ_CASH_DIVIDENDS_NET_INCOME_FDIC">"c6738"</definedName>
    <definedName name="IQ_CASH_DUE_OTHER_FED_RESERVE_BANKS_DOM_FFIEC">"c15290"</definedName>
    <definedName name="IQ_CASH_DUE_OTHER_FED_RESERVE_BANKS_FFIEC">"c15284"</definedName>
    <definedName name="IQ_CASH_DUE_US_BRANCH_FOREIGN_BANK_FFIEC">"c15280"</definedName>
    <definedName name="IQ_CASH_FOREIGN_BRANCH_OTHER_US_BANKS_FFIEC">"c15282"</definedName>
    <definedName name="IQ_CASH_IN_PROCESS_FDIC">"c6386"</definedName>
    <definedName name="IQ_CASH_OTHER_BANKS_FOREIGN_COUNTRIES_FFIEC">"c15283"</definedName>
    <definedName name="IQ_CASH_OTHER_US_COMM_BANK_DEP_INSTIT_FFIEC">"c15281"</definedName>
    <definedName name="IQ_CASH_STRUCTURED_PRODUCTS_AVAIL_SALE_FFIEC">"c15263"</definedName>
    <definedName name="IQ_CASH_STRUCTURED_PRODUCTS_FFIEC">"c15260"</definedName>
    <definedName name="IQ_CCE_FDIC">"c6296"</definedName>
    <definedName name="IQ_CEO_ID">"c15210"</definedName>
    <definedName name="IQ_CEO_NAME">"c15209"</definedName>
    <definedName name="IQ_CERTIFIED_OFFICIAL_CHECKS_TRANS_ACCTS_FFIEC">"c15320"</definedName>
    <definedName name="IQ_CFO_ID">"c15212"</definedName>
    <definedName name="IQ_CFO_NAME">"c15211"</definedName>
    <definedName name="IQ_CH">110000</definedName>
    <definedName name="IQ_CHAIRMAN_ID">"c15218"</definedName>
    <definedName name="IQ_CHAIRMAN_NAME">"c15217"</definedName>
    <definedName name="IQ_CHANGE_AP_BR">"c135"</definedName>
    <definedName name="IQ_CHANGE_AR_BR">"c142"</definedName>
    <definedName name="IQ_CHANGE_DEF_TAX_TOTAL">"c15557"</definedName>
    <definedName name="IQ_CHANGE_INVENT_REAL_APR_FC_UNUSED_UNUSED_UNUSED">"c8500"</definedName>
    <definedName name="IQ_CHANGE_INVENT_REAL_APR_UNUSED_UNUSED_UNUSED">"c7620"</definedName>
    <definedName name="IQ_CHANGE_INVENT_REAL_FC_UNUSED_UNUSED_UNUSED">"c7840"</definedName>
    <definedName name="IQ_CHANGE_INVENT_REAL_POP_FC_UNUSED_UNUSED_UNUSED">"c8060"</definedName>
    <definedName name="IQ_CHANGE_INVENT_REAL_POP_UNUSED_UNUSED_UNUSED">"c7180"</definedName>
    <definedName name="IQ_CHANGE_INVENT_REAL_UNUSED_UNUSED_UNUSED">"c6960"</definedName>
    <definedName name="IQ_CHANGE_INVENT_REAL_YOY_FC_UNUSED_UNUSED_UNUSED">"c8280"</definedName>
    <definedName name="IQ_CHANGE_INVENT_REAL_YOY_UNUSED_UNUSED_UNUSED">"c7400"</definedName>
    <definedName name="IQ_CHANGE_OTHER_NET_OPER_ASSETS_BR">"c3595"</definedName>
    <definedName name="IQ_CHANGE_OTHER_WORK_CAP_BR">"c154"</definedName>
    <definedName name="IQ_CHARGE_OFFS_1_4_FAMILY_FDIC">"c6756"</definedName>
    <definedName name="IQ_CHARGE_OFFS_1_4_FAMILY_LOANS_FDIC">"c6714"</definedName>
    <definedName name="IQ_CHARGE_OFFS_AUTO_LOANS_FDIC">"c6708"</definedName>
    <definedName name="IQ_CHARGE_OFFS_CL_LOANS_FDIC">"c6709"</definedName>
    <definedName name="IQ_CHARGE_OFFS_COMMERCIAL_INDUSTRIAL_FDIC">"c6759"</definedName>
    <definedName name="IQ_CHARGE_OFFS_COMMERCIAL_RE_FDIC">"c6754"</definedName>
    <definedName name="IQ_CHARGE_OFFS_COMMERCIAL_RE_NOT_SECURED_FDIC">"c6764"</definedName>
    <definedName name="IQ_CHARGE_OFFS_CONSTRUCTION_DEVELOPMENT_FDIC">"c6753"</definedName>
    <definedName name="IQ_CHARGE_OFFS_CREDIT_CARDS_FDIC">"c6761"</definedName>
    <definedName name="IQ_CHARGE_OFFS_CREDIT_CARDS_RECEIVABLES_FDIC">"c6711"</definedName>
    <definedName name="IQ_CHARGE_OFFS_HOME_EQUITY_FDIC">"c6757"</definedName>
    <definedName name="IQ_CHARGE_OFFS_HOME_EQUITY_LINES_FDIC">"c6712"</definedName>
    <definedName name="IQ_CHARGE_OFFS_INDIVIDUALS_FDIC">"c6760"</definedName>
    <definedName name="IQ_CHARGE_OFFS_MULTI_FAMILY_FDIC">"c6755"</definedName>
    <definedName name="IQ_CHARGE_OFFS_OTHER_1_4_FAMILY_FDIC">"c6758"</definedName>
    <definedName name="IQ_CHARGE_OFFS_OTHER_CONSUMER_LOANS_FDIC">"c6710"</definedName>
    <definedName name="IQ_CHARGE_OFFS_OTHER_INDIVIDUAL_FDIC">"c6762"</definedName>
    <definedName name="IQ_CHARGE_OFFS_OTHER_LOANS_FDIC">"c6763"</definedName>
    <definedName name="IQ_CHARGE_OFFS_OTHER_LOANS_OTHER_FDIC">"c6713"</definedName>
    <definedName name="IQ_CHARGE_OFFS_RE_LOANS_FDIC">"c6752"</definedName>
    <definedName name="IQ_CLASSB_OUTSTANDING_BS_DATE">"c1972"</definedName>
    <definedName name="IQ_CLASSB_OUTSTANDING_FILING_DATE">"c1974"</definedName>
    <definedName name="IQ_CLOSED_END_SEC_1_4_RESIDENT_CHARGE_OFFS_FFIEC">"c15397"</definedName>
    <definedName name="IQ_CLOSED_END_SEC_1_4_RESIDENT_DUE_30_89_FFIEC">"c15413"</definedName>
    <definedName name="IQ_CLOSED_END_SEC_1_4_RESIDENT_DUE_90_FFIEC">"c15417"</definedName>
    <definedName name="IQ_CLOSED_END_SEC_1_4_RESIDENT_NON_ACCRUAL_FFIEC">"c15460"</definedName>
    <definedName name="IQ_CLOSED_END_SEC_1_4_RESIDENT_RECOV_FFIEC">"c15398"</definedName>
    <definedName name="IQ_CMO_FDIC">"c6406"</definedName>
    <definedName name="IQ_COLLECTION_DOMESTIC_FDIC">"c6387"</definedName>
    <definedName name="IQ_COMM_BANKS_OTHER_DEP_INST_US_TRANS_ACCTS_FFIEC">"c15317"</definedName>
    <definedName name="IQ_COMM_BANKS_OTHER_INST_US_NON_TRANS_ACCTS_FFIEC">"c15325"</definedName>
    <definedName name="IQ_COMMERCIAL_BANKS_DEPOSITS_FOREIGN_FDIC">"c6480"</definedName>
    <definedName name="IQ_COMMERCIAL_BANKS_LOANS_FDIC">"c6434"</definedName>
    <definedName name="IQ_COMMERCIAL_BANKS_NONTRANSACTION_ACCOUNTS_FDIC">"c6548"</definedName>
    <definedName name="IQ_COMMERCIAL_BANKS_TOTAL_DEPOSITS_FDIC">"c6474"</definedName>
    <definedName name="IQ_COMMERCIAL_BANKS_TOTAL_LOANS_FOREIGN_FDIC">"c6444"</definedName>
    <definedName name="IQ_COMMERCIAL_BANKS_TRANSACTION_ACCOUNTS_FDIC">"c6540"</definedName>
    <definedName name="IQ_COMMERCIAL_DOM">"c177"</definedName>
    <definedName name="IQ_COMMERCIAL_INDUSTRIAL_CHARGE_OFFS_FDIC">"c6598"</definedName>
    <definedName name="IQ_COMMERCIAL_INDUSTRIAL_DOM_QUARTERLY_AVG_FFIEC">"c15478"</definedName>
    <definedName name="IQ_COMMERCIAL_INDUSTRIAL_LOANS_NET_FDIC">"c6317"</definedName>
    <definedName name="IQ_COMMERCIAL_INDUSTRIAL_NET_CHARGE_OFFS_FDIC">"c6636"</definedName>
    <definedName name="IQ_COMMERCIAL_INDUSTRIAL_NON_US_DUE_30_89_FFIEC">"c15415"</definedName>
    <definedName name="IQ_COMMERCIAL_INDUSTRIAL_NON_US_DUE_90_FFIEC">"c15419"</definedName>
    <definedName name="IQ_COMMERCIAL_INDUSTRIAL_NON_US_NON_ACCRUAL_FFIEC">"c15464"</definedName>
    <definedName name="IQ_COMMERCIAL_INDUSTRIAL_RECOVERIES_FDIC">"c6617"</definedName>
    <definedName name="IQ_COMMERCIAL_INDUSTRIAL_TOTAL_LOANS_FOREIGN_FDIC">"c6451"</definedName>
    <definedName name="IQ_COMMERCIAL_INDUSTRIAL_US_DUE_30_89_FFIEC">"c15414"</definedName>
    <definedName name="IQ_COMMERCIAL_INDUSTRIAL_US_DUE_90_FFIEC">"c15418"</definedName>
    <definedName name="IQ_COMMERCIAL_INDUSTRIAL_US_NON_ACCRUAL_FFIEC">"c15463"</definedName>
    <definedName name="IQ_COMMERCIAL_MORT">"c179"</definedName>
    <definedName name="IQ_COMMERCIAL_RE_CONSTRUCTION_LAND_DEV_FDIC">"c6526"</definedName>
    <definedName name="IQ_COMMERCIAL_RE_LOANS_FDIC">"c6312"</definedName>
    <definedName name="IQ_COMMITMENTS_MATURITY_EXCEEDING_1YR_FDIC">"c6531"</definedName>
    <definedName name="IQ_COMMITMENTS_NOT_SECURED_RE_FDIC">"c6528"</definedName>
    <definedName name="IQ_COMMITMENTS_SECURED_RE_FDIC">"c6527"</definedName>
    <definedName name="IQ_COMMODITY_EXPOSURES_FDIC">"c6665"</definedName>
    <definedName name="IQ_COMMON_APIC_BR">"c185"</definedName>
    <definedName name="IQ_COMMON_FDIC">"c6350"</definedName>
    <definedName name="IQ_COMMON_ISSUED_BR">"c199"</definedName>
    <definedName name="IQ_COMMON_REP_BR">"c208"</definedName>
    <definedName name="IQ_COMPANY_TICKER_NO_EXCH">"c15490"</definedName>
    <definedName name="IQ_CONSOLIDATED_NI_FOREIGN_FFIEC">"c15396"</definedName>
    <definedName name="IQ_CONSTRUCTION_DEV_LOANS_FDIC">"c6313"</definedName>
    <definedName name="IQ_CONSTRUCTION_LAND_DEV_DOM_FFIEC">"c15267"</definedName>
    <definedName name="IQ_CONSTRUCTION_LAND_DEVELOPMENT_CHARGE_OFFS_FDIC">"c6594"</definedName>
    <definedName name="IQ_CONSTRUCTION_LAND_DEVELOPMENT_NET_CHARGE_OFFS_FDIC">"c6632"</definedName>
    <definedName name="IQ_CONSTRUCTION_LAND_DEVELOPMENT_RECOVERIES_FDIC">"c6613"</definedName>
    <definedName name="IQ_CONTRACTS_OTHER_COMMODITIES_EQUITIES_FDIC">"c6522"</definedName>
    <definedName name="IQ_CONTRACTS_OTHER_COMMODITIES_EQUITIES._FDIC">"c6522"</definedName>
    <definedName name="IQ_CONV_RATE">"c2192"</definedName>
    <definedName name="IQ_CONVERT_DEBT">"c224"</definedName>
    <definedName name="IQ_CONVEYED_TO_OTHERS_FDIC">"c6534"</definedName>
    <definedName name="IQ_COO_ID">"c15222"</definedName>
    <definedName name="IQ_COO_NAME">"c15221"</definedName>
    <definedName name="IQ_CORE_CAPITAL_RATIO_FDIC">"c6745"</definedName>
    <definedName name="IQ_CORE_TIER_ONE_CAPITAL">"c15244"</definedName>
    <definedName name="IQ_CORE_TIER_ONE_CAPITAL_RATIO">"c15240"</definedName>
    <definedName name="IQ_CORP_GOODS_PRICE_INDEX_APR_FC_UNUSED_UNUSED_UNUSED">"c8381"</definedName>
    <definedName name="IQ_CORP_GOODS_PRICE_INDEX_APR_UNUSED_UNUSED_UNUSED">"c7501"</definedName>
    <definedName name="IQ_CORP_GOODS_PRICE_INDEX_FC_UNUSED_UNUSED_UNUSED">"c7721"</definedName>
    <definedName name="IQ_CORP_GOODS_PRICE_INDEX_POP_FC_UNUSED_UNUSED_UNUSED">"c7941"</definedName>
    <definedName name="IQ_CORP_GOODS_PRICE_INDEX_POP_UNUSED_UNUSED_UNUSED">"c7061"</definedName>
    <definedName name="IQ_CORP_GOODS_PRICE_INDEX_UNUSED_UNUSED_UNUSED">"c6841"</definedName>
    <definedName name="IQ_CORP_GOODS_PRICE_INDEX_YOY_FC_UNUSED_UNUSED_UNUSED">"c8161"</definedName>
    <definedName name="IQ_CORP_GOODS_PRICE_INDEX_YOY_UNUSED_UNUSED_UNUSED">"c7281"</definedName>
    <definedName name="IQ_COST_OF_FUNDING_ASSETS_FDIC">"c6725"</definedName>
    <definedName name="IQ_COVERAGE_RATIO">"c15243"</definedName>
    <definedName name="IQ_CQ">5000</definedName>
    <definedName name="IQ_CREDIT_CARD_CHARGE_OFFS_FDIC">"c6652"</definedName>
    <definedName name="IQ_CREDIT_CARD_FEE">"c231"</definedName>
    <definedName name="IQ_CREDIT_CARD_LINES_FDIC">"c6525"</definedName>
    <definedName name="IQ_CREDIT_CARD_LOANS_DOM_QUARTERLY_AVG_FFIEC">"c15480"</definedName>
    <definedName name="IQ_CREDIT_CARD_LOANS_FDIC">"c6319"</definedName>
    <definedName name="IQ_CREDIT_CARD_NET_CHARGE_OFFS_FDIC">"c6654"</definedName>
    <definedName name="IQ_CREDIT_CARD_RECOVERIES_FDIC">"c6653"</definedName>
    <definedName name="IQ_CREDIT_LOSS_PROVISION_NET_CHARGE_OFFS_FDIC">"c6734"</definedName>
    <definedName name="IQ_CURR_ACCT_BALANCE_APR_FC_UNUSED_UNUSED_UNUSED">"c8387"</definedName>
    <definedName name="IQ_CURR_ACCT_BALANCE_APR_UNUSED_UNUSED_UNUSED">"c7507"</definedName>
    <definedName name="IQ_CURR_ACCT_BALANCE_FC_UNUSED_UNUSED_UNUSED">"c7727"</definedName>
    <definedName name="IQ_CURR_ACCT_BALANCE_POP_FC_UNUSED_UNUSED_UNUSED">"c7947"</definedName>
    <definedName name="IQ_CURR_ACCT_BALANCE_POP_UNUSED_UNUSED_UNUSED">"c7067"</definedName>
    <definedName name="IQ_CURR_ACCT_BALANCE_UNUSED_UNUSED_UNUSED">"c6847"</definedName>
    <definedName name="IQ_CURR_ACCT_BALANCE_YOY_FC_UNUSED_UNUSED_UNUSED">"c8167"</definedName>
    <definedName name="IQ_CURR_ACCT_BALANCE_YOY_UNUSED_UNUSED_UNUSED">"c7287"</definedName>
    <definedName name="IQ_CURRENCY_COIN_DOM_FFIEC">"c15287"</definedName>
    <definedName name="IQ_CURRENCY_COIN_DOMESTIC_FDIC">"c6388"</definedName>
    <definedName name="IQ_CURRENCY_GAIN_BR">"c236"</definedName>
    <definedName name="IQ_CURRENT_PORT_DEBT_BR">"c1567"</definedName>
    <definedName name="IQ_CY">10000</definedName>
    <definedName name="IQ_DA_BR">"c248"</definedName>
    <definedName name="IQ_DA_CF_BR">"c251"</definedName>
    <definedName name="IQ_DA_SUPPL_BR">"c260"</definedName>
    <definedName name="IQ_DA_SUPPL_CF_BR">"c263"</definedName>
    <definedName name="IQ_DAILY">500000</definedName>
    <definedName name="IQ_DEF_AMORT_BR">"c278"</definedName>
    <definedName name="IQ_DEF_CHARGES_BR">"c288"</definedName>
    <definedName name="IQ_DEF_CHARGES_LT_BR">"c294"</definedName>
    <definedName name="IQ_DEF_TAX_ASSET_LT_BR">"c304"</definedName>
    <definedName name="IQ_DEF_TAX_LIAB_LT_BR">"c315"</definedName>
    <definedName name="IQ_DEMAND_DEPOSITS_FDIC">"c6489"</definedName>
    <definedName name="IQ_DEPOSIT_ACCOUNTS_LESS_THAN_100K_FDIC">"c6494"</definedName>
    <definedName name="IQ_DEPOSIT_ACCOUNTS_MORE_THAN_100K_FDIC">"c6492"</definedName>
    <definedName name="IQ_DEPOSITORY_INSTITUTIONS_CHARGE_OFFS_FDIC">"c6596"</definedName>
    <definedName name="IQ_DEPOSITORY_INSTITUTIONS_NET_CHARGE_OFFS_FDIC">"c6634"</definedName>
    <definedName name="IQ_DEPOSITORY_INSTITUTIONS_RECOVERIES_FDIC">"c6615"</definedName>
    <definedName name="IQ_DEPOSITS_FOREIGN_BANKS_FOREIGN_AGENCIES_FFIEC">"c15344"</definedName>
    <definedName name="IQ_DEPOSITS_HELD_DOMESTIC_FDIC">"c6340"</definedName>
    <definedName name="IQ_DEPOSITS_HELD_FOREIGN_FDIC">"c6341"</definedName>
    <definedName name="IQ_DEPOSITS_LESS_THAN_100K_AFTER_THREE_YEARS_FDIC">"c6464"</definedName>
    <definedName name="IQ_DEPOSITS_LESS_THAN_100K_THREE_MONTHS_FDIC">"c6461"</definedName>
    <definedName name="IQ_DEPOSITS_LESS_THAN_100K_THREE_YEARS_FDIC">"c6463"</definedName>
    <definedName name="IQ_DEPOSITS_LESS_THAN_100K_TWELVE_MONTHS_FDIC">"c6462"</definedName>
    <definedName name="IQ_DEPOSITS_MORE_THAN_100K_AFTER_THREE_YEARS_FDIC">"c6469"</definedName>
    <definedName name="IQ_DEPOSITS_MORE_THAN_100K_THREE_MONTHS_FDIC">"c6466"</definedName>
    <definedName name="IQ_DEPOSITS_MORE_THAN_100K_THREE_YEARS_FDIC">"c6468"</definedName>
    <definedName name="IQ_DEPOSITS_MORE_THAN_100K_TWELVE_MONTHS_FDIC">"c6467"</definedName>
    <definedName name="IQ_DERIVATIVE_ASSETS_FAIR_VALUE_TOT_FFIEC">"c15403"</definedName>
    <definedName name="IQ_DERIVATIVE_ASSETS_LEVEL_1_FFIEC">"c15425"</definedName>
    <definedName name="IQ_DERIVATIVE_ASSETS_LEVEL_2_FFIEC">"c15438"</definedName>
    <definedName name="IQ_DERIVATIVE_ASSETS_LEVEL_3_FFIEC">"c15451"</definedName>
    <definedName name="IQ_DERIVATIVE_LIABILITIES_FAIR_VALUE_TOT_FFIEC">"c15407"</definedName>
    <definedName name="IQ_DERIVATIVE_LIABILITIES_LEVEL_1_FFIEC">"c15429"</definedName>
    <definedName name="IQ_DERIVATIVE_LIABILITIES_LEVEL_2_FFIEC">"c15442"</definedName>
    <definedName name="IQ_DERIVATIVE_LIABILITIES_LEVEL_3_FFIEC">"c15455"</definedName>
    <definedName name="IQ_DERIVATIVES_FDIC">"c6523"</definedName>
    <definedName name="IQ_DIRECT_INDIRECT_RE_VENTURES_FFIEC">"c15266"</definedName>
    <definedName name="IQ_DIRECT_INDIRECT_RE_VENTURES_UNCONSOL_FFIEC">"c15274"</definedName>
    <definedName name="IQ_DIVIDENDS_DECLARED_COMMON_FDIC">"c6659"</definedName>
    <definedName name="IQ_DIVIDENDS_DECLARED_PREFERRED_FDIC">"c6658"</definedName>
    <definedName name="IQ_DIVIDENDS_FDIC">"c6660"</definedName>
    <definedName name="IQ_DNTM">700000</definedName>
    <definedName name="IQ_EARNING_ASSETS_FDIC">"c6360"</definedName>
    <definedName name="IQ_EARNING_ASSETS_YIELD_FDIC">"c6724"</definedName>
    <definedName name="IQ_EARNINGS_COVERAGE_NET_CHARGE_OFFS_FDIC">"c6735"</definedName>
    <definedName name="IQ_EBIT_10K">"IQ_EBIT_10K"</definedName>
    <definedName name="IQ_EBIT_10Q">"IQ_EBIT_10Q"</definedName>
    <definedName name="IQ_EBIT_10Q1">"IQ_EBIT_10Q1"</definedName>
    <definedName name="IQ_EBIT_GROWTH_1">"IQ_EBIT_GROWTH_1"</definedName>
    <definedName name="IQ_EBIT_GROWTH_2">"IQ_EBIT_GROWTH_2"</definedName>
    <definedName name="IQ_EBITDA_10K">"IQ_EBITDA_10K"</definedName>
    <definedName name="IQ_EBITDA_10Q">"IQ_EBITDA_10Q"</definedName>
    <definedName name="IQ_EBITDA_10Q1">"IQ_EBITDA_10Q1"</definedName>
    <definedName name="IQ_EBITDA_GROWTH_1">"IQ_EBITDA_GROWTH_1"</definedName>
    <definedName name="IQ_EBITDA_GROWTH_2">"IQ_EBITDA_GROWTH_2"</definedName>
    <definedName name="IQ_EBITDA_NO_EST">"c267"</definedName>
    <definedName name="IQ_EBT_BR">"c378"</definedName>
    <definedName name="IQ_EBT_EXCL_BR">"c381"</definedName>
    <definedName name="IQ_ECO_METRIC_6825_UNUSED_UNUSED_UNUSED">"c6825"</definedName>
    <definedName name="IQ_ECO_METRIC_6839_UNUSED_UNUSED_UNUSED">"c6839"</definedName>
    <definedName name="IQ_ECO_METRIC_6896_UNUSED_UNUSED_UNUSED">"c6896"</definedName>
    <definedName name="IQ_ECO_METRIC_6897_UNUSED_UNUSED_UNUSED">"c6897"</definedName>
    <definedName name="IQ_ECO_METRIC_6988_UNUSED_UNUSED_UNUSED">"c6988"</definedName>
    <definedName name="IQ_ECO_METRIC_7045_UNUSED_UNUSED_UNUSED">"c7045"</definedName>
    <definedName name="IQ_ECO_METRIC_7059_UNUSED_UNUSED_UNUSED">"c7059"</definedName>
    <definedName name="IQ_ECO_METRIC_7116_UNUSED_UNUSED_UNUSED">"c7116"</definedName>
    <definedName name="IQ_ECO_METRIC_7117_UNUSED_UNUSED_UNUSED">"c7117"</definedName>
    <definedName name="IQ_ECO_METRIC_7208_UNUSED_UNUSED_UNUSED">"c7208"</definedName>
    <definedName name="IQ_ECO_METRIC_7265_UNUSED_UNUSED_UNUSED">"c7265"</definedName>
    <definedName name="IQ_ECO_METRIC_7279_UNUSED_UNUSED_UNUSED">"c7279"</definedName>
    <definedName name="IQ_ECO_METRIC_7336_UNUSED_UNUSED_UNUSED">"c7336"</definedName>
    <definedName name="IQ_ECO_METRIC_7337_UNUSED_UNUSED_UNUSED">"c7337"</definedName>
    <definedName name="IQ_ECO_METRIC_7428_UNUSED_UNUSED_UNUSED">"c7428"</definedName>
    <definedName name="IQ_ECO_METRIC_7556_UNUSED_UNUSED_UNUSED">"c7556"</definedName>
    <definedName name="IQ_ECO_METRIC_7557_UNUSED_UNUSED_UNUSED">"c7557"</definedName>
    <definedName name="IQ_ECO_METRIC_7648_UNUSED_UNUSED_UNUSED">"c7648"</definedName>
    <definedName name="IQ_ECO_METRIC_7705_UNUSED_UNUSED_UNUSED">"c7705"</definedName>
    <definedName name="IQ_ECO_METRIC_7719_UNUSED_UNUSED_UNUSED">"c7719"</definedName>
    <definedName name="IQ_ECO_METRIC_7776_UNUSED_UNUSED_UNUSED">"c7776"</definedName>
    <definedName name="IQ_ECO_METRIC_7777_UNUSED_UNUSED_UNUSED">"c7777"</definedName>
    <definedName name="IQ_ECO_METRIC_7868_UNUSED_UNUSED_UNUSED">"c7868"</definedName>
    <definedName name="IQ_ECO_METRIC_7925_UNUSED_UNUSED_UNUSED">"c7925"</definedName>
    <definedName name="IQ_ECO_METRIC_7939_UNUSED_UNUSED_UNUSED">"c7939"</definedName>
    <definedName name="IQ_ECO_METRIC_7996_UNUSED_UNUSED_UNUSED">"c7996"</definedName>
    <definedName name="IQ_ECO_METRIC_7997_UNUSED_UNUSED_UNUSED">"c7997"</definedName>
    <definedName name="IQ_ECO_METRIC_8088_UNUSED_UNUSED_UNUSED">"c8088"</definedName>
    <definedName name="IQ_ECO_METRIC_8145_UNUSED_UNUSED_UNUSED">"c8145"</definedName>
    <definedName name="IQ_ECO_METRIC_8159_UNUSED_UNUSED_UNUSED">"c8159"</definedName>
    <definedName name="IQ_ECO_METRIC_8216_UNUSED_UNUSED_UNUSED">"c8216"</definedName>
    <definedName name="IQ_ECO_METRIC_8217_UNUSED_UNUSED_UNUSED">"c8217"</definedName>
    <definedName name="IQ_ECO_METRIC_8308_UNUSED_UNUSED_UNUSED">"c8308"</definedName>
    <definedName name="IQ_ECO_METRIC_8436_UNUSED_UNUSED_UNUSED">"c8436"</definedName>
    <definedName name="IQ_ECO_METRIC_8437_UNUSED_UNUSED_UNUSED">"c8437"</definedName>
    <definedName name="IQ_ECO_METRIC_8528_UNUSED_UNUSED_UNUSED">"c8528"</definedName>
    <definedName name="IQ_EFFICIENCY_RATIO_FDIC">"c6736"</definedName>
    <definedName name="IQ_ELIMINATIONS_CONSOL_OFFICES_FOREIGN_FFIEC">"c15395"</definedName>
    <definedName name="IQ_EPS">"IQ_EPS"</definedName>
    <definedName name="IQ_EPS_10K">"IQ_EPS_10K"</definedName>
    <definedName name="IQ_EPS_10Q">"IQ_EPS_10Q"</definedName>
    <definedName name="IQ_EPS_10Q1">"IQ_EPS_10Q1"</definedName>
    <definedName name="IQ_EPS_EST_1">"IQ_EPS_EST_1"</definedName>
    <definedName name="IQ_EPS_NO_EST">"c271"</definedName>
    <definedName name="IQ_EQUITY_CAPITAL_ASSETS_FDIC">"c6744"</definedName>
    <definedName name="IQ_EQUITY_FDIC">"c6353"</definedName>
    <definedName name="IQ_EQUITY_LIST">"c15158"</definedName>
    <definedName name="IQ_EQUITY_SECURITIES_FDIC">"c6304"</definedName>
    <definedName name="IQ_EQUITY_SECURITIES_QUARTERLY_AVG_FFIEC">"c15474"</definedName>
    <definedName name="IQ_EQUITY_SECURITY_EXPOSURES_FDIC">"c6664"</definedName>
    <definedName name="IQ_EQUITY_TIER_ONE_CAPITAL">"c15246"</definedName>
    <definedName name="IQ_EQUITY_TIER_ONE_CAPITAL_RATIO">"c15242"</definedName>
    <definedName name="IQ_EST_ACT_BV_REUT">"c5409"</definedName>
    <definedName name="IQ_EST_ACT_FFO_REUT">"c3843"</definedName>
    <definedName name="IQ_EST_ACT_FFO_SHARE_SHARE_THOM">"c4005"</definedName>
    <definedName name="IQ_EST_ACT_FFO_THOM">"c4005"</definedName>
    <definedName name="IQ_EST_BV_DIFF_REUT">"c5433"</definedName>
    <definedName name="IQ_EST_BV_SURPRISE_PERCENT_REUT">"c5434"</definedName>
    <definedName name="IQ_EST_EPS_SURPRISE">"c1635"</definedName>
    <definedName name="IQ_EST_FFO_DIFF_REUT">"c3890"</definedName>
    <definedName name="IQ_EST_FFO_DIFF_THOM">"c5186"</definedName>
    <definedName name="IQ_EST_FFO_SHARE_SHARE_DIFF_THOM">"c5186"</definedName>
    <definedName name="IQ_EST_FFO_SHARE_SHARE_SURPRISE_PERCENT_THOM">"c5187"</definedName>
    <definedName name="IQ_EST_FFO_SURPRISE_PERCENT_REUT">"c3891"</definedName>
    <definedName name="IQ_EST_FFO_SURPRISE_PERCENT_THOM">"c5187"</definedName>
    <definedName name="IQ_EST_NUM_BUY_REUT">"c3869"</definedName>
    <definedName name="IQ_EST_NUM_HOLD_REUT">"c3871"</definedName>
    <definedName name="IQ_EST_NUM_OUTPERFORM_REUT">"c3870"</definedName>
    <definedName name="IQ_EST_NUM_SELL_REUT">"c3873"</definedName>
    <definedName name="IQ_EST_NUM_UNDERPERFORM_REUT">"c3872"</definedName>
    <definedName name="IQ_ESTIMATED_ASSESSABLE_DEPOSITS_FDIC">"c6490"</definedName>
    <definedName name="IQ_ESTIMATED_INSURED_DEPOSITS_FDIC">"c6491"</definedName>
    <definedName name="IQ_EV_OVER_REVENUE_EST">"IQ_EV_OVER_REVENUE_EST"</definedName>
    <definedName name="IQ_EV_OVER_REVENUE_EST_1">"IQ_EV_OVER_REVENUE_EST_1"</definedName>
    <definedName name="IQ_EXPORTS_APR_FC_UNUSED_UNUSED_UNUSED">"c8401"</definedName>
    <definedName name="IQ_EXPORTS_APR_UNUSED_UNUSED_UNUSED">"c7521"</definedName>
    <definedName name="IQ_EXPORTS_FC_UNUSED_UNUSED_UNUSED">"c7741"</definedName>
    <definedName name="IQ_EXPORTS_GOODS_REAL_SAAR_APR_FC_UNUSED_UNUSED_UNUSED">"c8512"</definedName>
    <definedName name="IQ_EXPORTS_GOODS_REAL_SAAR_APR_UNUSED_UNUSED_UNUSED">"c7632"</definedName>
    <definedName name="IQ_EXPORTS_GOODS_REAL_SAAR_FC_UNUSED_UNUSED_UNUSED">"c7852"</definedName>
    <definedName name="IQ_EXPORTS_GOODS_REAL_SAAR_POP_FC_UNUSED_UNUSED_UNUSED">"c8072"</definedName>
    <definedName name="IQ_EXPORTS_GOODS_REAL_SAAR_POP_UNUSED_UNUSED_UNUSED">"c7192"</definedName>
    <definedName name="IQ_EXPORTS_GOODS_REAL_SAAR_UNUSED_UNUSED_UNUSED">"c6972"</definedName>
    <definedName name="IQ_EXPORTS_GOODS_REAL_SAAR_YOY_FC_UNUSED_UNUSED_UNUSED">"c8292"</definedName>
    <definedName name="IQ_EXPORTS_GOODS_REAL_SAAR_YOY_UNUSED_UNUSED_UNUSED">"c7412"</definedName>
    <definedName name="IQ_EXPORTS_POP_FC_UNUSED_UNUSED_UNUSED">"c7961"</definedName>
    <definedName name="IQ_EXPORTS_POP_UNUSED_UNUSED_UNUSED">"c7081"</definedName>
    <definedName name="IQ_EXPORTS_SERVICES_REAL_SAAR_APR_FC_UNUSED_UNUSED_UNUSED">"c8516"</definedName>
    <definedName name="IQ_EXPORTS_SERVICES_REAL_SAAR_APR_UNUSED_UNUSED_UNUSED">"c7636"</definedName>
    <definedName name="IQ_EXPORTS_SERVICES_REAL_SAAR_FC_UNUSED_UNUSED_UNUSED">"c7856"</definedName>
    <definedName name="IQ_EXPORTS_SERVICES_REAL_SAAR_POP_FC_UNUSED_UNUSED_UNUSED">"c8076"</definedName>
    <definedName name="IQ_EXPORTS_SERVICES_REAL_SAAR_POP_UNUSED_UNUSED_UNUSED">"c7196"</definedName>
    <definedName name="IQ_EXPORTS_SERVICES_REAL_SAAR_UNUSED_UNUSED_UNUSED">"c6976"</definedName>
    <definedName name="IQ_EXPORTS_SERVICES_REAL_SAAR_YOY_FC_UNUSED_UNUSED_UNUSED">"c8296"</definedName>
    <definedName name="IQ_EXPORTS_SERVICES_REAL_SAAR_YOY_UNUSED_UNUSED_UNUSED">"c7416"</definedName>
    <definedName name="IQ_EXPORTS_UNUSED_UNUSED_UNUSED">"c6861"</definedName>
    <definedName name="IQ_EXPORTS_YOY_FC_UNUSED_UNUSED_UNUSED">"c8181"</definedName>
    <definedName name="IQ_EXPORTS_YOY_UNUSED_UNUSED_UNUSED">"c7301"</definedName>
    <definedName name="IQ_EXTRA_ACC_ITEMS_BR">"c412"</definedName>
    <definedName name="IQ_EXTRA_ITEMS_OTHER_ADJUSTMENTS_FOREIGN_FFIEC">"c15392"</definedName>
    <definedName name="IQ_EXTRAORDINARY_GAINS_FDIC">"c6586"</definedName>
    <definedName name="IQ_FAIR_VALUE_FDIC">"c6427"</definedName>
    <definedName name="IQ_FARM_LOANS_NET_FDIC">"c6316"</definedName>
    <definedName name="IQ_FARM_LOANS_TOTAL_LOANS_FOREIGN_FDIC">"c6450"</definedName>
    <definedName name="IQ_FARMLAND_DOM_FFIEC">"c15268"</definedName>
    <definedName name="IQ_FARMLAND_LOANS_FDIC">"c6314"</definedName>
    <definedName name="IQ_FED_FUND_PURCHASED_SEC_SOLD_REPURCHASE_FFIEC">"c15489"</definedName>
    <definedName name="IQ_FED_FUND_SOLD_SEC_PURCHASED_RESELL_FFIEC">"c15488"</definedName>
    <definedName name="IQ_FED_FUNDS_PURCH_SEC_SOLD_FAIR_VALUE_TOT_FFIEC">"c15406"</definedName>
    <definedName name="IQ_FED_FUNDS_PURCH_SEC_SOLD_LEVEL_1_FFIEC">"c15428"</definedName>
    <definedName name="IQ_FED_FUNDS_PURCH_SEC_SOLD_LEVEL_2_FFIEC">"c15441"</definedName>
    <definedName name="IQ_FED_FUNDS_PURCH_SEC_SOLD_LEVEL_3_FFIEC">"c15454"</definedName>
    <definedName name="IQ_FED_FUNDS_PURCHASED_FDIC">"c6343"</definedName>
    <definedName name="IQ_FED_FUNDS_SOLD_FDIC">"c6307"</definedName>
    <definedName name="IQ_FED_FUNDS_SOLD_SEC_PURCH_FAIR_VALUE_TOT_FFIEC">"c15402"</definedName>
    <definedName name="IQ_FED_FUNDS_SOLD_SEC_PURCH_LEVEL_1_FFIEC">"c15424"</definedName>
    <definedName name="IQ_FED_FUNDS_SOLD_SEC_PURCH_LEVEL_2_FFIEC">"c15437"</definedName>
    <definedName name="IQ_FED_FUNDS_SOLD_SEC_PURCH_LEVEL_3_FFIEC">"c15450"</definedName>
    <definedName name="IQ_FEES_OTHER_INCOME">"c15257"</definedName>
    <definedName name="IQ_FFO_EST_DET_EST">"c12059"</definedName>
    <definedName name="IQ_FFO_EST_DET_EST_CIQ">"c12121"</definedName>
    <definedName name="IQ_FFO_EST_DET_EST_CURRENCY">"c12466"</definedName>
    <definedName name="IQ_FFO_EST_DET_EST_CURRENCY_CIQ">"c12512"</definedName>
    <definedName name="IQ_FFO_EST_DET_EST_CURRENCY_THOM">"c12487"</definedName>
    <definedName name="IQ_FFO_EST_DET_EST_DATE">"c12212"</definedName>
    <definedName name="IQ_FFO_EST_DET_EST_DATE_CIQ">"c12267"</definedName>
    <definedName name="IQ_FFO_EST_DET_EST_DATE_THOM">"c12238"</definedName>
    <definedName name="IQ_FFO_EST_DET_EST_INCL">"c12349"</definedName>
    <definedName name="IQ_FFO_EST_DET_EST_INCL_CIQ">"c12395"</definedName>
    <definedName name="IQ_FFO_EST_DET_EST_INCL_THOM">"c12370"</definedName>
    <definedName name="IQ_FFO_EST_DET_EST_ORIGIN">"c12722"</definedName>
    <definedName name="IQ_FFO_EST_DET_EST_ORIGIN_CIQ">"c12720"</definedName>
    <definedName name="IQ_FFO_EST_DET_EST_ORIGIN_THOM">"c12608"</definedName>
    <definedName name="IQ_FFO_EST_DET_EST_THOM">"c12088"</definedName>
    <definedName name="IQ_FFO_EST_REUT">"c3837"</definedName>
    <definedName name="IQ_FFO_EST_THOM">"c3999"</definedName>
    <definedName name="IQ_FFO_HIGH_EST_REUT">"c3839"</definedName>
    <definedName name="IQ_FFO_HIGH_EST_THOM">"c4001"</definedName>
    <definedName name="IQ_FFO_LOW_EST_REUT">"c3840"</definedName>
    <definedName name="IQ_FFO_LOW_EST_THOM">"c4002"</definedName>
    <definedName name="IQ_FFO_MEDIAN_EST_REUT">"c3838"</definedName>
    <definedName name="IQ_FFO_MEDIAN_EST_THOM">"c4000"</definedName>
    <definedName name="IQ_FFO_NO_EST">"c276"</definedName>
    <definedName name="IQ_FFO_NUM_EST_REUT">"c3841"</definedName>
    <definedName name="IQ_FFO_NUM_EST_THOM">"c4003"</definedName>
    <definedName name="IQ_FFO_SHARE_SHARE_EST_DET_EST">"c12059"</definedName>
    <definedName name="IQ_FFO_SHARE_SHARE_EST_DET_EST_CURRENCY">"c12466"</definedName>
    <definedName name="IQ_FFO_SHARE_SHARE_EST_DET_EST_CURRENCY_THOM">"c12487"</definedName>
    <definedName name="IQ_FFO_SHARE_SHARE_EST_DET_EST_DATE">"c12212"</definedName>
    <definedName name="IQ_FFO_SHARE_SHARE_EST_DET_EST_DATE_THOM">"c12238"</definedName>
    <definedName name="IQ_FFO_SHARE_SHARE_EST_DET_EST_INCL">"c12349"</definedName>
    <definedName name="IQ_FFO_SHARE_SHARE_EST_DET_EST_INCL_THOM">"c12370"</definedName>
    <definedName name="IQ_FFO_SHARE_SHARE_EST_DET_EST_ORIGIN">"c12722"</definedName>
    <definedName name="IQ_FFO_SHARE_SHARE_EST_DET_EST_ORIGIN_THOM">"c12608"</definedName>
    <definedName name="IQ_FFO_SHARE_SHARE_EST_DET_EST_THOM">"c12088"</definedName>
    <definedName name="IQ_FFO_SHARE_SHARE_EST_THOM">"c3999"</definedName>
    <definedName name="IQ_FFO_SHARE_SHARE_HIGH_EST_THOM">"c4001"</definedName>
    <definedName name="IQ_FFO_SHARE_SHARE_LOW_EST_THOM">"c4002"</definedName>
    <definedName name="IQ_FFO_SHARE_SHARE_MEDIAN_EST_THOM">"c4000"</definedName>
    <definedName name="IQ_FFO_SHARE_SHARE_NUM_EST_THOM">"c4003"</definedName>
    <definedName name="IQ_FFO_SHARE_SHARE_STDDEV_EST_THOM">"c4004"</definedName>
    <definedName name="IQ_FFO_STDDEV_EST_REUT">"c3842"</definedName>
    <definedName name="IQ_FFO_STDDEV_EST_THOM">"c4004"</definedName>
    <definedName name="IQ_FH">100000</definedName>
    <definedName name="IQ_FHLB_ADVANCES_FDIC">"c6366"</definedName>
    <definedName name="IQ_FHLB_DUE_AFTER_FIVE">"c2086"</definedName>
    <definedName name="IQ_FIDUCIARY_ACTIVITIES_FDIC">"c6571"</definedName>
    <definedName name="IQ_FIFETEEN_YEAR_FIXED_AND_FLOATING_RATE_FDIC">"c6423"</definedName>
    <definedName name="IQ_FIFETEEN_YEAR_MORTGAGE_PASS_THROUGHS_FDIC">"c6415"</definedName>
    <definedName name="IQ_FIN_DIV_CURRENT_PORT_DEBT_TOTAL">"c5524"</definedName>
    <definedName name="IQ_FIN_DIV_CURRENT_PORT_LEASES_TOTAL">"c5523"</definedName>
    <definedName name="IQ_FIN_DIV_DEBT_LT_TOTAL">"c5526"</definedName>
    <definedName name="IQ_FIN_DIV_LEASES_LT_TOTAL">"c5525"</definedName>
    <definedName name="IQ_FIN_DIV_NOTES_PAY_TOTAL">"c5522"</definedName>
    <definedName name="IQ_FIVE_YEAR_FIXED_AND_FLOATING_RATE_FDIC">"c6422"</definedName>
    <definedName name="IQ_FIVE_YEAR_MORTGAGE_PASS_THROUGHS_FDIC">"c6414"</definedName>
    <definedName name="IQ_FIXED_INVEST_APR_FC_UNUSED_UNUSED_UNUSED">"c8410"</definedName>
    <definedName name="IQ_FIXED_INVEST_APR_UNUSED_UNUSED_UNUSED">"c7530"</definedName>
    <definedName name="IQ_FIXED_INVEST_FC_UNUSED_UNUSED_UNUSED">"c7750"</definedName>
    <definedName name="IQ_FIXED_INVEST_POP_FC_UNUSED_UNUSED_UNUSED">"c7970"</definedName>
    <definedName name="IQ_FIXED_INVEST_POP_UNUSED_UNUSED_UNUSED">"c7090"</definedName>
    <definedName name="IQ_FIXED_INVEST_REAL_APR_FC_UNUSED_UNUSED_UNUSED">"c8518"</definedName>
    <definedName name="IQ_FIXED_INVEST_REAL_APR_UNUSED_UNUSED_UNUSED">"c7638"</definedName>
    <definedName name="IQ_FIXED_INVEST_REAL_FC_UNUSED_UNUSED_UNUSED">"c7858"</definedName>
    <definedName name="IQ_FIXED_INVEST_REAL_POP_FC_UNUSED_UNUSED_UNUSED">"c8078"</definedName>
    <definedName name="IQ_FIXED_INVEST_REAL_POP_UNUSED_UNUSED_UNUSED">"c7198"</definedName>
    <definedName name="IQ_FIXED_INVEST_REAL_UNUSED_UNUSED_UNUSED">"c6978"</definedName>
    <definedName name="IQ_FIXED_INVEST_REAL_YOY_FC_UNUSED_UNUSED_UNUSED">"c8298"</definedName>
    <definedName name="IQ_FIXED_INVEST_REAL_YOY_UNUSED_UNUSED_UNUSED">"c7418"</definedName>
    <definedName name="IQ_FIXED_INVEST_UNUSED_UNUSED_UNUSED">"c6870"</definedName>
    <definedName name="IQ_FIXED_INVEST_YOY_FC_UNUSED_UNUSED_UNUSED">"c8190"</definedName>
    <definedName name="IQ_FIXED_INVEST_YOY_UNUSED_UNUSED_UNUSED">"c7310"</definedName>
    <definedName name="IQ_FNMA_FHLMC_FDIC">"c6397"</definedName>
    <definedName name="IQ_FNMA_FHLMC_GNMA_FDIC">"c6399"</definedName>
    <definedName name="IQ_FORECLOSED_PROP_GNMA_LOANS_FFIEC">"c15272"</definedName>
    <definedName name="IQ_FORECLOSED_PROPERTIES_FDIC">"c6459"</definedName>
    <definedName name="IQ_FOREIGN_BANK_LOANS_FDIC">"c6437"</definedName>
    <definedName name="IQ_FOREIGN_BANKS_DEPOSITS_FOREIGN_FDIC">"c6481"</definedName>
    <definedName name="IQ_FOREIGN_BANKS_LOAN_CHARG_OFFS_FDIC">"c6645"</definedName>
    <definedName name="IQ_FOREIGN_BANKS_NET_CHARGE_OFFS_FDIC">"c6647"</definedName>
    <definedName name="IQ_FOREIGN_BANKS_NONTRANSACTION_ACCOUNTS_FDIC">"c6550"</definedName>
    <definedName name="IQ_FOREIGN_BANKS_RECOVERIES_FDIC">"c6646"</definedName>
    <definedName name="IQ_FOREIGN_BANKS_TRANSACTION_ACCOUNTS_FDIC">"c6542"</definedName>
    <definedName name="IQ_FOREIGN_BRANCHES_U.S._BANKS_LOANS_FDIC">"c6438"</definedName>
    <definedName name="IQ_FOREIGN_BRANCHES_US_BANKS_FDIC">"c6392"</definedName>
    <definedName name="IQ_FOREIGN_BRANCHES_US_BANKS_LOANS_FDIC">"c6438"</definedName>
    <definedName name="IQ_FOREIGN_COUNTRIES_BANKS_TOTAL_LOANS_FOREIGN_FDIC">"c6445"</definedName>
    <definedName name="IQ_FOREIGN_DEBT_SECURITIES_FDIC">"c6303"</definedName>
    <definedName name="IQ_FOREIGN_DEPOSITS_NONTRANSACTION_ACCOUNTS_FDIC">"c6549"</definedName>
    <definedName name="IQ_FOREIGN_DEPOSITS_TRANSACTION_ACCOUNTS_FDIC">"c6541"</definedName>
    <definedName name="IQ_FOREIGN_EXCHANGE_EXPOSURES_FDIC">"c6663"</definedName>
    <definedName name="IQ_FOREIGN_GOVERNMENT_LOANS_FDIC">"c6430"</definedName>
    <definedName name="IQ_FOREIGN_GOVERNMENTS_CHARGE_OFFS_FDIC">"c6600"</definedName>
    <definedName name="IQ_FOREIGN_GOVERNMENTS_DEPOSITS_FOREIGN_FDIC">"c6482"</definedName>
    <definedName name="IQ_FOREIGN_GOVERNMENTS_NET_CHARGE_OFFS_FDIC">"c6638"</definedName>
    <definedName name="IQ_FOREIGN_GOVERNMENTS_NONTRANSACTION_ACCOUNTS_FDIC">"c6551"</definedName>
    <definedName name="IQ_FOREIGN_GOVERNMENTS_RECOVERIES_FDIC">"c6619"</definedName>
    <definedName name="IQ_FOREIGN_GOVERNMENTS_TOTAL_DEPOSITS_FDIC">"c6476"</definedName>
    <definedName name="IQ_FOREIGN_GOVERNMENTS_TRANSACTION_ACCOUNTS_FDIC">"c6543"</definedName>
    <definedName name="IQ_FOREIGN_GOVT_OFFICIAL_INST_FOREIGN_DEP_FFIEC">"c15345"</definedName>
    <definedName name="IQ_FOREIGN_GOVT_OFFICIAL_INST_NON_TRANS_ACCTS_FFIEC">"c15327"</definedName>
    <definedName name="IQ_FOREIGN_GOVT_OFFICIAL_INST_TRANS_ACCTS_FFIEC">"c15319"</definedName>
    <definedName name="IQ_FQ">500</definedName>
    <definedName name="IQ_FULLY_INSURED_BROKERED_DEPOSITS_FFIEC">"c15305"</definedName>
    <definedName name="IQ_FULLY_INSURED_DEPOSITS_FDIC">"c6487"</definedName>
    <definedName name="IQ_FUND_NAV">"c15225"</definedName>
    <definedName name="IQ_FUTURES_FORWARD_CONTRACTS_NOTIONAL_AMOUNT_FDIC">"c6518"</definedName>
    <definedName name="IQ_FUTURES_FORWARD_CONTRACTS_RATE_RISK_FDIC">"c6508"</definedName>
    <definedName name="IQ_FWD">"LTM"</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WD_Q3">"504"</definedName>
    <definedName name="IQ_FWD_Q4">"505"</definedName>
    <definedName name="IQ_FWD_Q5">"506"</definedName>
    <definedName name="IQ_FWD_Q6">"507"</definedName>
    <definedName name="IQ_FWD_Q7">"508"</definedName>
    <definedName name="IQ_FWD1">"LTM"</definedName>
    <definedName name="IQ_FX_CONTRACTS_FDIC">"c6517"</definedName>
    <definedName name="IQ_FX_CONTRACTS_SPOT_FDIC">"c6356"</definedName>
    <definedName name="IQ_FY">1000</definedName>
    <definedName name="IQ_FY_DATE">"IQ_FY_DATE"</definedName>
    <definedName name="IQ_GAAP_EST_CIQ">"c13924"</definedName>
    <definedName name="IQ_GAIN_ASSETS_BR">"c454"</definedName>
    <definedName name="IQ_GAIN_ASSETS_CF_BR">"c457"</definedName>
    <definedName name="IQ_GAIN_ASSETS_REV_BR">"c474"</definedName>
    <definedName name="IQ_GAIN_INVEST_BR">"c1464"</definedName>
    <definedName name="IQ_GAIN_INVEST_CF_BR">"c482"</definedName>
    <definedName name="IQ_GAIN_INVEST_REC_BNK">"c488"</definedName>
    <definedName name="IQ_GAIN_INVEST_REV_BR">"c496"</definedName>
    <definedName name="IQ_GAIN_LOSS_HTM_AFS_SECURITIES_FOREIGN_FFIEC">"c15384"</definedName>
    <definedName name="IQ_GAIN_SALE_LOANS_FDIC">"c6673"</definedName>
    <definedName name="IQ_GAIN_SALE_RE_FDIC">"c6674"</definedName>
    <definedName name="IQ_GAINS_SALE_ASSETS_FDIC">"c6675"</definedName>
    <definedName name="IQ_GENERAL_ALLOWANCE">"c15248"</definedName>
    <definedName name="IQ_GNMA_FDIC">"c6398"</definedName>
    <definedName name="IQ_GOODWILL_FDIC">"c6334"</definedName>
    <definedName name="IQ_GOODWILL_IMPAIRMENT_FDIC">"c6678"</definedName>
    <definedName name="IQ_GOODWILL_INTAN_FDIC">"c6333"</definedName>
    <definedName name="IQ_GROSS_GW">"c519"</definedName>
    <definedName name="IQ_GROSS_INTAN">"c520"</definedName>
    <definedName name="IQ_GW_AMORT_BR">"c532"</definedName>
    <definedName name="IQ_GW_INTAN_AMORT_BR">"c1470"</definedName>
    <definedName name="IQ_GW_INTAN_AMORT_CF_BR">"c1473"</definedName>
    <definedName name="IQ_HELD_MATURITY_FDIC">"c6408"</definedName>
    <definedName name="IQ_HOME_EQUITY_LOC_NET_CHARGE_OFFS_FDIC">"c6644"</definedName>
    <definedName name="IQ_HOME_EQUITY_LOC_TOTAL_CHARGE_OFFS_FDIC">"c6606"</definedName>
    <definedName name="IQ_HOME_EQUITY_LOC_TOTAL_RECOVERIES_FDIC">"c6625"</definedName>
    <definedName name="IQ_HOUSING_COMPLETIONS_SINGLE_FAM_APR_FC_UNUSED_UNUSED_UNUSED">"c8422"</definedName>
    <definedName name="IQ_HOUSING_COMPLETIONS_SINGLE_FAM_APR_UNUSED_UNUSED_UNUSED">"c7542"</definedName>
    <definedName name="IQ_HOUSING_COMPLETIONS_SINGLE_FAM_FC_UNUSED_UNUSED_UNUSED">"c7762"</definedName>
    <definedName name="IQ_HOUSING_COMPLETIONS_SINGLE_FAM_POP_FC_UNUSED_UNUSED_UNUSED">"c7982"</definedName>
    <definedName name="IQ_HOUSING_COMPLETIONS_SINGLE_FAM_POP_UNUSED_UNUSED_UNUSED">"c7102"</definedName>
    <definedName name="IQ_HOUSING_COMPLETIONS_SINGLE_FAM_UNUSED_UNUSED_UNUSED">"c6882"</definedName>
    <definedName name="IQ_HOUSING_COMPLETIONS_SINGLE_FAM_YOY_FC_UNUSED_UNUSED_UNUSED">"c8202"</definedName>
    <definedName name="IQ_HOUSING_COMPLETIONS_SINGLE_FAM_YOY_UNUSED_UNUSED_UNUSED">"c7322"</definedName>
    <definedName name="IQ_HYBRID_CAPITAL">"c15245"</definedName>
    <definedName name="IQ_HYBRID_STRUCTURED_PRODUCTS_AVAIL_SALE_FFIEC">"c15265"</definedName>
    <definedName name="IQ_HYBRID_STRUCTURED_PRODUCTS_FFIEC">"c15262"</definedName>
    <definedName name="IQ_IB_ADVISORY_UNDERWRITING_FEES_FOREIGN_FFIEC">"c15378"</definedName>
    <definedName name="IQ_IBF_COMM_INDUST_LOANS_FFIEC">"c15298"</definedName>
    <definedName name="IQ_IBF_DEPOSIT_LIABILITIES_DUE_TO_BANKS_FFIEC">"c15300"</definedName>
    <definedName name="IQ_IMPAIRED_LOANS">"c15250"</definedName>
    <definedName name="IQ_IMPORTS_GOODS_REAL_SAAR_APR_FC_UNUSED_UNUSED_UNUSED">"c8523"</definedName>
    <definedName name="IQ_IMPORTS_GOODS_REAL_SAAR_APR_UNUSED_UNUSED_UNUSED">"c7643"</definedName>
    <definedName name="IQ_IMPORTS_GOODS_REAL_SAAR_FC_UNUSED_UNUSED_UNUSED">"c7863"</definedName>
    <definedName name="IQ_IMPORTS_GOODS_REAL_SAAR_POP_FC_UNUSED_UNUSED_UNUSED">"c8083"</definedName>
    <definedName name="IQ_IMPORTS_GOODS_REAL_SAAR_POP_UNUSED_UNUSED_UNUSED">"c7203"</definedName>
    <definedName name="IQ_IMPORTS_GOODS_REAL_SAAR_UNUSED_UNUSED_UNUSED">"c6983"</definedName>
    <definedName name="IQ_IMPORTS_GOODS_REAL_SAAR_YOY_FC_UNUSED_UNUSED_UNUSED">"c8303"</definedName>
    <definedName name="IQ_IMPORTS_GOODS_REAL_SAAR_YOY_UNUSED_UNUSED_UNUSED">"c7423"</definedName>
    <definedName name="IQ_IMPORTS_GOODS_SERVICES_APR_FC_UNUSED_UNUSED_UNUSED">"c8429"</definedName>
    <definedName name="IQ_IMPORTS_GOODS_SERVICES_APR_UNUSED_UNUSED_UNUSED">"c7549"</definedName>
    <definedName name="IQ_IMPORTS_GOODS_SERVICES_FC_UNUSED_UNUSED_UNUSED">"c7769"</definedName>
    <definedName name="IQ_IMPORTS_GOODS_SERVICES_POP_FC_UNUSED_UNUSED_UNUSED">"c7989"</definedName>
    <definedName name="IQ_IMPORTS_GOODS_SERVICES_POP_UNUSED_UNUSED_UNUSED">"c7109"</definedName>
    <definedName name="IQ_IMPORTS_GOODS_SERVICES_REAL_SAAR_APR_FC_UNUSED_UNUSED_UNUSED">"c8524"</definedName>
    <definedName name="IQ_IMPORTS_GOODS_SERVICES_REAL_SAAR_APR_UNUSED_UNUSED_UNUSED">"c7644"</definedName>
    <definedName name="IQ_IMPORTS_GOODS_SERVICES_REAL_SAAR_FC_UNUSED_UNUSED_UNUSED">"c7864"</definedName>
    <definedName name="IQ_IMPORTS_GOODS_SERVICES_REAL_SAAR_POP_FC_UNUSED_UNUSED_UNUSED">"c8084"</definedName>
    <definedName name="IQ_IMPORTS_GOODS_SERVICES_REAL_SAAR_POP_UNUSED_UNUSED_UNUSED">"c7204"</definedName>
    <definedName name="IQ_IMPORTS_GOODS_SERVICES_REAL_SAAR_UNUSED_UNUSED_UNUSED">"c6984"</definedName>
    <definedName name="IQ_IMPORTS_GOODS_SERVICES_REAL_SAAR_YOY_FC_UNUSED_UNUSED_UNUSED">"c8304"</definedName>
    <definedName name="IQ_IMPORTS_GOODS_SERVICES_REAL_SAAR_YOY_UNUSED_UNUSED_UNUSED">"c7424"</definedName>
    <definedName name="IQ_IMPORTS_GOODS_SERVICES_UNUSED_UNUSED_UNUSED">"c6889"</definedName>
    <definedName name="IQ_IMPORTS_GOODS_SERVICES_YOY_FC_UNUSED_UNUSED_UNUSED">"c8209"</definedName>
    <definedName name="IQ_IMPORTS_GOODS_SERVICES_YOY_UNUSED_UNUSED_UNUSED">"c7329"</definedName>
    <definedName name="IQ_INC_EQUITY_BR">"c550"</definedName>
    <definedName name="IQ_INCIDENTAL_CHANGES_BUSINESS_COMBINATIONS_FDIC">"c6502"</definedName>
    <definedName name="IQ_INCOME_BEFORE_EXTRA_FDIC">"c6585"</definedName>
    <definedName name="IQ_INCOME_EARNED_FDIC">"c6359"</definedName>
    <definedName name="IQ_INCOME_TAX_FOREIGN_FFIEC">"c15391"</definedName>
    <definedName name="IQ_INCOME_TAXES_FDIC">"c6582"</definedName>
    <definedName name="IQ_INDEX_CURRENCY">"c15224"</definedName>
    <definedName name="IQ_INDEX_TYPE">"c15223"</definedName>
    <definedName name="IQ_INDIVIDUAL">"c15182"</definedName>
    <definedName name="IQ_INDIVIDUAL_ACTIVE_BOARD_MEMBERSHIPS">"c15201"</definedName>
    <definedName name="IQ_INDIVIDUAL_ACTIVE_PRO_AFFILIATIONS">"c15199"</definedName>
    <definedName name="IQ_INDIVIDUAL_AGE">"c15191"</definedName>
    <definedName name="IQ_INDIVIDUAL_ASSISTANT_EMAIL">"c15206"</definedName>
    <definedName name="IQ_INDIVIDUAL_ASSISTANT_FAX">"c15208"</definedName>
    <definedName name="IQ_INDIVIDUAL_ASSISTANT_NAME">"c15205"</definedName>
    <definedName name="IQ_INDIVIDUAL_ASSISTANT_PHONE">"c15207"</definedName>
    <definedName name="IQ_INDIVIDUAL_BACKGROUND">"c15184"</definedName>
    <definedName name="IQ_INDIVIDUAL_DIRECT_FAX">"c15189"</definedName>
    <definedName name="IQ_INDIVIDUAL_DIRECT_PHONE">"c15188"</definedName>
    <definedName name="IQ_INDIVIDUAL_EDUCATION">"c15203"</definedName>
    <definedName name="IQ_INDIVIDUAL_EMAIL">"c15193"</definedName>
    <definedName name="IQ_INDIVIDUAL_FAMILY_LOAN_DOM_QUARTERLY_AVG_FFIEC">"c15479"</definedName>
    <definedName name="IQ_INDIVIDUAL_HOME_ADDRESS">"c15194"</definedName>
    <definedName name="IQ_INDIVIDUAL_HOME_FAX">"c15196"</definedName>
    <definedName name="IQ_INDIVIDUAL_HOME_PHONE">"c15195"</definedName>
    <definedName name="IQ_INDIVIDUAL_MAIN_FAX">"c15187"</definedName>
    <definedName name="IQ_INDIVIDUAL_MAIN_PHONE">"c15186"</definedName>
    <definedName name="IQ_INDIVIDUAL_MOBILE">"c15198"</definedName>
    <definedName name="IQ_INDIVIDUAL_NICKNAME">"c15192"</definedName>
    <definedName name="IQ_INDIVIDUAL_NOTES">"c15204"</definedName>
    <definedName name="IQ_INDIVIDUAL_OFFICE_ADDRESS">"c15185"</definedName>
    <definedName name="IQ_INDIVIDUAL_OTHER_PHONE">"c15197"</definedName>
    <definedName name="IQ_INDIVIDUAL_PARTNER_CORP_NON_TRANS_ACCTS_FFIEC">"c15322"</definedName>
    <definedName name="IQ_INDIVIDUAL_PARTNER_CORP_TRANS_ACCTS_FFIEC">"c15314"</definedName>
    <definedName name="IQ_INDIVIDUAL_PARTNER_CORPS_FOREIGN_DEP_FFIEC">"c15342"</definedName>
    <definedName name="IQ_INDIVIDUAL_PRIOR_BOARD_MEMBERSHIPS">"c15202"</definedName>
    <definedName name="IQ_INDIVIDUAL_PRIOR_PRO_AFFILIATIONS">"c15200"</definedName>
    <definedName name="IQ_INDIVIDUAL_SPECIALTY">"c15190"</definedName>
    <definedName name="IQ_INDIVIDUAL_TITLE">"c15183"</definedName>
    <definedName name="IQ_INDIVIDUALS_CHARGE_OFFS_FDIC">"c6599"</definedName>
    <definedName name="IQ_INDIVIDUALS_LOANS_FDIC">"c6318"</definedName>
    <definedName name="IQ_INDIVIDUALS_NET_CHARGE_OFFS_FDIC">"c6637"</definedName>
    <definedName name="IQ_INDIVIDUALS_OTHER_LOANS_FDIC">"c6321"</definedName>
    <definedName name="IQ_INDIVIDUALS_PARTNERSHIPS_CORP_DEPOSITS_FOREIGN_FDIC">"c6479"</definedName>
    <definedName name="IQ_INDIVIDUALS_PARTNERSHIPS_CORP_NONTRANSACTION_ACCOUNTS_FDIC">"c6545"</definedName>
    <definedName name="IQ_INDIVIDUALS_PARTNERSHIPS_CORP_TOTAL_DEPOSITS_FDIC">"c6471"</definedName>
    <definedName name="IQ_INDIVIDUALS_PARTNERSHIPS_CORP_TRANSACTION_ACCOUNTS_FDIC">"c6537"</definedName>
    <definedName name="IQ_INDIVIDUALS_RECOVERIES_FDIC">"c6618"</definedName>
    <definedName name="IQ_INS_SETTLE_BR">"c572"</definedName>
    <definedName name="IQ_INSIDER_3MTH_BOUGHT">"c1534"</definedName>
    <definedName name="IQ_INSIDER_3MTH_NET">"c1535"</definedName>
    <definedName name="IQ_INSIDER_3MTH_SOLD">"c1533"</definedName>
    <definedName name="IQ_INSIDER_6MTH_BOUGHT">"c1537"</definedName>
    <definedName name="IQ_INSIDER_6MTH_NET">"c1538"</definedName>
    <definedName name="IQ_INSIDER_6MTH_SOLD">"c1536"</definedName>
    <definedName name="IQ_INSIDER_LOANS_FDIC">"c6365"</definedName>
    <definedName name="IQ_INSTITUTIONS_EARNINGS_GAINS_FDIC">"c6723"</definedName>
    <definedName name="IQ_INSURANCE_COMMISSION_FEES_FDIC">"c6670"</definedName>
    <definedName name="IQ_INSURANCE_UNDERWRITING_INCOME_FDIC">"c6671"</definedName>
    <definedName name="IQ_INT_DEMAND_NOTES_FDIC">"c6567"</definedName>
    <definedName name="IQ_INT_DOMESTIC_DEPOSITS_FDIC">"c6564"</definedName>
    <definedName name="IQ_INT_EXP_BR">"c586"</definedName>
    <definedName name="IQ_INT_EXP_TOTAL_FDIC">"c6569"</definedName>
    <definedName name="IQ_INT_FED_FUNDS_FDIC">"c6566"</definedName>
    <definedName name="IQ_INT_FEE_INC_ACCEPTANCE_OTHER_BANKS_DOM_FFIEC">"c15357"</definedName>
    <definedName name="IQ_INT_FEE_INC_AGRICULTURE_LOANS_FARMERS_DOM_FFIEC">"c15355"</definedName>
    <definedName name="IQ_INT_FEE_INC_COMM_IND_LOANS_DOM_FFIEC">"c15356"</definedName>
    <definedName name="IQ_INT_FEE_INC_CREDIT_CARDS_DOM_FFIEC">"c15358"</definedName>
    <definedName name="IQ_INT_FEE_INC_DEPOSITORY_LOANS_DOM_FFIEC">"c15354"</definedName>
    <definedName name="IQ_INT_FEE_INC_FOREIGN_GOVT_LOANS_DOM_FFIEC">"c15360"</definedName>
    <definedName name="IQ_INT_FEE_INC_INDIVIDUAL_LOANS_DOM_FFIEC">"c15359"</definedName>
    <definedName name="IQ_INT_FEE_INC_RE_LOANS_DOM_FFIEC">"c15353"</definedName>
    <definedName name="IQ_INT_FEE_INC_TAX_EXEMPT_OBLIGATIONS_DOM_FFIEC">"c15362"</definedName>
    <definedName name="IQ_INT_FEE_INC_TAXABLE_OBLIGATIONS_DOM_FFIEC">"c15361"</definedName>
    <definedName name="IQ_INT_FOREIGN_DEPOSITS_FDIC">"c6565"</definedName>
    <definedName name="IQ_INT_INC_BR">"c593"</definedName>
    <definedName name="IQ_INT_INC_DEPOSITORY_INST_FDIC">"c6558"</definedName>
    <definedName name="IQ_INT_INC_DOM_LOANS_FDIC">"c6555"</definedName>
    <definedName name="IQ_INT_INC_FED_FUNDS_FDIC">"c6561"</definedName>
    <definedName name="IQ_INT_INC_FOREIGN_LOANS_FDIC">"c6556"</definedName>
    <definedName name="IQ_INT_INC_LEASE_RECEIVABLES_FDIC">"c6557"</definedName>
    <definedName name="IQ_INT_INC_OTHER_FDIC">"c6562"</definedName>
    <definedName name="IQ_INT_INC_SECURITIES_FDIC">"c6559"</definedName>
    <definedName name="IQ_INT_INC_TOTAL_FDIC">"c6563"</definedName>
    <definedName name="IQ_INT_INC_TRADING_ACCOUNTS_FDIC">"c6560"</definedName>
    <definedName name="IQ_INT_SAVINGS_DEPOSITS_MMDA_DOM_FFIEC">"c15364"</definedName>
    <definedName name="IQ_INT_SUB_NOTES_FDIC">"c6568"</definedName>
    <definedName name="IQ_INT_TRANSACTION_ACCOUNTS_DOM_FFIEC">"c15363"</definedName>
    <definedName name="IQ_INTEREST_ACCRUED_ON_DEPOSITS_DOM_FFIEC">"c15277"</definedName>
    <definedName name="IQ_INTEREST_BEARING_BALANCES_FDIC">"c6371"</definedName>
    <definedName name="IQ_INTEREST_BEARING_BALANCES_QUARTERLY_AVG_FFIEC">"c15467"</definedName>
    <definedName name="IQ_INTEREST_BEARING_CASH_FFIEC">"c15259"</definedName>
    <definedName name="IQ_INTEREST_BEARING_DEPOSITS_DOMESTIC_FDIC">"c6478"</definedName>
    <definedName name="IQ_INTEREST_BEARING_DEPOSITS_FDIC">"c6373"</definedName>
    <definedName name="IQ_INTEREST_BEARING_DEPOSITS_FOREIGN_FDIC">"c6485"</definedName>
    <definedName name="IQ_INTEREST_BEARING_TRANS_DOM_QUARTERLY_AVG_FFIEC">"c15484"</definedName>
    <definedName name="IQ_INTEREST_INC_10K">"IQ_INTEREST_INC_10K"</definedName>
    <definedName name="IQ_INTEREST_INC_10Q">"IQ_INTEREST_INC_10Q"</definedName>
    <definedName name="IQ_INTEREST_INC_10Q1">"IQ_INTEREST_INC_10Q1"</definedName>
    <definedName name="IQ_INTEREST_LT_DEBT">"c2086"</definedName>
    <definedName name="IQ_INTEREST_RATE_CONTRACTS_FDIC">"c6512"</definedName>
    <definedName name="IQ_INTEREST_RATE_EXPOSURES_FDIC">"c6662"</definedName>
    <definedName name="IQ_INTERNAL_ALLOCATIONS_INC_EXP_FOREIGN_FFIEC">"c15394"</definedName>
    <definedName name="IQ_INV_REL_ID">"c15220"</definedName>
    <definedName name="IQ_INV_REL_NAME">"c15219"</definedName>
    <definedName name="IQ_INVEST_LOANS_CF_BR">"c630"</definedName>
    <definedName name="IQ_INVEST_SECURITY_CF_BR">"c639"</definedName>
    <definedName name="IQ_INVESTMENT_BANKING_OTHER_FEES_FDIC">"c6666"</definedName>
    <definedName name="IQ_IRA_KEOGH_ACCOUNTS_FDIC">"c6496"</definedName>
    <definedName name="IQ_ISM_SERVICES_APR_FC_UNUSED_UNUSED_UNUSED">"c8443"</definedName>
    <definedName name="IQ_ISM_SERVICES_APR_UNUSED_UNUSED_UNUSED">"c7563"</definedName>
    <definedName name="IQ_ISM_SERVICES_FC_UNUSED_UNUSED_UNUSED">"c7783"</definedName>
    <definedName name="IQ_ISM_SERVICES_POP_FC_UNUSED_UNUSED_UNUSED">"c8003"</definedName>
    <definedName name="IQ_ISM_SERVICES_POP_UNUSED_UNUSED_UNUSED">"c7123"</definedName>
    <definedName name="IQ_ISM_SERVICES_UNUSED_UNUSED_UNUSED">"c6903"</definedName>
    <definedName name="IQ_ISM_SERVICES_YOY_FC_UNUSED_UNUSED_UNUSED">"c8223"</definedName>
    <definedName name="IQ_ISM_SERVICES_YOY_UNUSED_UNUSED_UNUSED">"c7343"</definedName>
    <definedName name="IQ_ISSUED_GUARANTEED_US_FDIC">"c6404"</definedName>
    <definedName name="IQ_LAST_EBIT_MARGIN">"IQ_LAST_EBIT_MARGIN"</definedName>
    <definedName name="IQ_LAST_EBITDA_MARGIN">"IQ_LAST_EBITDA_MARGIN"</definedName>
    <definedName name="IQ_LAST_GROSS_MARGIN">"IQ_LAST_GROSS_MARGIN"</definedName>
    <definedName name="IQ_LAST_NET_INC_MARGIN">"IQ_LAST_NET_INC_MARGIN"</definedName>
    <definedName name="IQ_LATEST">"1"</definedName>
    <definedName name="IQ_LATESTK">1000</definedName>
    <definedName name="IQ_LATESTKFR">"50"</definedName>
    <definedName name="IQ_LATESTQ">500</definedName>
    <definedName name="IQ_LATESTQFR">"100"</definedName>
    <definedName name="IQ_LEASE_FINANCING_RECEIVABLES_CHARGE_OFFS_FDIC">"c6602"</definedName>
    <definedName name="IQ_LEASE_FINANCING_RECEIVABLES_FDIC">"c6433"</definedName>
    <definedName name="IQ_LEASE_FINANCING_RECEIVABLES_NET_CHARGE_OFFS_FDIC">"c6640"</definedName>
    <definedName name="IQ_LEASE_FINANCING_RECEIVABLES_QUARTERLY_AVG_FFIEC">"c15483"</definedName>
    <definedName name="IQ_LEASE_FINANCING_RECEIVABLES_RECOVERIES_FDIC">"c6621"</definedName>
    <definedName name="IQ_LEASE_FINANCING_RECEIVABLES_TOTAL_LOANS_FOREIGN_FDIC">"c6449"</definedName>
    <definedName name="IQ_LEGAL_SETTLE_BR">"c649"</definedName>
    <definedName name="IQ_LIFE_INSURANCE_ASSETS_FDIC">"c6372"</definedName>
    <definedName name="IQ_LOAN_COMMITMENTS_REVOLVING_FDIC">"c6524"</definedName>
    <definedName name="IQ_LOAN_LOSS_ALLOW_FDIC">"c6326"</definedName>
    <definedName name="IQ_LOAN_LOSS_ALLOWANCE_NONCURRENT_LOANS_FDIC">"c6740"</definedName>
    <definedName name="IQ_LOAN_LOSS_PROVISION_FOREIGN_FFIEC">"c15382"</definedName>
    <definedName name="IQ_LOAN_LOSSES_FDIC">"c6580"</definedName>
    <definedName name="IQ_LOANS_AND_LEASES_HELD_FDIC">"c6367"</definedName>
    <definedName name="IQ_LOANS_CF_BR">"c661"</definedName>
    <definedName name="IQ_LOANS_DEPOSITORY_INSTITUTIONS_FDIC">"c6382"</definedName>
    <definedName name="IQ_LOANS_HELD_FOREIGN_FDIC">"c6315"</definedName>
    <definedName name="IQ_LOANS_LEASES_FOREIGN_FDIC">"c6383"</definedName>
    <definedName name="IQ_LOANS_LEASES_GROSS_FDIC">"c6323"</definedName>
    <definedName name="IQ_LOANS_LEASES_GROSS_FOREIGN_FDIC">"c6384"</definedName>
    <definedName name="IQ_LOANS_LEASES_HFI_FAIR_VALUE_TOT_FFIEC">"c15401"</definedName>
    <definedName name="IQ_LOANS_LEASES_HFI_LEVEL_1_FFIEC">"c15423"</definedName>
    <definedName name="IQ_LOANS_LEASES_HFI_LEVEL_2_FFIEC">"c15436"</definedName>
    <definedName name="IQ_LOANS_LEASES_HFI_LEVEL_3_FFIEC">"c15449"</definedName>
    <definedName name="IQ_LOANS_LEASES_HFS_FAIR_VALUE_TOT_FFIEC">"c15400"</definedName>
    <definedName name="IQ_LOANS_LEASES_HFS_LEVEL_1_FFIEC">"c15422"</definedName>
    <definedName name="IQ_LOANS_LEASES_HFS_LEVEL_2_FFIEC">"c15435"</definedName>
    <definedName name="IQ_LOANS_LEASES_HFS_LEVEL_3_FFIEC">"c15448"</definedName>
    <definedName name="IQ_LOANS_LEASES_NET_FDIC">"c6327"</definedName>
    <definedName name="IQ_LOANS_LEASES_NET_UNEARNED_FDIC">"c6325"</definedName>
    <definedName name="IQ_LOANS_NOT_SECURED_RE_FDIC">"c6381"</definedName>
    <definedName name="IQ_LOANS_SECURED_BY_RE_CHARGE_OFFS_FDIC">"c6588"</definedName>
    <definedName name="IQ_LOANS_SECURED_BY_RE_RECOVERIES_FDIC">"c6607"</definedName>
    <definedName name="IQ_LOANS_SECURED_NON_US_FDIC">"c6380"</definedName>
    <definedName name="IQ_LOANS_SECURED_RE_NET_CHARGE_OFFS_FDIC">"c6626"</definedName>
    <definedName name="IQ_LOANS_TO_DEPOSITORY_INSTITUTIONS_FOREIGN_FDIC">"c6453"</definedName>
    <definedName name="IQ_LOANS_TO_FOREIGN_GOVERNMENTS_FDIC">"c6448"</definedName>
    <definedName name="IQ_LOANS_TO_INDIVIDUALS_FOREIGN_FDIC">"c6452"</definedName>
    <definedName name="IQ_LONG_TERM_ASSETS_FDIC">"c6361"</definedName>
    <definedName name="IQ_LOSS_ALLOWANCE_LOANS_FDIC">"c6739"</definedName>
    <definedName name="IQ_LT_DEBT_BR">"c676"</definedName>
    <definedName name="IQ_LT_DEBT_ISSUED_BR">"c683"</definedName>
    <definedName name="IQ_LT_DEBT_REPAID_BR">"c691"</definedName>
    <definedName name="IQ_LT_INVEST_BR">"c698"</definedName>
    <definedName name="IQ_LT_SENIOR_DEBT">"c702"</definedName>
    <definedName name="IQ_LT_SUB_DEBT">"c703"</definedName>
    <definedName name="IQ_LTM">2000</definedName>
    <definedName name="IQ_LTM_DATE">"IQ_LTM_DATE"</definedName>
    <definedName name="IQ_LTMMONTH">120000</definedName>
    <definedName name="IQ_MARKTCAP">"c258"</definedName>
    <definedName name="IQ_MATURITY_ONE_YEAR_LESS_FDIC">"c6425"</definedName>
    <definedName name="IQ_MBS_QUARTERLY_AVG_FFIEC">"c15471"</definedName>
    <definedName name="IQ_MEDIAN_NEW_HOME_SALES_APR_FC_UNUSED_UNUSED_UNUSED">"c8460"</definedName>
    <definedName name="IQ_MEDIAN_NEW_HOME_SALES_APR_UNUSED_UNUSED_UNUSED">"c7580"</definedName>
    <definedName name="IQ_MEDIAN_NEW_HOME_SALES_FC_UNUSED_UNUSED_UNUSED">"c7800"</definedName>
    <definedName name="IQ_MEDIAN_NEW_HOME_SALES_POP_FC_UNUSED_UNUSED_UNUSED">"c8020"</definedName>
    <definedName name="IQ_MEDIAN_NEW_HOME_SALES_POP_UNUSED_UNUSED_UNUSED">"c7140"</definedName>
    <definedName name="IQ_MEDIAN_NEW_HOME_SALES_UNUSED_UNUSED_UNUSED">"c6920"</definedName>
    <definedName name="IQ_MEDIAN_NEW_HOME_SALES_YOY_FC_UNUSED_UNUSED_UNUSED">"c8240"</definedName>
    <definedName name="IQ_MEDIAN_NEW_HOME_SALES_YOY_UNUSED_UNUSED_UNUSED">"c7360"</definedName>
    <definedName name="IQ_MERGER_BR">"c715"</definedName>
    <definedName name="IQ_MERGER_RESTRUCTURE_BR">"c721"</definedName>
    <definedName name="IQ_MINORITY_INTEREST_BR">"c729"</definedName>
    <definedName name="IQ_MMDA_NON_TRANS_ACCTS_FFIEC">"c15330"</definedName>
    <definedName name="IQ_MONEY_MARKET_DEPOSIT_ACCOUNTS_FDIC">"c6553"</definedName>
    <definedName name="IQ_MONTH">15000</definedName>
    <definedName name="IQ_MORTGAGE_BACKED_SECURITIES_FDIC">"c6402"</definedName>
    <definedName name="IQ_MORTGAGE_DEBT_UNDER_CAPITAL_LEASES_FFIEC">"c15276"</definedName>
    <definedName name="IQ_MORTGAGE_SERVICING_FDIC">"c6335"</definedName>
    <definedName name="IQ_MTD">800000</definedName>
    <definedName name="IQ_MULTIFAMILY_RES_DOM_FFIEC">"c15270"</definedName>
    <definedName name="IQ_MULTIFAMILY_RESIDENTIAL_LOANS_FDIC">"c6311"</definedName>
    <definedName name="IQ_NAMES_REVISION_DATE_">43915.8705439815</definedName>
    <definedName name="IQ_NAV_ACT_OR_EST">"c2225"</definedName>
    <definedName name="IQ_NET_BOOKING_LOCATION_ADJUSTMENT_FOREIGN_FFIEC">"c15385"</definedName>
    <definedName name="IQ_NET_CHARGE_OFFS_FDIC">"c6641"</definedName>
    <definedName name="IQ_NET_CHARGE_OFFS_LOANS_FDIC">"c6751"</definedName>
    <definedName name="IQ_NET_DEBT_ISSUED_BR">"c753"</definedName>
    <definedName name="IQ_NET_GAIN_LOSS_OREO_EXP_FFIEC">"c15370"</definedName>
    <definedName name="IQ_NET_GAIN_LOSS_OREO_INC_FFIEC">"c15367"</definedName>
    <definedName name="IQ_NET_GAIN_LOSS_SALES_LOANS_EXP_FFIEC">"c15371"</definedName>
    <definedName name="IQ_NET_GAIN_LOSS_SALES_LOANS_INC_FFIEC">"c15368"</definedName>
    <definedName name="IQ_NET_GAIN_SALE_PREMISES_FIXED_ASSETS_EXP_FFIEC">"c15372"</definedName>
    <definedName name="IQ_NET_GAIN_SALE_PREMISES_FIXED_ASSETS_INC_FFIEC">"c15369"</definedName>
    <definedName name="IQ_NET_INC_10K">"IQ_NET_INC_10K"</definedName>
    <definedName name="IQ_NET_INC_10Q">"IQ_NET_INC_10Q"</definedName>
    <definedName name="IQ_NET_INC_10Q1">"IQ_NET_INC_10Q1"</definedName>
    <definedName name="IQ_NET_INC_GROWTH_1">"IQ_NET_INC_GROWTH_1"</definedName>
    <definedName name="IQ_NET_INC_GROWTH_2">"IQ_NET_INC_GROWTH_2"</definedName>
    <definedName name="IQ_NET_INCOME_FDIC">"c6587"</definedName>
    <definedName name="IQ_NET_INT_INC_BNK_FDIC">"c6570"</definedName>
    <definedName name="IQ_NET_INT_INC_BR">"c765"</definedName>
    <definedName name="IQ_NET_INTEREST_INC_INTERNATIONAL_OPS_FFIEC">"c15375"</definedName>
    <definedName name="IQ_NET_INTEREST_MARGIN_FDIC">"c6726"</definedName>
    <definedName name="IQ_NET_LOANS_LEASES_CORE_DEPOSITS_FDIC">"c6743"</definedName>
    <definedName name="IQ_NET_LOANS_LEASES_DEPOSITS_FDIC">"c6742"</definedName>
    <definedName name="IQ_NET_NONINTEREST_INC_EXP_INTERNATIONAL_OPS_FFIEC">"c15387"</definedName>
    <definedName name="IQ_NET_OPERATING_INCOME_ASSETS_FDIC">"c6729"</definedName>
    <definedName name="IQ_NET_SECURITIZATION_INC_FOREIGN_FFIEC">"c15379"</definedName>
    <definedName name="IQ_NET_SECURITIZATION_INCOME_FDIC">"c6669"</definedName>
    <definedName name="IQ_NET_SERVICING_FEES_FDIC">"c6668"</definedName>
    <definedName name="IQ_NI_BANK_AND_NONCONTROLLING_INTEREST_FFIEC">"c15365"</definedName>
    <definedName name="IQ_NI_BEFORE_INTERNAL_ALLOCATIONS_FOREIGN_FFIEC">"c15393"</definedName>
    <definedName name="IQ_NI_NON_CONTROLLING_INTERESTS_FFIEC">"c15366"</definedName>
    <definedName name="IQ_NON_ACCRUAL_ASSET_SOLD_DURING_QTR_FFIEC">"c15350"</definedName>
    <definedName name="IQ_NON_INT_EXP_FDIC">"c6579"</definedName>
    <definedName name="IQ_NON_INT_INC_FDIC">"c6575"</definedName>
    <definedName name="IQ_NON_US_ADDRESSEES_TOTAL_LOANS_FOREIGN_FDIC">"c6443"</definedName>
    <definedName name="IQ_NON_US_CHARGE_OFFS_AND_RECOVERIES_FDIC">"c6650"</definedName>
    <definedName name="IQ_NON_US_CHARGE_OFFS_FDIC">"c6648"</definedName>
    <definedName name="IQ_NON_US_COMMERCIAL_INDUSTRIAL_CHARGE_OFFS_FDIC">"c6651"</definedName>
    <definedName name="IQ_NON_US_NET_LOANS_FDIC">"c6376"</definedName>
    <definedName name="IQ_NON_US_RECOVERIES_FDIC">"c6649"</definedName>
    <definedName name="IQ_NONCURRENT_LOANS_1_4_FAMILY_FDIC">"c6770"</definedName>
    <definedName name="IQ_NONCURRENT_LOANS_COMMERCIAL_INDUSTRIAL_FDIC">"c6773"</definedName>
    <definedName name="IQ_NONCURRENT_LOANS_COMMERCIAL_RE_FDIC">"c6768"</definedName>
    <definedName name="IQ_NONCURRENT_LOANS_COMMERCIAL_RE_NOT_SECURED_FDIC">"c6778"</definedName>
    <definedName name="IQ_NONCURRENT_LOANS_CONSTRUCTION_LAND_DEV_FDIC">"c6767"</definedName>
    <definedName name="IQ_NONCURRENT_LOANS_CREDIT_CARD_FDIC">"c6775"</definedName>
    <definedName name="IQ_NONCURRENT_LOANS_GUARANTEED_FDIC">"c6358"</definedName>
    <definedName name="IQ_NONCURRENT_LOANS_HOME_EQUITY_FDIC">"c6771"</definedName>
    <definedName name="IQ_NONCURRENT_LOANS_INDIVIDUALS_FDIC">"c6774"</definedName>
    <definedName name="IQ_NONCURRENT_LOANS_LEASES_FDIC">"c6357"</definedName>
    <definedName name="IQ_NONCURRENT_LOANS_MULTIFAMILY_FDIC">"c6769"</definedName>
    <definedName name="IQ_NONCURRENT_LOANS_OTHER_FAMILY_FDIC">"c6772"</definedName>
    <definedName name="IQ_NONCURRENT_LOANS_OTHER_INDIVIDUAL_FDIC">"c6776"</definedName>
    <definedName name="IQ_NONCURRENT_LOANS_OTHER_LOANS_FDIC">"c6777"</definedName>
    <definedName name="IQ_NONCURRENT_LOANS_RE_FDIC">"c6766"</definedName>
    <definedName name="IQ_NONCURRENT_LOANS_TOTAL_LOANS_FDIC">"c6765"</definedName>
    <definedName name="IQ_NONCURRENT_OREO_ASSETS_FDIC">"c6741"</definedName>
    <definedName name="IQ_NONFARM_NONRES_DOM_FFIEC">"c15271"</definedName>
    <definedName name="IQ_NONINTEREST_BEARING_BALANCES_FDIC">"c6394"</definedName>
    <definedName name="IQ_NONINTEREST_BEARING_DEPOSITS_DOMESTIC_FDIC">"c6477"</definedName>
    <definedName name="IQ_NONINTEREST_BEARING_DEPOSITS_FOREIGN_FDIC">"c6484"</definedName>
    <definedName name="IQ_NONINTEREST_EXPENSE_EARNING_ASSETS_FDIC">"c6728"</definedName>
    <definedName name="IQ_NONINTEREST_INC_FOREIGN_FFIEC">"c15376"</definedName>
    <definedName name="IQ_NONINTEREST_INCOME_EARNING_ASSETS_FDIC">"c6727"</definedName>
    <definedName name="IQ_NONMORTGAGE_SERVICING_FDIC">"c6336"</definedName>
    <definedName name="IQ_NONRES_FIXED_INVEST_PRIV_APR_FC_UNUSED_UNUSED_UNUSED">"c8468"</definedName>
    <definedName name="IQ_NONRES_FIXED_INVEST_PRIV_APR_UNUSED_UNUSED_UNUSED">"c7588"</definedName>
    <definedName name="IQ_NONRES_FIXED_INVEST_PRIV_FC_UNUSED_UNUSED_UNUSED">"c7808"</definedName>
    <definedName name="IQ_NONRES_FIXED_INVEST_PRIV_POP_FC_UNUSED_UNUSED_UNUSED">"c8028"</definedName>
    <definedName name="IQ_NONRES_FIXED_INVEST_PRIV_POP_UNUSED_UNUSED_UNUSED">"c7148"</definedName>
    <definedName name="IQ_NONRES_FIXED_INVEST_PRIV_UNUSED_UNUSED_UNUSED">"c6928"</definedName>
    <definedName name="IQ_NONRES_FIXED_INVEST_PRIV_YOY_FC_UNUSED_UNUSED_UNUSED">"c8248"</definedName>
    <definedName name="IQ_NONRES_FIXED_INVEST_PRIV_YOY_UNUSED_UNUSED_UNUSED">"c7368"</definedName>
    <definedName name="IQ_NONTRANSACTION_ACCOUNTS_FDIC">"c6552"</definedName>
    <definedName name="IQ_NOTIONAL_AMOUNT_CREDIT_DERIVATIVES_FDIC">"c6507"</definedName>
    <definedName name="IQ_NOTIONAL_VALUE_EXCHANGE_SWAPS_FDIC">"c6516"</definedName>
    <definedName name="IQ_NOTIONAL_VALUE_OTHER_SWAPS_FDIC">"c6521"</definedName>
    <definedName name="IQ_NOTIONAL_VALUE_RATE_SWAPS_FDIC">"c6511"</definedName>
    <definedName name="IQ_NTM">6000</definedName>
    <definedName name="IQ_NUM_OFFICES">"c2088"</definedName>
    <definedName name="IQ_NUMBER_DEPOSITS_LESS_THAN_100K_FDIC">"c6495"</definedName>
    <definedName name="IQ_NUMBER_DEPOSITS_MORE_THAN_100K_FDIC">"c6493"</definedName>
    <definedName name="IQ_NUMBER_SHAREHOLDERS_CLASSB">"c1969"</definedName>
    <definedName name="IQ_OBLIGATION_STATES_POLI_SUBD_US_LL_REC_DOM_FFIEC">"c15295"</definedName>
    <definedName name="IQ_OBLIGATION_STATES_POLI_SUBD_US_LL_REC_FFIEC">"c15294"</definedName>
    <definedName name="IQ_OBLIGATIONS_OF_STATES_TOTAL_LOANS_FOREIGN_FDIC">"c6447"</definedName>
    <definedName name="IQ_OBLIGATIONS_STATES_FDIC">"c6431"</definedName>
    <definedName name="IQ_OG_OTHER_ADJ">"c1999"</definedName>
    <definedName name="IQ_OG_TOTAL_OIL_PRODUCTON">"c2059"</definedName>
    <definedName name="IQ_OPENED55">1</definedName>
    <definedName name="IQ_OPER_INC_BR">"c850"</definedName>
    <definedName name="IQ_OPTIONS_EXCERCISED">"c2116"</definedName>
    <definedName name="IQ_OPTIONS_OS">"c858"</definedName>
    <definedName name="IQ_OREO_1_4_RESIDENTIAL_FDIC">"c6454"</definedName>
    <definedName name="IQ_OREO_COMMERCIAL_RE_FDIC">"c6456"</definedName>
    <definedName name="IQ_OREO_CONSTRUCTION_DEVELOPMENT_FDIC">"c6457"</definedName>
    <definedName name="IQ_OREO_FARMLAND_FDIC">"c6458"</definedName>
    <definedName name="IQ_OREO_FOREIGN_FDIC">"c6460"</definedName>
    <definedName name="IQ_OREO_FOREIGN_FFIEC">"c15273"</definedName>
    <definedName name="IQ_OREO_MULTI_FAMILY_RESIDENTIAL_FDIC">"c6455"</definedName>
    <definedName name="IQ_OTHER_AMORT_BR">"c5566"</definedName>
    <definedName name="IQ_OTHER_ASSETS_BR">"c862"</definedName>
    <definedName name="IQ_OTHER_ASSETS_FDIC">"c6338"</definedName>
    <definedName name="IQ_OTHER_BORROWED_FUNDS_FDIC">"c6345"</definedName>
    <definedName name="IQ_OTHER_BORROWED_MONEY_FAIR_VALUE_TOT_FFIEC">"c15409"</definedName>
    <definedName name="IQ_OTHER_BORROWED_MONEY_LEVEL_1_FFIEC">"c15431"</definedName>
    <definedName name="IQ_OTHER_BORROWED_MONEY_LEVEL_2_FFIEC">"c15444"</definedName>
    <definedName name="IQ_OTHER_BORROWED_MONEY_LEVEL_3_FFIEC">"c15457"</definedName>
    <definedName name="IQ_OTHER_CA_SUPPL_BR">"c871"</definedName>
    <definedName name="IQ_OTHER_CL_SUPPL_BR">"c880"</definedName>
    <definedName name="IQ_OTHER_COMPREHENSIVE_INCOME_FDIC">"c6503"</definedName>
    <definedName name="IQ_OTHER_DEBT_SECURITIES_QUARTERLY_AVG_FFIEC">"c15473"</definedName>
    <definedName name="IQ_OTHER_DEPOSITORY_INSTITUTIONS_LOANS_FDIC">"c6436"</definedName>
    <definedName name="IQ_OTHER_DEPOSITORY_INSTITUTIONS_TOTAL_LOANS_FOREIGN_FDIC">"c6442"</definedName>
    <definedName name="IQ_OTHER_DOMESTIC_DEBT_SECURITIES_FDIC">"c6302"</definedName>
    <definedName name="IQ_OTHER_EQUITY_BR">"c888"</definedName>
    <definedName name="IQ_OTHER_FINANCE_ACT_BR">"c895"</definedName>
    <definedName name="IQ_OTHER_FINANCE_ACT_SUPPL_BR">"c901"</definedName>
    <definedName name="IQ_OTHER_IBF_DEPOSIT_LIABILITIES_FFIEC">"c15301"</definedName>
    <definedName name="IQ_OTHER_INDIVIDUAL_FAMILY_DOM_QUARTERLY_AVG_FFIEC">"c15481"</definedName>
    <definedName name="IQ_OTHER_INSURANCE_FEES_FDIC">"c6672"</definedName>
    <definedName name="IQ_OTHER_INTAN_BR">"c909"</definedName>
    <definedName name="IQ_OTHER_INTANGIBLE_FDIC">"c6337"</definedName>
    <definedName name="IQ_OTHER_INVEST_ACT_BR">"c918"</definedName>
    <definedName name="IQ_OTHER_INVEST_ACT_SUPPL_BR">"c924"</definedName>
    <definedName name="IQ_OTHER_LIAB_BR">"c932"</definedName>
    <definedName name="IQ_OTHER_LIAB_LT_BR">"c937"</definedName>
    <definedName name="IQ_OTHER_LIABILITIES_FDIC">"c6347"</definedName>
    <definedName name="IQ_OTHER_LOANS_CHARGE_OFFS_FDIC">"c6601"</definedName>
    <definedName name="IQ_OTHER_LOANS_FOREIGN_FDIC">"c6446"</definedName>
    <definedName name="IQ_OTHER_LOANS_LEASES_FDIC">"c6322"</definedName>
    <definedName name="IQ_OTHER_LOANS_NET_CHARGE_OFFS_FDIC">"c6639"</definedName>
    <definedName name="IQ_OTHER_LOANS_RECOVERIES_FDIC">"c6620"</definedName>
    <definedName name="IQ_OTHER_LOANS_TOTAL_FDIC">"c6432"</definedName>
    <definedName name="IQ_OTHER_LT_ASSETS_BR">"c948"</definedName>
    <definedName name="IQ_OTHER_NON_INT_EXP_FDIC">"c6578"</definedName>
    <definedName name="IQ_OTHER_NON_INT_EXPENSE_FDIC">"c6679"</definedName>
    <definedName name="IQ_OTHER_NON_INT_INC_FDIC">"c6676"</definedName>
    <definedName name="IQ_OTHER_NON_OPER_EXP_BR">"c957"</definedName>
    <definedName name="IQ_OTHER_NON_OPER_EXP_SUPPL_BR">"c962"</definedName>
    <definedName name="IQ_OTHER_NONINTEREST_INC_FOREIGN_FFIEC">"c15380"</definedName>
    <definedName name="IQ_OTHER_OFF_BS_LIAB_FDIC">"c6533"</definedName>
    <definedName name="IQ_OTHER_OPER_ACT_BR">"c985"</definedName>
    <definedName name="IQ_OTHER_OPER_BR">"c990"</definedName>
    <definedName name="IQ_OTHER_OPER_SUPPL_BR">"c994"</definedName>
    <definedName name="IQ_OTHER_OPER_TOT_BR">"c1000"</definedName>
    <definedName name="IQ_OTHER_RE_OWNED_FDIC">"c6330"</definedName>
    <definedName name="IQ_OTHER_REV_BR">"c1011"</definedName>
    <definedName name="IQ_OTHER_REV_SUPPL_BR">"c1016"</definedName>
    <definedName name="IQ_OTHER_SAVINGS_DEPOSITS_FDIC">"c6554"</definedName>
    <definedName name="IQ_OTHER_SAVINGS_DEPOSITS_NON_TRANS_ACCTS_FFIEC">"c15331"</definedName>
    <definedName name="IQ_OTHER_SECURITIES_QUARTERLY_AVG_FFIEC">"c15472"</definedName>
    <definedName name="IQ_OTHER_TRADING_ASSETS_FAIR_VALUE_TOT_FFIEC">"c15404"</definedName>
    <definedName name="IQ_OTHER_TRADING_ASSETS_LEVEL_1_FFIEC">"c15426"</definedName>
    <definedName name="IQ_OTHER_TRADING_ASSETS_LEVEL_2_FFIEC">"c15439"</definedName>
    <definedName name="IQ_OTHER_TRADING_ASSETS_LEVEL_3_FFIEC">"c15452"</definedName>
    <definedName name="IQ_OTHER_TRADING_LIABILITIES_FAIR_VALUE_TOT_FFIEC">"c15408"</definedName>
    <definedName name="IQ_OTHER_TRADING_LIABILITIES_LEVEL_1_FFIEC">"c15430"</definedName>
    <definedName name="IQ_OTHER_TRADING_LIABILITIES_LEVEL_2_FFIEC">"c15443"</definedName>
    <definedName name="IQ_OTHER_TRADING_LIABILITIES_LEVEL_3_FFIEC">"c15456"</definedName>
    <definedName name="IQ_OTHER_TRANSACTIONS_FDIC">"c6504"</definedName>
    <definedName name="IQ_OTHER_UNUSED_COMMITMENTS_FDIC">"c6530"</definedName>
    <definedName name="IQ_OTHER_UNUSUAL_BR">"c1561"</definedName>
    <definedName name="IQ_OTHER_UNUSUAL_SUPPL_BR">"c1496"</definedName>
    <definedName name="IQ_OUTSTANDING_FILING_DATE_TOTAL">"c2107"</definedName>
    <definedName name="IQ_OVER_FIFETEEN_YEAR_MORTGAGE_PASS_THROUGHS_FDIC">"c6416"</definedName>
    <definedName name="IQ_OVER_FIFTEEN_YEAR_FIXED_AND_FLOATING_RATE_FDIC">"c6424"</definedName>
    <definedName name="IQ_OVER_THREE_YEARS_FDIC">"c6418"</definedName>
    <definedName name="IQ_PARTICIPATION_POOLS_RESIDENTIAL_MORTGAGES_FDIC">"c6403"</definedName>
    <definedName name="IQ_PAST_DUE_30_1_4_FAMILY_LOANS_FDIC">"c6693"</definedName>
    <definedName name="IQ_PAST_DUE_30_AUTO_LOANS_FDIC">"c6687"</definedName>
    <definedName name="IQ_PAST_DUE_30_CL_LOANS_FDIC">"c6688"</definedName>
    <definedName name="IQ_PAST_DUE_30_CREDIT_CARDS_RECEIVABLES_FDIC">"c6690"</definedName>
    <definedName name="IQ_PAST_DUE_30_HOME_EQUITY_LINES_FDIC">"c6691"</definedName>
    <definedName name="IQ_PAST_DUE_30_OTHER_CONSUMER_LOANS_FDIC">"c6689"</definedName>
    <definedName name="IQ_PAST_DUE_30_OTHER_LOANS_FDIC">"c6692"</definedName>
    <definedName name="IQ_PAST_DUE_90_1_4_FAMILY_LOANS_FDIC">"c6700"</definedName>
    <definedName name="IQ_PAST_DUE_90_AUTO_LOANS_FDIC">"c6694"</definedName>
    <definedName name="IQ_PAST_DUE_90_CL_LOANS_FDIC">"c6695"</definedName>
    <definedName name="IQ_PAST_DUE_90_CREDIT_CARDS_RECEIVABLES_FDIC">"c6697"</definedName>
    <definedName name="IQ_PAST_DUE_90_HOME_EQUITY_LINES_FDIC">"c6698"</definedName>
    <definedName name="IQ_PAST_DUE_90_OTHER_CONSUMER_LOANS_FDIC">"c6696"</definedName>
    <definedName name="IQ_PAST_DUE_90_OTHER_LOANS_FDIC">"c6699"</definedName>
    <definedName name="IQ_PBV_FWD">"c15235"</definedName>
    <definedName name="IQ_PBV_FWD_CIQ">"c15236"</definedName>
    <definedName name="IQ_PC_WRITTEN">"c1027"</definedName>
    <definedName name="IQ_PERCENT_CHANGE_EST_FFO_12MONTHS">"c1828"</definedName>
    <definedName name="IQ_PERCENT_CHANGE_EST_FFO_12MONTHS_CIQ">"c3769"</definedName>
    <definedName name="IQ_PERCENT_CHANGE_EST_FFO_12MONTHS_REUT">"c3938"</definedName>
    <definedName name="IQ_PERCENT_CHANGE_EST_FFO_12MONTHS_THOM">"c5248"</definedName>
    <definedName name="IQ_PERCENT_CHANGE_EST_FFO_18MONTHS">"c1829"</definedName>
    <definedName name="IQ_PERCENT_CHANGE_EST_FFO_18MONTHS_CIQ">"c3770"</definedName>
    <definedName name="IQ_PERCENT_CHANGE_EST_FFO_18MONTHS_REUT">"c3939"</definedName>
    <definedName name="IQ_PERCENT_CHANGE_EST_FFO_18MONTHS_THOM">"c5249"</definedName>
    <definedName name="IQ_PERCENT_CHANGE_EST_FFO_3MONTHS">"c1825"</definedName>
    <definedName name="IQ_PERCENT_CHANGE_EST_FFO_3MONTHS_CIQ">"c3766"</definedName>
    <definedName name="IQ_PERCENT_CHANGE_EST_FFO_3MONTHS_REUT">"c3935"</definedName>
    <definedName name="IQ_PERCENT_CHANGE_EST_FFO_3MONTHS_THOM">"c5245"</definedName>
    <definedName name="IQ_PERCENT_CHANGE_EST_FFO_6MONTHS">"c1826"</definedName>
    <definedName name="IQ_PERCENT_CHANGE_EST_FFO_6MONTHS_CIQ">"c3767"</definedName>
    <definedName name="IQ_PERCENT_CHANGE_EST_FFO_6MONTHS_REUT">"c3936"</definedName>
    <definedName name="IQ_PERCENT_CHANGE_EST_FFO_6MONTHS_THOM">"c5246"</definedName>
    <definedName name="IQ_PERCENT_CHANGE_EST_FFO_9MONTHS">"c1827"</definedName>
    <definedName name="IQ_PERCENT_CHANGE_EST_FFO_9MONTHS_CIQ">"c3768"</definedName>
    <definedName name="IQ_PERCENT_CHANGE_EST_FFO_9MONTHS_REUT">"c3937"</definedName>
    <definedName name="IQ_PERCENT_CHANGE_EST_FFO_9MONTHS_THOM">"c5247"</definedName>
    <definedName name="IQ_PERCENT_CHANGE_EST_FFO_DAY">"c1822"</definedName>
    <definedName name="IQ_PERCENT_CHANGE_EST_FFO_DAY_CIQ">"c3764"</definedName>
    <definedName name="IQ_PERCENT_CHANGE_EST_FFO_DAY_REUT">"c3933"</definedName>
    <definedName name="IQ_PERCENT_CHANGE_EST_FFO_DAY_THOM">"c5243"</definedName>
    <definedName name="IQ_PERCENT_CHANGE_EST_FFO_MONTH">"c1824"</definedName>
    <definedName name="IQ_PERCENT_CHANGE_EST_FFO_MONTH_CIQ">"c3765"</definedName>
    <definedName name="IQ_PERCENT_CHANGE_EST_FFO_MONTH_REUT">"c3934"</definedName>
    <definedName name="IQ_PERCENT_CHANGE_EST_FFO_MONTH_THOM">"c5244"</definedName>
    <definedName name="IQ_PERCENT_CHANGE_EST_FFO_SHARE_SHARE_12MONTHS">"c1828"</definedName>
    <definedName name="IQ_PERCENT_CHANGE_EST_FFO_SHARE_SHARE_12MONTHS_CIQ">"c3769"</definedName>
    <definedName name="IQ_PERCENT_CHANGE_EST_FFO_SHARE_SHARE_12MONTHS_THOM">"c5248"</definedName>
    <definedName name="IQ_PERCENT_CHANGE_EST_FFO_SHARE_SHARE_18MONTHS">"c1829"</definedName>
    <definedName name="IQ_PERCENT_CHANGE_EST_FFO_SHARE_SHARE_18MONTHS_CIQ">"c3770"</definedName>
    <definedName name="IQ_PERCENT_CHANGE_EST_FFO_SHARE_SHARE_18MONTHS_THOM">"c5249"</definedName>
    <definedName name="IQ_PERCENT_CHANGE_EST_FFO_SHARE_SHARE_3MONTHS">"c1825"</definedName>
    <definedName name="IQ_PERCENT_CHANGE_EST_FFO_SHARE_SHARE_3MONTHS_CIQ">"c3766"</definedName>
    <definedName name="IQ_PERCENT_CHANGE_EST_FFO_SHARE_SHARE_3MONTHS_THOM">"c5245"</definedName>
    <definedName name="IQ_PERCENT_CHANGE_EST_FFO_SHARE_SHARE_6MONTHS">"c1826"</definedName>
    <definedName name="IQ_PERCENT_CHANGE_EST_FFO_SHARE_SHARE_6MONTHS_CIQ">"c3767"</definedName>
    <definedName name="IQ_PERCENT_CHANGE_EST_FFO_SHARE_SHARE_6MONTHS_THOM">"c5246"</definedName>
    <definedName name="IQ_PERCENT_CHANGE_EST_FFO_SHARE_SHARE_9MONTHS">"c1827"</definedName>
    <definedName name="IQ_PERCENT_CHANGE_EST_FFO_SHARE_SHARE_9MONTHS_CIQ">"c3768"</definedName>
    <definedName name="IQ_PERCENT_CHANGE_EST_FFO_SHARE_SHARE_9MONTHS_THOM">"c5247"</definedName>
    <definedName name="IQ_PERCENT_CHANGE_EST_FFO_SHARE_SHARE_DAY">"c1822"</definedName>
    <definedName name="IQ_PERCENT_CHANGE_EST_FFO_SHARE_SHARE_DAY_CIQ">"c3764"</definedName>
    <definedName name="IQ_PERCENT_CHANGE_EST_FFO_SHARE_SHARE_DAY_THOM">"c5243"</definedName>
    <definedName name="IQ_PERCENT_CHANGE_EST_FFO_SHARE_SHARE_MONTH">"c1824"</definedName>
    <definedName name="IQ_PERCENT_CHANGE_EST_FFO_SHARE_SHARE_MONTH_CIQ">"c3765"</definedName>
    <definedName name="IQ_PERCENT_CHANGE_EST_FFO_SHARE_SHARE_MONTH_THOM">"c5244"</definedName>
    <definedName name="IQ_PERCENT_CHANGE_EST_FFO_SHARE_SHARE_WEEK">"c1823"</definedName>
    <definedName name="IQ_PERCENT_CHANGE_EST_FFO_SHARE_SHARE_WEEK_CIQ">"c3795"</definedName>
    <definedName name="IQ_PERCENT_CHANGE_EST_FFO_SHARE_SHARE_WEEK_THOM">"c5274"</definedName>
    <definedName name="IQ_PERCENT_CHANGE_EST_FFO_WEEK">"c1823"</definedName>
    <definedName name="IQ_PERCENT_CHANGE_EST_FFO_WEEK_CIQ">"c3795"</definedName>
    <definedName name="IQ_PERCENT_CHANGE_EST_FFO_WEEK_REUT">"c3964"</definedName>
    <definedName name="IQ_PERCENT_CHANGE_EST_FFO_WEEK_THOM">"c5274"</definedName>
    <definedName name="IQ_PERCENT_INSURED_FDIC">"c6374"</definedName>
    <definedName name="IQ_PERIODDATE_FDIC">"c13646"</definedName>
    <definedName name="IQ_PLEDGED_SECURITIES_FDIC">"c6401"</definedName>
    <definedName name="IQ_PRE_TAX_INCOME_FDIC">"c6581"</definedName>
    <definedName name="IQ_PREF_ISSUED_BR">"c1047"</definedName>
    <definedName name="IQ_PREF_OTHER_BR">"c1055"</definedName>
    <definedName name="IQ_PREF_REP_BR">"c1062"</definedName>
    <definedName name="IQ_PREFERRED_DEPOSITS_FFIEC">"c15312"</definedName>
    <definedName name="IQ_PREFERRED_FDIC">"c6349"</definedName>
    <definedName name="IQ_PREMISES_EQUIPMENT_FDIC">"c6577"</definedName>
    <definedName name="IQ_PRESIDENT_ID">"c15216"</definedName>
    <definedName name="IQ_PRESIDENT_NAME">"c15215"</definedName>
    <definedName name="IQ_PRETAX_INC">"IQ_PRETAX_INC"</definedName>
    <definedName name="IQ_PRETAX_INC_10K">"IQ_PRETAX_INC_10K"</definedName>
    <definedName name="IQ_PRETAX_INC_10Q">"IQ_PRETAX_INC_10Q"</definedName>
    <definedName name="IQ_PRETAX_INC_10Q1">"IQ_PRETAX_INC_10Q1"</definedName>
    <definedName name="IQ_PRETAX_INC_AFTER_CAP_ALLOCATION_FOREIGN_FFIEC">"c15390"</definedName>
    <definedName name="IQ_PRETAX_INC_BEFORE_CAP_ALLOCATION_FOREIGN_FFIEC">"c15388"</definedName>
    <definedName name="IQ_PRETAX_RETURN_ASSETS_FDIC">"c6731"</definedName>
    <definedName name="IQ_PRICE_OVER_EPS_EST">"IQ_PRICE_OVER_EPS_EST"</definedName>
    <definedName name="IQ_PRICE_OVER_EPS_EST_1">"IQ_PRICE_OVER_EPS_EST_1"</definedName>
    <definedName name="IQ_PRICEDATETIME">"IQ_PRICEDATETIME"</definedName>
    <definedName name="IQ_PRIVATE_CONST_TOTAL_APR_FC_UNUSED_UNUSED_UNUSED">"c8559"</definedName>
    <definedName name="IQ_PRIVATE_CONST_TOTAL_APR_UNUSED_UNUSED_UNUSED">"c7679"</definedName>
    <definedName name="IQ_PRIVATE_CONST_TOTAL_FC_UNUSED_UNUSED_UNUSED">"c7899"</definedName>
    <definedName name="IQ_PRIVATE_CONST_TOTAL_POP_FC_UNUSED_UNUSED_UNUSED">"c8119"</definedName>
    <definedName name="IQ_PRIVATE_CONST_TOTAL_POP_UNUSED_UNUSED_UNUSED">"c7239"</definedName>
    <definedName name="IQ_PRIVATE_CONST_TOTAL_UNUSED_UNUSED_UNUSED">"c7019"</definedName>
    <definedName name="IQ_PRIVATE_CONST_TOTAL_YOY_FC_UNUSED_UNUSED_UNUSED">"c8339"</definedName>
    <definedName name="IQ_PRIVATE_CONST_TOTAL_YOY_UNUSED_UNUSED_UNUSED">"c7459"</definedName>
    <definedName name="IQ_PRIVATE_RES_CONST_REAL_APR_FC_UNUSED_UNUSED_UNUSED">"c8535"</definedName>
    <definedName name="IQ_PRIVATE_RES_CONST_REAL_APR_UNUSED_UNUSED_UNUSED">"c7655"</definedName>
    <definedName name="IQ_PRIVATE_RES_CONST_REAL_FC_UNUSED_UNUSED_UNUSED">"c7875"</definedName>
    <definedName name="IQ_PRIVATE_RES_CONST_REAL_POP_FC_UNUSED_UNUSED_UNUSED">"c8095"</definedName>
    <definedName name="IQ_PRIVATE_RES_CONST_REAL_POP_UNUSED_UNUSED_UNUSED">"c7215"</definedName>
    <definedName name="IQ_PRIVATE_RES_CONST_REAL_UNUSED_UNUSED_UNUSED">"c6995"</definedName>
    <definedName name="IQ_PRIVATE_RES_CONST_REAL_YOY_FC_UNUSED_UNUSED_UNUSED">"c8315"</definedName>
    <definedName name="IQ_PRIVATE_RES_CONST_REAL_YOY_UNUSED_UNUSED_UNUSED">"c7435"</definedName>
    <definedName name="IQ_PRIVATELY_ISSUED_MORTGAGE_BACKED_SECURITIES_FDIC">"c6407"</definedName>
    <definedName name="IQ_PRIVATELY_ISSUED_MORTGAGE_PASS_THROUGHS_FDIC">"c6405"</definedName>
    <definedName name="IQ_PROFESSIONAL_ASSISTANT_EMAIL">"c15169"</definedName>
    <definedName name="IQ_PROFESSIONAL_ASSISTANT_FAX">"c15171"</definedName>
    <definedName name="IQ_PROFESSIONAL_ASSISTANT_NAME">"c15168"</definedName>
    <definedName name="IQ_PROFESSIONAL_ASSISTANT_PHONE">"c15170"</definedName>
    <definedName name="IQ_PROFESSIONAL_BACKGROUND">"c15161"</definedName>
    <definedName name="IQ_PROFESSIONAL_DIRECT_FAX">"c15166"</definedName>
    <definedName name="IQ_PROFESSIONAL_DIRECT_PHONE">"c15165"</definedName>
    <definedName name="IQ_PROFESSIONAL_EMAIL">"c15167"</definedName>
    <definedName name="IQ_PROFESSIONAL_MAIN_FAX">"c15164"</definedName>
    <definedName name="IQ_PROFESSIONAL_MAIN_PHONE">"c15163"</definedName>
    <definedName name="IQ_PROFESSIONAL_OFFICE_ADDRESS">"c15162"</definedName>
    <definedName name="IQ_PURCHASE_FOREIGN_CURRENCIES_FDIC">"c6513"</definedName>
    <definedName name="IQ_PURCHASED_OPTION_CONTRACTS_FDIC">"c6510"</definedName>
    <definedName name="IQ_PURCHASED_OPTION_CONTRACTS_FX_RISK_FDIC">"c6515"</definedName>
    <definedName name="IQ_PURCHASED_OPTION_CONTRACTS_NON_FX_IR_FDIC">"c6520"</definedName>
    <definedName name="IQ_PURCHASES_EQUIP_NONRES_SAAR_APR_FC_UNUSED_UNUSED_UNUSED">"c8491"</definedName>
    <definedName name="IQ_PURCHASES_EQUIP_NONRES_SAAR_APR_UNUSED_UNUSED_UNUSED">"c7611"</definedName>
    <definedName name="IQ_PURCHASES_EQUIP_NONRES_SAAR_FC_UNUSED_UNUSED_UNUSED">"c7831"</definedName>
    <definedName name="IQ_PURCHASES_EQUIP_NONRES_SAAR_POP_FC_UNUSED_UNUSED_UNUSED">"c8051"</definedName>
    <definedName name="IQ_PURCHASES_EQUIP_NONRES_SAAR_POP_UNUSED_UNUSED_UNUSED">"c7171"</definedName>
    <definedName name="IQ_PURCHASES_EQUIP_NONRES_SAAR_UNUSED_UNUSED_UNUSED">"c6951"</definedName>
    <definedName name="IQ_PURCHASES_EQUIP_NONRES_SAAR_YOY_FC_UNUSED_UNUSED_UNUSED">"c8271"</definedName>
    <definedName name="IQ_PURCHASES_EQUIP_NONRES_SAAR_YOY_UNUSED_UNUSED_UNUSED">"c7391"</definedName>
    <definedName name="IQ_QTD">750000</definedName>
    <definedName name="IQ_RE_FORECLOSURE_FDIC">"c6332"</definedName>
    <definedName name="IQ_RE_INVEST_FDIC">"c6331"</definedName>
    <definedName name="IQ_RE_LOANS_DOM_QUARTERLY_AVG_FFIEC">"c15476"</definedName>
    <definedName name="IQ_RE_LOANS_DOMESTIC_CHARGE_OFFS_FDIC">"c6589"</definedName>
    <definedName name="IQ_RE_LOANS_DOMESTIC_FDIC">"c6309"</definedName>
    <definedName name="IQ_RE_LOANS_DOMESTIC_NET_CHARGE_OFFS_FDIC">"c6627"</definedName>
    <definedName name="IQ_RE_LOANS_DOMESTIC_RECOVERIES_FDIC">"c6608"</definedName>
    <definedName name="IQ_RE_LOANS_FDIC">"c6308"</definedName>
    <definedName name="IQ_RE_LOANS_FOREIGN_CHARGE_OFFS_FDIC">"c6595"</definedName>
    <definedName name="IQ_RE_LOANS_FOREIGN_NET_CHARGE_OFFS_FDIC">"c6633"</definedName>
    <definedName name="IQ_RE_LOANS_FOREIGN_RECOVERIES_FDIC">"c6614"</definedName>
    <definedName name="IQ_RECOVERIES_1_4_FAMILY_LOANS_FDIC">"c6707"</definedName>
    <definedName name="IQ_RECOVERIES_AUTO_LOANS_FDIC">"c6701"</definedName>
    <definedName name="IQ_RECOVERIES_CL_LOANS_FDIC">"c6702"</definedName>
    <definedName name="IQ_RECOVERIES_CREDIT_CARDS_RECEIVABLES_FDIC">"c6704"</definedName>
    <definedName name="IQ_RECOVERIES_HOME_EQUITY_LINES_FDIC">"c6705"</definedName>
    <definedName name="IQ_RECOVERIES_OTHER_CONSUMER_LOANS_FDIC">"c6703"</definedName>
    <definedName name="IQ_RECOVERIES_OTHER_LOANS_FDIC">"c6706"</definedName>
    <definedName name="IQ_RELATED_PLANS_FDIC">"c6320"</definedName>
    <definedName name="IQ_RES_CONST_REAL_APR_FC_UNUSED_UNUSED_UNUSED">"c8536"</definedName>
    <definedName name="IQ_RES_CONST_REAL_APR_UNUSED_UNUSED_UNUSED">"c7656"</definedName>
    <definedName name="IQ_RES_CONST_REAL_FC_UNUSED_UNUSED_UNUSED">"c7876"</definedName>
    <definedName name="IQ_RES_CONST_REAL_POP_FC_UNUSED_UNUSED_UNUSED">"c8096"</definedName>
    <definedName name="IQ_RES_CONST_REAL_POP_UNUSED_UNUSED_UNUSED">"c7216"</definedName>
    <definedName name="IQ_RES_CONST_REAL_SAAR_APR_FC_UNUSED_UNUSED_UNUSED">"c8537"</definedName>
    <definedName name="IQ_RES_CONST_REAL_SAAR_APR_UNUSED_UNUSED_UNUSED">"c7657"</definedName>
    <definedName name="IQ_RES_CONST_REAL_SAAR_FC_UNUSED_UNUSED_UNUSED">"c7877"</definedName>
    <definedName name="IQ_RES_CONST_REAL_SAAR_POP_FC_UNUSED_UNUSED_UNUSED">"c8097"</definedName>
    <definedName name="IQ_RES_CONST_REAL_SAAR_POP_UNUSED_UNUSED_UNUSED">"c7217"</definedName>
    <definedName name="IQ_RES_CONST_REAL_SAAR_UNUSED_UNUSED_UNUSED">"c6997"</definedName>
    <definedName name="IQ_RES_CONST_REAL_SAAR_YOY_FC_UNUSED_UNUSED_UNUSED">"c8317"</definedName>
    <definedName name="IQ_RES_CONST_REAL_SAAR_YOY_UNUSED_UNUSED_UNUSED">"c7437"</definedName>
    <definedName name="IQ_RES_CONST_REAL_UNUSED_UNUSED_UNUSED">"c6996"</definedName>
    <definedName name="IQ_RES_CONST_REAL_YOY_FC_UNUSED_UNUSED_UNUSED">"c8316"</definedName>
    <definedName name="IQ_RES_CONST_REAL_YOY_UNUSED_UNUSED_UNUSED">"c7436"</definedName>
    <definedName name="IQ_RES_CONST_SAAR_APR_FC_UNUSED_UNUSED_UNUSED">"c8540"</definedName>
    <definedName name="IQ_RES_CONST_SAAR_APR_UNUSED_UNUSED_UNUSED">"c7660"</definedName>
    <definedName name="IQ_RES_CONST_SAAR_FC_UNUSED_UNUSED_UNUSED">"c7880"</definedName>
    <definedName name="IQ_RES_CONST_SAAR_POP_FC_UNUSED_UNUSED_UNUSED">"c8100"</definedName>
    <definedName name="IQ_RES_CONST_SAAR_POP_UNUSED_UNUSED_UNUSED">"c7220"</definedName>
    <definedName name="IQ_RES_CONST_SAAR_UNUSED_UNUSED_UNUSED">"c7000"</definedName>
    <definedName name="IQ_RES_CONST_SAAR_YOY_FC_UNUSED_UNUSED_UNUSED">"c8320"</definedName>
    <definedName name="IQ_RES_CONST_SAAR_YOY_UNUSED_UNUSED_UNUSED">"c7440"</definedName>
    <definedName name="IQ_RESIDENTIAL_LOANS">"c1102"</definedName>
    <definedName name="IQ_RESTATEMENTS_NET_FDIC">"c6500"</definedName>
    <definedName name="IQ_RESTRUCTURE_BR">"c1106"</definedName>
    <definedName name="IQ_RESTRUCTURED_LOANS_1_4_RESIDENTIAL_FDIC">"c6378"</definedName>
    <definedName name="IQ_RESTRUCTURED_LOANS_LEASES_FDIC">"c6377"</definedName>
    <definedName name="IQ_RESTRUCTURED_LOANS_NON_1_4_FDIC">"c6379"</definedName>
    <definedName name="IQ_RETAIL_DEPOSITS_FDIC">"c6488"</definedName>
    <definedName name="IQ_RETAINED_EARNINGS_AVERAGE_EQUITY_FDIC">"c6733"</definedName>
    <definedName name="IQ_RETURN_ASSETS_BROK">"c1115"</definedName>
    <definedName name="IQ_RETURN_ASSETS_FDIC">"c6730"</definedName>
    <definedName name="IQ_RETURN_EQUITY_BROK">"c1120"</definedName>
    <definedName name="IQ_RETURN_EQUITY_FDIC">"c6732"</definedName>
    <definedName name="IQ_REV_BEFORE_LOAN_LOSS_FOREIGN_FFIEC">"c15381"</definedName>
    <definedName name="IQ_REV_DATE_">39482.3981597222</definedName>
    <definedName name="IQ_REVALUATION_GAINS_FDIC">"c6428"</definedName>
    <definedName name="IQ_REVALUATION_LOSSES_FDIC">"c6429"</definedName>
    <definedName name="IQ_REVENUE_10K">"IQ_REVENUE_10K"</definedName>
    <definedName name="IQ_REVENUE_10Q">"IQ_REVENUE_10Q"</definedName>
    <definedName name="IQ_REVENUE_10Q1">"IQ_REVENUE_10Q1"</definedName>
    <definedName name="IQ_REVENUE_EST_1">"IQ_REVENUE_EST_1"</definedName>
    <definedName name="IQ_REVENUE_GROWTH_1">"IQ_REVENUE_GROWTH_1"</definedName>
    <definedName name="IQ_REVENUE_GROWTH_2">"IQ_REVENUE_GROWTH_2"</definedName>
    <definedName name="IQ_REVENUE_NO_EST">"c263"</definedName>
    <definedName name="IQ_REVISION_DATE_FM">39492.863587963</definedName>
    <definedName name="IQ_REVISION_DATE_v2">"17/02/2006 15:13:32"</definedName>
    <definedName name="IQ_REVOLVING_SECURED_1_4_NON_ACCRUAL_FFIEC">"c13314"</definedName>
    <definedName name="IQ_RISK_WEIGHTED_ASSETS_FDIC">"c6370"</definedName>
    <definedName name="IQ_SALARY_FDIC">"c6576"</definedName>
    <definedName name="IQ_SALE_CONVERSION_ACQUISITION_NET_COMMON_FFIEC">"c15351"</definedName>
    <definedName name="IQ_SALE_CONVERSION_RETIREMENT_STOCK_FDIC">"c6661"</definedName>
    <definedName name="IQ_SALE_INTAN_CF_BR">"c1133"</definedName>
    <definedName name="IQ_SALE_PPE_CF_BR">"c1139"</definedName>
    <definedName name="IQ_SALE_REAL_ESTATE_CF_BR">"c1145"</definedName>
    <definedName name="IQ_SAVINGS_DEPOSITS_NON_TRANS_ACCTS_FFIEC">"c15329"</definedName>
    <definedName name="IQ_SAVINGS_DEPOSITS_QUARTERLY_AVG_FFIEC">"c15485"</definedName>
    <definedName name="IQ_SEC_OTHER_NONFARM_NONRES_NON_ACCRUAL_FFIEC">"c15462"</definedName>
    <definedName name="IQ_SEC_OWNER_NONFARM_NONRES_NON_ACCRUAL_FFIEC">"c15461"</definedName>
    <definedName name="IQ_SECURED_1_4_FAMILY_RESIDENTIAL_CHARGE_OFFS_FDIC">"c6590"</definedName>
    <definedName name="IQ_SECURED_1_4_FAMILY_RESIDENTIAL_NET_CHARGE_OFFS_FDIC">"c6628"</definedName>
    <definedName name="IQ_SECURED_1_4_FAMILY_RESIDENTIAL_RECOVERIES_FDIC">"c6609"</definedName>
    <definedName name="IQ_SECURED_FARMLAND_CHARGE_OFFS_FDIC">"c6593"</definedName>
    <definedName name="IQ_SECURED_FARMLAND_NET_CHARGE_OFFS_FDIC">"c6631"</definedName>
    <definedName name="IQ_SECURED_FARMLAND_RECOVERIES_FDIC">"c6612"</definedName>
    <definedName name="IQ_SECURED_MULTIFAMILY_RESIDENTIAL_CHARGE_OFFS_FDIC">"c6591"</definedName>
    <definedName name="IQ_SECURED_MULTIFAMILY_RESIDENTIAL_NET_CHARGE_OFFS_FDIC">"c6629"</definedName>
    <definedName name="IQ_SECURED_MULTIFAMILY_RESIDENTIAL_RECOVERIES_FDIC">"c6610"</definedName>
    <definedName name="IQ_SECURED_NONFARM_NONRESIDENTIAL_CHARGE_OFFS_FDIC">"c6592"</definedName>
    <definedName name="IQ_SECURED_NONFARM_NONRESIDENTIAL_NET_CHARGE_OFFS_FDIC">"c6630"</definedName>
    <definedName name="IQ_SECURED_NONFARM_NONRESIDENTIAL_RECOVERIES_FDIC">"c6611"</definedName>
    <definedName name="IQ_SECURITIES_GAINS_FDIC">"c6584"</definedName>
    <definedName name="IQ_SECURITIES_ISSUED_STATES_FDIC">"c6300"</definedName>
    <definedName name="IQ_SECURITIES_LENT_FDIC">"c6532"</definedName>
    <definedName name="IQ_SECURITIES_STATE_POLI_SUBD_QUARTERLY_AVG_FFIEC">"c15470"</definedName>
    <definedName name="IQ_SECURITIES_UNDERWRITING_FDIC">"c6529"</definedName>
    <definedName name="IQ_SECURITY_ACTIVE_STATUS">"c15160"</definedName>
    <definedName name="IQ_SECURITY_NAME">"c15159"</definedName>
    <definedName name="IQ_SERVICE_CHARGES_FDIC">"c6572"</definedName>
    <definedName name="IQ_SHAREOUTSTANDING">"c1347"</definedName>
    <definedName name="IQ_SPECIAL_DIV_CF_BR">"c1171"</definedName>
    <definedName name="IQ_SPECIFIC_ALLOWANCE">"c15247"</definedName>
    <definedName name="IQ_ST_DEBT_BR">"c1178"</definedName>
    <definedName name="IQ_ST_DEBT_ISSUED_BR">"c1183"</definedName>
    <definedName name="IQ_ST_DEBT_REPAID_BR">"c1191"</definedName>
    <definedName name="IQ_STANDBY_LOC_FHLB_BANK_BEHALF_OFF_BS_FFIEC">"c15412"</definedName>
    <definedName name="IQ_STATES_NONTRANSACTION_ACCOUNTS_FDIC">"c6547"</definedName>
    <definedName name="IQ_STATES_POLI_SUBD_US_NON_TRANS_ACCTS_FFIEC">"c15324"</definedName>
    <definedName name="IQ_STATES_POLI_SUBD_US_TRANS_ACCTS_FFIEC">"c15316"</definedName>
    <definedName name="IQ_STATES_TOTAL_DEPOSITS_FDIC">"c6473"</definedName>
    <definedName name="IQ_STATES_TRANSACTION_ACCOUNTS_FDIC">"c6539"</definedName>
    <definedName name="IQ_SUB_DEBT_FDIC">"c6346"</definedName>
    <definedName name="IQ_SUB_NOTES_DEBENTURES_FAIR_VALUE_TOT_FFIEC">"c15410"</definedName>
    <definedName name="IQ_SUB_NOTES_DEBENTURES_LEVEL_1_FFIEC">"c15432"</definedName>
    <definedName name="IQ_SUB_NOTES_DEBENTURES_LEVEL_2_FFIEC">"c15445"</definedName>
    <definedName name="IQ_SUB_NOTES_DEBENTURES_LEVEL_3_FFIEC">"c15458"</definedName>
    <definedName name="IQ_SURPLUS_FDIC">"c6351"</definedName>
    <definedName name="IQ_SYNTHETIC_STRUCTURED_PRODUCTS_AVAIL_SALE_FFIEC">"c15264"</definedName>
    <definedName name="IQ_SYNTHETIC_STRUCTURED_PRODUCTS_FFIEC">"c15261"</definedName>
    <definedName name="IQ_TARGET_PRICE_LASTCLOSE">"c1855"</definedName>
    <definedName name="IQ_THREE_MONTHS_FIXED_AND_FLOATING_FDIC">"c6419"</definedName>
    <definedName name="IQ_THREE_MONTHS_MORTGAGE_PASS_THROUGHS_FDIC">"c6411"</definedName>
    <definedName name="IQ_THREE_YEAR_FIXED_AND_FLOATING_RATE_FDIC">"c6421"</definedName>
    <definedName name="IQ_THREE_YEAR_MORTGAGE_PASS_THROUGHS_FDIC">"c6413"</definedName>
    <definedName name="IQ_THREE_YEARS_LESS_FDIC">"c6417"</definedName>
    <definedName name="IQ_TIER_1_RISK_BASED_CAPITAL_RATIO_FDIC">"c6746"</definedName>
    <definedName name="IQ_TIER_ONE_FDIC">"c6369"</definedName>
    <definedName name="IQ_TIER_TWO_CAPITAL_RATIO">"c15241"</definedName>
    <definedName name="IQ_TIME_DEPOSIT_LESS_100000_QUARTERLY_AVG_FFIEC">"c15487"</definedName>
    <definedName name="IQ_TIME_DEPOSIT_MORE_100000_QUARTERLY_AVG_FFIEC">"c15486"</definedName>
    <definedName name="IQ_TIME_DEPOSITS_LESS_THAN_100K_FDIC">"c6465"</definedName>
    <definedName name="IQ_TIME_DEPOSITS_MORE_THAN_100K_FDIC">"c6470"</definedName>
    <definedName name="IQ_TODAY">0</definedName>
    <definedName name="IQ_TOTAL_AR_BR">"c1231"</definedName>
    <definedName name="IQ_TOTAL_ASSETS_FAIR_VALUE_TOT_FFIEC">"c15405"</definedName>
    <definedName name="IQ_TOTAL_ASSETS_FDIC">"c6339"</definedName>
    <definedName name="IQ_TOTAL_ASSETS_LEVEL_1_FFIEC">"c15427"</definedName>
    <definedName name="IQ_TOTAL_ASSETS_LEVEL_2_FFIEC">"c15440"</definedName>
    <definedName name="IQ_TOTAL_ASSETS_LEVEL_3_FFIEC">"c15453"</definedName>
    <definedName name="IQ_TOTAL_BROKERED_DEPOSIT_FFIEC">"c15304"</definedName>
    <definedName name="IQ_TOTAL_CASH_DUE_DEPOSITORY_INSTIT_DOM_FFIEC">"c15291"</definedName>
    <definedName name="IQ_TOTAL_CASH_DUE_DEPOSITORY_INSTIT_FFIEC">"c15285"</definedName>
    <definedName name="IQ_TOTAL_CHARGE_OFFS_FDIC">"c6603"</definedName>
    <definedName name="IQ_TOTAL_DEBT_ISSUED_BR">"c1253"</definedName>
    <definedName name="IQ_TOTAL_DEBT_REPAID_BR">"c1260"</definedName>
    <definedName name="IQ_TOTAL_DEBT_SECURITIES_FDIC">"c6410"</definedName>
    <definedName name="IQ_TOTAL_DEPOSITS_DOM_FFIEC">"c15313"</definedName>
    <definedName name="IQ_TOTAL_DEPOSITS_FDIC">"c6342"</definedName>
    <definedName name="IQ_TOTAL_DEPOSITS_SUPPLE">"c15253"</definedName>
    <definedName name="IQ_TOTAL_EMPLOYEES_FDIC">"c6355"</definedName>
    <definedName name="IQ_TOTAL_EQUITY_INCL_MINORITY_INTEREST_FFIEC">"c15278"</definedName>
    <definedName name="IQ_TOTAL_FOREIGN_DEPOSITS_FFIEC">"c15348"</definedName>
    <definedName name="IQ_TOTAL_FOREIGN_LOANS_QUARTERLY_AVG_FFIEC">"c15482"</definedName>
    <definedName name="IQ_TOTAL_IBF_ASSETS_CONSOL_BANK_FFIEC">"c15299"</definedName>
    <definedName name="IQ_TOTAL_IBF_LIABILITIES_FFIEC">"c15302"</definedName>
    <definedName name="IQ_TOTAL_IBF_LL_REC_FFIEC">"c15297"</definedName>
    <definedName name="IQ_TOTAL_INTEREST_EXP_FOREIGN_FFIEC">"c15374"</definedName>
    <definedName name="IQ_TOTAL_INTEREST_INC_FOREIGN_FFIEC">"c15373"</definedName>
    <definedName name="IQ_TOTAL_IRA_KEOGH_PLAN_ACCOUNTS_FFIEC">"c15303"</definedName>
    <definedName name="IQ_TOTAL_LIAB_BR">"c1278"</definedName>
    <definedName name="IQ_TOTAL_LIAB_EQUITY_FDIC">"c6354"</definedName>
    <definedName name="IQ_TOTAL_LIABILITIES_FAIR_VALUE_TOT_FFIEC">"c15411"</definedName>
    <definedName name="IQ_TOTAL_LIABILITIES_FDIC">"c6348"</definedName>
    <definedName name="IQ_TOTAL_LIABILITIES_LEVEL_1_FFIEC">"c15433"</definedName>
    <definedName name="IQ_TOTAL_LIABILITIES_LEVEL_2_FFIEC">"c15446"</definedName>
    <definedName name="IQ_TOTAL_LIABILITIES_LEVEL_3_FFIEC">"c15459"</definedName>
    <definedName name="IQ_TOTAL_LOANS_DOM_QUARTERLY_AVG_FFIEC">"c15475"</definedName>
    <definedName name="IQ_TOTAL_LOANS_LEASES_AND_OTHER_DUE_30_89_FFIEC">"c15416"</definedName>
    <definedName name="IQ_TOTAL_LOANS_LEASES_AND_OTHER_DUE_90_FFIEC">"c15420"</definedName>
    <definedName name="IQ_TOTAL_LOANS_LEASES_AND_OTHER_NON_ACCRUAL_FFIEC">"c15466"</definedName>
    <definedName name="IQ_TOTAL_NON_TRANS_ACCTS_FFIEC">"c15328"</definedName>
    <definedName name="IQ_TOTAL_NONINTEREST_EXPENSE_FOREIGN_FFIEC">"c15386"</definedName>
    <definedName name="IQ_TOTAL_OPER_EXP_BR">"c1284"</definedName>
    <definedName name="IQ_TOTAL_PENSION_OBLIGATION">"c1292"</definedName>
    <definedName name="IQ_TOTAL_RECOVERIES_FDIC">"c6622"</definedName>
    <definedName name="IQ_TOTAL_REV_BNK_FDIC">"c6786"</definedName>
    <definedName name="IQ_TOTAL_REV_BR">"c1303"</definedName>
    <definedName name="IQ_TOTAL_REVENUE_FOREIGN_FFIEC">"c15383"</definedName>
    <definedName name="IQ_TOTAL_RISK_BASED_CAPITAL_RATIO_FDIC">"c6747"</definedName>
    <definedName name="IQ_TOTAL_SECURITIES_FDIC">"c6306"</definedName>
    <definedName name="IQ_TOTAL_TIME_DEPOSITS_FDIC">"c6497"</definedName>
    <definedName name="IQ_TOTAL_TIME_LESS_100000_1_TO_3_YEARS_FFIEC">"c15335"</definedName>
    <definedName name="IQ_TOTAL_TIME_LESS_100000_3_MONTHS_LESS_FFIEC">"c15333"</definedName>
    <definedName name="IQ_TOTAL_TIME_LESS_100000_3_TO_12_MONTHS_FFIEC">"c15334"</definedName>
    <definedName name="IQ_TOTAL_TIME_LESS_100000_FFIEC">"c15332"</definedName>
    <definedName name="IQ_TOTAL_TIME_LESS_100000_OVER_3_YEARS_FFIEC">"c15336"</definedName>
    <definedName name="IQ_TOTAL_TIME_MORE_100000_1_TO_3_YEARS_FFIEC">"c15340"</definedName>
    <definedName name="IQ_TOTAL_TIME_MORE_100000_3_MONTHS_LESS_FFIEC">"c15338"</definedName>
    <definedName name="IQ_TOTAL_TIME_MORE_100000_3_TO_12_MONTHS_FFIEC">"c15339"</definedName>
    <definedName name="IQ_TOTAL_TIME_MORE_100000_FFIEC">"c15337"</definedName>
    <definedName name="IQ_TOTAL_TIME_MORE_100000_OVER_3_YEARS_FFIEC">"c15341"</definedName>
    <definedName name="IQ_TOTAL_TIME_SAVINGS_DEPOSITS_FDIC">"c6498"</definedName>
    <definedName name="IQ_TOTAL_TRADING_LIAB_FOREIGN_FFIEC">"c15296"</definedName>
    <definedName name="IQ_TOTAL_TRANS_ACCTS_FFIEC">"c15321"</definedName>
    <definedName name="IQ_TOTAL_UNUSED_COMMITMENTS_FDIC">"c6536"</definedName>
    <definedName name="IQ_TOTAL_UNUSUAL_BR">"c5517"</definedName>
    <definedName name="IQ_TRADING_ACCOUNT_GAINS_FEES_FDIC">"c6573"</definedName>
    <definedName name="IQ_TRADING_ASSETS_FDIC">"c6328"</definedName>
    <definedName name="IQ_TRADING_LIABILITIES_FDIC">"c6344"</definedName>
    <definedName name="IQ_TRADING_REV_FOREIGN_FFIEC">"c15377"</definedName>
    <definedName name="IQ_TRANSACTION_ACCOUNTS_FDIC">"c6544"</definedName>
    <definedName name="IQ_TRANSACTION_LIST">"c15126"</definedName>
    <definedName name="IQ_TRANSACTION_LIST_BANKRUPTCY">"c15131"</definedName>
    <definedName name="IQ_TRANSACTION_LIST_BUYBACK">"c15129"</definedName>
    <definedName name="IQ_TRANSACTION_LIST_INCL_SUBS">"c15132"</definedName>
    <definedName name="IQ_TRANSACTION_LIST_INCL_SUBS_BANKRUPTCY">"c15137"</definedName>
    <definedName name="IQ_TRANSACTION_LIST_INCL_SUBS_BUYBACK">"c15135"</definedName>
    <definedName name="IQ_TRANSACTION_LIST_INCL_SUBS_MA">"c15133"</definedName>
    <definedName name="IQ_TRANSACTION_LIST_INCL_SUBS_PO">"c15136"</definedName>
    <definedName name="IQ_TRANSACTION_LIST_INCL_SUBS_PP">"c15134"</definedName>
    <definedName name="IQ_TRANSACTION_LIST_MA">"c15127"</definedName>
    <definedName name="IQ_TRANSACTION_LIST_PO">"c15130"</definedName>
    <definedName name="IQ_TRANSACTION_LIST_PP">"c15128"</definedName>
    <definedName name="IQ_TREASURER_ID">"c15214"</definedName>
    <definedName name="IQ_TREASURER_NAME">"c15213"</definedName>
    <definedName name="IQ_TREASURY_OTHER_EQUITY_BR">"c1314"</definedName>
    <definedName name="IQ_TREASURY_STOCK_TRANSACTIONS_FDIC">"c6501"</definedName>
    <definedName name="IQ_TREASURY_STOCK_TRANSACTIONS_FFIEC">"c15352"</definedName>
    <definedName name="IQ_TWELVE_MONTHS_FIXED_AND_FLOATING_FDIC">"c6420"</definedName>
    <definedName name="IQ_TWELVE_MONTHS_MORTGAGE_PASS_THROUGHS_FDIC">"c6412"</definedName>
    <definedName name="IQ_UNDIVIDED_PROFITS_FDIC">"c6352"</definedName>
    <definedName name="IQ_UNEARN_REV_CURRENT_BR">"c1324"</definedName>
    <definedName name="IQ_UNEARNED_INCOME_FDIC">"c6324"</definedName>
    <definedName name="IQ_UNEARNED_INCOME_FOREIGN_FDIC">"c6385"</definedName>
    <definedName name="IQ_UNPROFITABLE_INSTITUTIONS_FDIC">"c6722"</definedName>
    <definedName name="IQ_UNUSED_LOAN_COMMITMENTS_FDIC">"c6368"</definedName>
    <definedName name="IQ_US_BANKS_OTHER_INST_FOREIGN_DEP_FFIEC">"c15343"</definedName>
    <definedName name="IQ_US_BRANCHES_FOREIGN_BANK_LOANS_FDIC">"c6435"</definedName>
    <definedName name="IQ_US_BRANCHES_FOREIGN_BANKS_FDIC">"c6390"</definedName>
    <definedName name="IQ_US_GOV_AGENCIES_FDIC">"c6395"</definedName>
    <definedName name="IQ_US_GOV_DEPOSITS_FDIC">"c6483"</definedName>
    <definedName name="IQ_US_GOV_ENTERPRISES_FDIC">"c6396"</definedName>
    <definedName name="IQ_US_GOV_NONCURRENT_LOANS_TOTAL_NONCURRENT_FDIC">"c6779"</definedName>
    <definedName name="IQ_US_GOV_NONTRANSACTION_ACCOUNTS_FDIC">"c6546"</definedName>
    <definedName name="IQ_US_GOV_OBLIGATIONS_FDIC">"c6299"</definedName>
    <definedName name="IQ_US_GOV_SECURITIES_FDIC">"c6297"</definedName>
    <definedName name="IQ_US_GOV_TOTAL_DEPOSITS_FDIC">"c6472"</definedName>
    <definedName name="IQ_US_GOV_TRANSACTION_ACCOUNTS_FDIC">"c6538"</definedName>
    <definedName name="IQ_US_GOVT_NON_TRANS_ACCTS_FFIEC">"c15323"</definedName>
    <definedName name="IQ_US_GOVT_STATE_POLI_SUBD_IN_US_FOREIGN_DEP_FFIEC">"c15346"</definedName>
    <definedName name="IQ_US_GOVT_TRANS_ACCTS_FFIEC">"c15315"</definedName>
    <definedName name="IQ_US_TREASURY_SECURITIES_FDIC">"c6298"</definedName>
    <definedName name="IQ_UST_SEC_GOVT_AGENCY_CORP_QUARTERLY_AVG_FFIEC">"c15469"</definedName>
    <definedName name="IQ_UST_SECURITIES_GOVT_AGENCY_QUARTERLY_AVG_FFIEC">"c15468"</definedName>
    <definedName name="IQ_VALUATION_ALLOWANCES_FDIC">"c6400"</definedName>
    <definedName name="IQ_VC_REVENUE_FDIC">"c6667"</definedName>
    <definedName name="IQ_VEHICLE_LOANS">"c15249"</definedName>
    <definedName name="IQ_VOLATILE_LIABILITIES_FDIC">"c6364"</definedName>
    <definedName name="IQ_WEEK">50000</definedName>
    <definedName name="IQ_WRITTEN_OPTION_CONTRACTS_FDIC">"c6509"</definedName>
    <definedName name="IQ_WRITTEN_OPTION_CONTRACTS_FX_RISK_FDIC">"c6514"</definedName>
    <definedName name="IQ_WRITTEN_OPTION_CONTRACTS_NON_FX_IR_FDIC">"c6519"</definedName>
    <definedName name="IQ_XDIV_DATE1">"c2104"</definedName>
    <definedName name="IQ_YTD">3000</definedName>
    <definedName name="IQ_YTDMONTH">130000</definedName>
    <definedName name="IQB_BOOKMARK_COUNT">0</definedName>
    <definedName name="IQB_CURRENT_BOOKMARK">1</definedName>
    <definedName name="IQR12MarketPerfUSC17">#REF!</definedName>
    <definedName name="IQR12MarketPerfUSD17">#REF!</definedName>
    <definedName name="IQR12MarketPerfUSF17">#REF!</definedName>
    <definedName name="IQR12MarketPerfUSH17">#REF!</definedName>
    <definedName name="IQR12MarketPerfUSJ17">#REF!</definedName>
    <definedName name="IQR12MarketPerfUSL17">#REF!</definedName>
    <definedName name="IQR13MarketPerfEUC17">#REF!</definedName>
    <definedName name="IQR13MarketPerfEUD17">#REF!</definedName>
    <definedName name="IQR14MarketPerfFANGAC17">#REF!</definedName>
    <definedName name="IQR14MarketPerfFANGAD17">#REF!</definedName>
    <definedName name="IQR14MarketPerfFANGAH17">#REF!</definedName>
    <definedName name="IQR14MarketPerfFANGAI17">#REF!</definedName>
    <definedName name="IQR14MarketPerfFANGAM17">#REF!</definedName>
    <definedName name="IQR14MarketPerfFANGAN17">#REF!</definedName>
    <definedName name="IQR14MarketPerfFANGAR17">#REF!</definedName>
    <definedName name="IQR14MarketPerfFANGAS17">#REF!</definedName>
    <definedName name="IQR14MarketPerfFANGAW17">#REF!</definedName>
    <definedName name="IQR14MarketPerfFANGAX17">#REF!</definedName>
    <definedName name="IQR14MarketPerfFANGBB17">#REF!</definedName>
    <definedName name="IQR14MarketPerfFANGBC17">#REF!</definedName>
    <definedName name="IQR14MarketPerfFANGBG17">#REF!</definedName>
    <definedName name="IQR14MarketPerfFANGBH17">#REF!</definedName>
    <definedName name="IQR14MarketPerfFANGC17">#REF!</definedName>
    <definedName name="IQR14MarketPerfFANGD17">#REF!</definedName>
    <definedName name="IQR14MarketPerfFANGH17">#REF!</definedName>
    <definedName name="IQR14MarketPerfFANGI17">#REF!</definedName>
    <definedName name="IQR14MarketPerfFANGM17">#REF!</definedName>
    <definedName name="IQR14MarketPerfFANGN17">#REF!</definedName>
    <definedName name="IQR14MarketPerfFANGR17">#REF!</definedName>
    <definedName name="IQR14MarketPerfFANGS17">#REF!</definedName>
    <definedName name="IQR14MarketPerfFANGX17">#REF!</definedName>
    <definedName name="IQR14MarketPerfFANGY17">#REF!</definedName>
    <definedName name="IQR15OutputPublicMarketsM6">#REF!</definedName>
    <definedName name="IQRA3">"$A$4:$A$1179"</definedName>
    <definedName name="IQRAB8">"$AB$9:$AB$70"</definedName>
    <definedName name="IQRAB9">"$AB$10:$AB$71"</definedName>
    <definedName name="IQRAL11">"$AL$12"</definedName>
    <definedName name="IQRAL12">"$AL$13"</definedName>
    <definedName name="IQRAL13">"$AL$14"</definedName>
    <definedName name="IQRAL14">"$AL$15"</definedName>
    <definedName name="IQRAL15">"$AL$16"</definedName>
    <definedName name="IQRAL16">"$AL$17"</definedName>
    <definedName name="IQRAL17">"$AL$18"</definedName>
    <definedName name="IQRAL18">"$AL$19"</definedName>
    <definedName name="IQRAL19">"$AL$20"</definedName>
    <definedName name="IQRAL20">"$AL$21"</definedName>
    <definedName name="IQRAL21">"$AL$22"</definedName>
    <definedName name="IQRAL22">"$AL$23"</definedName>
    <definedName name="IQRAL24">"$AL$25"</definedName>
    <definedName name="IQRAL25">"$AL$26"</definedName>
    <definedName name="IQRAL26">"$AL$27"</definedName>
    <definedName name="IQRAL27">"$AL$28"</definedName>
    <definedName name="IQRAL28">"$AL$29"</definedName>
    <definedName name="IQRAL29">"$AL$30"</definedName>
    <definedName name="IQRAL3">"$AL$4"</definedName>
    <definedName name="IQRAL30">"$AL$31"</definedName>
    <definedName name="IQRAL31">"$AL$32"</definedName>
    <definedName name="IQRAL32">"$AL$33"</definedName>
    <definedName name="IQRAL33">"$AL$34"</definedName>
    <definedName name="IQRAL34">"$AL$35"</definedName>
    <definedName name="IQRAL35">"$AL$36"</definedName>
    <definedName name="IQRAL36">"$AL$37"</definedName>
    <definedName name="IQRAL37">"$AL$38"</definedName>
    <definedName name="IQRAL4">"$AL$5"</definedName>
    <definedName name="IQRAL6">"$AL$7"</definedName>
    <definedName name="IQRAL7">"$AL$8"</definedName>
    <definedName name="IQRAL8">"$AL$9"</definedName>
    <definedName name="IQRAL9">"$AL$10"</definedName>
    <definedName name="IQRC10">"$C$11:$C$863"</definedName>
    <definedName name="IQRC11">"$C$12:$C$864"</definedName>
    <definedName name="IQRC12">"$C$13:$C$865"</definedName>
    <definedName name="IQRC13">"$C$14:$C$866"</definedName>
    <definedName name="IQRC14">"$C$15:$C$867"</definedName>
    <definedName name="IQRC15">"$C$16:$C$868"</definedName>
    <definedName name="IQRC16">"$C$17:$C$869"</definedName>
    <definedName name="IQRC17">"$C$18:$C$870"</definedName>
    <definedName name="IQRC18">"$C$19:$C$871"</definedName>
    <definedName name="IQRC19">"$C$20:$C$872"</definedName>
    <definedName name="IQRC20">"$C$21:$C$873"</definedName>
    <definedName name="IQRC21">"$C$22:$C$874"</definedName>
    <definedName name="IQRC22">"$C$23:$C$875"</definedName>
    <definedName name="IQRC23">"$C$24:$C$876"</definedName>
    <definedName name="IQRC24">"$C$25:$C$877"</definedName>
    <definedName name="IQRC25">"$C$26:$C$878"</definedName>
    <definedName name="IQRC26">"$C$27:$C$879"</definedName>
    <definedName name="IQRC27">"$C$28:$C$880"</definedName>
    <definedName name="IQRC28">"$C$29:$C$881"</definedName>
    <definedName name="IQRC29">"$C$30:$C$882"</definedName>
    <definedName name="IQRC30">"$C$31:$C$883"</definedName>
    <definedName name="IQRC31">"$C$32:$C$884"</definedName>
    <definedName name="IQRC32">"$C$33:$C$885"</definedName>
    <definedName name="IQRC33">"$C$34:$C$886"</definedName>
    <definedName name="IQRC34">"$C$35:$C$887"</definedName>
    <definedName name="IQRC35">"$C$36:$C$888"</definedName>
    <definedName name="IQRC36">"$C$37:$C$889"</definedName>
    <definedName name="IQRC37">"$C$38:$C$890"</definedName>
    <definedName name="IQRC38">"$C$39:$C$891"</definedName>
    <definedName name="IQRC39">"$C$40:$C$892"</definedName>
    <definedName name="IQRC4">"$C$5:$C$857"</definedName>
    <definedName name="IQRC40">"$C$41:$C$893"</definedName>
    <definedName name="IQRC42">"$C$43:$C$895"</definedName>
    <definedName name="IQRC44">"$C$45:$C$897"</definedName>
    <definedName name="IQRC5">"$C$6:$C$961"</definedName>
    <definedName name="IQRC6">"$C$7:$C$859"</definedName>
    <definedName name="IQRC7">"$C$8:$C$860"</definedName>
    <definedName name="IQRC8">"$C$9:$C$861"</definedName>
    <definedName name="IQRC9">"$C$10:$C$862"</definedName>
    <definedName name="IQRD13">"$D$14:$D$267"</definedName>
    <definedName name="IQRD14">"$D$15:$D$16"</definedName>
    <definedName name="IQRD5">"$D$6:$D$259"</definedName>
    <definedName name="IQRD6">"$D$7:$D$258"</definedName>
    <definedName name="IQRE18">"$E$19:$E$80"</definedName>
    <definedName name="IQRE19">"$E$20:$E$80"</definedName>
    <definedName name="IQRE6">"$E$7:$E$258"</definedName>
    <definedName name="IQRE8">"$E$9:$E$69"</definedName>
    <definedName name="IQRE9">"$E$10:$E$70"</definedName>
    <definedName name="IQRH13">"$H$14:$H$264"</definedName>
    <definedName name="IQRH41">"$H$42"</definedName>
    <definedName name="IQRH5">"$H$6:$H$256"</definedName>
    <definedName name="IQRH7">"$H$8:$H$43"</definedName>
    <definedName name="IQRL14">"$L$15:$L$1962"</definedName>
    <definedName name="IQRMarketperfB17">#REF!</definedName>
    <definedName name="IQRMarketperfC17">#REF!</definedName>
    <definedName name="IQRMarketperfD17">#REF!</definedName>
    <definedName name="IQRMarketperfE17">#REF!</definedName>
    <definedName name="IQRMarketPerfEUB17">#REF!</definedName>
    <definedName name="IQRMarketPerfEUC17">#REF!</definedName>
    <definedName name="IQRMarketPerfEUC18">#REF!</definedName>
    <definedName name="IQRMarketPerfEUC19">#REF!</definedName>
    <definedName name="IQRMarketPerfEUC20">#REF!</definedName>
    <definedName name="IQRMarketPerfEUC21">#REF!</definedName>
    <definedName name="IQRMarketPerfEUD17">#REF!</definedName>
    <definedName name="IQRMarketPerfEUD18">#REF!</definedName>
    <definedName name="IQRMarketPerfEUD19">#REF!</definedName>
    <definedName name="IQRMarketPerfEUD20">#REF!</definedName>
    <definedName name="IQRMarketPerfEUD21">#REF!</definedName>
    <definedName name="IQRMarketPerfEUE17">#REF!</definedName>
    <definedName name="IQRMarketPerfEUG17">#REF!</definedName>
    <definedName name="IQRMarketPerfEUI17">#REF!</definedName>
    <definedName name="IQRMarketPerfEUK17">#REF!</definedName>
    <definedName name="IQRMarketPerfFANGC17">#REF!</definedName>
    <definedName name="IQRMarketPerfFANGC18">#REF!</definedName>
    <definedName name="IQRMarketPerfFANGC19">#REF!</definedName>
    <definedName name="IQRMarketPerfFANGC20">#REF!</definedName>
    <definedName name="IQRMarketPerfFANGC21">#REF!</definedName>
    <definedName name="IQRMarketPerfFANGD17">#REF!</definedName>
    <definedName name="IQRMarketPerfFANGD18">#REF!</definedName>
    <definedName name="IQRMarketPerfFANGD19">#REF!</definedName>
    <definedName name="IQRMarketPerfFANGD20">#REF!</definedName>
    <definedName name="IQRMarketPerfFANGD21">#REF!</definedName>
    <definedName name="IQRMarketPerfFANGH17">#REF!</definedName>
    <definedName name="IQRMarketPerfFANGH18">#REF!</definedName>
    <definedName name="IQRMarketPerfFANGH19">#REF!</definedName>
    <definedName name="IQRMarketPerfFANGH20">#REF!</definedName>
    <definedName name="IQRMarketPerfFANGH21">#REF!</definedName>
    <definedName name="IQRMarketPerfFANGI17">#REF!</definedName>
    <definedName name="IQRMarketPerfFANGI18">#REF!</definedName>
    <definedName name="IQRMarketPerfFANGI19">#REF!</definedName>
    <definedName name="IQRMarketPerfFANGI20">#REF!</definedName>
    <definedName name="IQRMarketPerfFANGI21">#REF!</definedName>
    <definedName name="IQRMarketPerfFANGM17">#REF!</definedName>
    <definedName name="IQRMarketPerfFANGM18">#REF!</definedName>
    <definedName name="IQRMarketPerfFANGM19">#REF!</definedName>
    <definedName name="IQRMarketPerfFANGM20">#REF!</definedName>
    <definedName name="IQRMarketPerfFANGM21">#REF!</definedName>
    <definedName name="IQRMarketPerfFANGN17">#REF!</definedName>
    <definedName name="IQRMarketPerfFANGN18">#REF!</definedName>
    <definedName name="IQRMarketPerfFANGN19">#REF!</definedName>
    <definedName name="IQRMarketPerfFANGN20">#REF!</definedName>
    <definedName name="IQRMarketPerfFANGN21">#REF!</definedName>
    <definedName name="IQRMarketPerfFANGR17">#REF!</definedName>
    <definedName name="IQRMarketPerfFANGR18">#REF!</definedName>
    <definedName name="IQRMarketPerfFANGR19">#REF!</definedName>
    <definedName name="IQRMarketPerfFANGR20">#REF!</definedName>
    <definedName name="IQRMarketPerfFANGR21">#REF!</definedName>
    <definedName name="IQRMarketPerfFANGS17">#REF!</definedName>
    <definedName name="IQRMarketPerfFANGS18">#REF!</definedName>
    <definedName name="IQRMarketPerfFANGS19">#REF!</definedName>
    <definedName name="IQRMarketPerfFANGS20">#REF!</definedName>
    <definedName name="IQRMarketPerfFANGS21">#REF!</definedName>
    <definedName name="IQRMarketperfG17">#REF!</definedName>
    <definedName name="IQRMarketperfH15">#REF!</definedName>
    <definedName name="IQRMarketperfH17">#REF!</definedName>
    <definedName name="IQRMarketperfI15">#REF!</definedName>
    <definedName name="IQRMarketperfI17">#REF!</definedName>
    <definedName name="IQRMarketperfK17">#REF!</definedName>
    <definedName name="IQRMarketPerfUSB17">#REF!</definedName>
    <definedName name="IQRMarketPerfUSC17">#REF!</definedName>
    <definedName name="IQRMarketPerfUSC18">#REF!</definedName>
    <definedName name="IQRMarketPerfUSC19">#REF!</definedName>
    <definedName name="IQRMarketPerfUSC20">#REF!</definedName>
    <definedName name="IQRMarketPerfUSD17">#REF!</definedName>
    <definedName name="IQRMarketPerfUSD18">#REF!</definedName>
    <definedName name="IQRMarketPerfUSD19">#REF!</definedName>
    <definedName name="IQRMarketPerfUSD20">#REF!</definedName>
    <definedName name="IQRMarketPerfUSE17">#REF!</definedName>
    <definedName name="IQRMarketPerfUSF17">#REF!</definedName>
    <definedName name="IQRMarketPerfUSF18">#REF!</definedName>
    <definedName name="IQRMarketPerfUSF19">#REF!</definedName>
    <definedName name="IQRMarketPerfUSF20">#REF!</definedName>
    <definedName name="IQRMarketPerfUSG17">#REF!</definedName>
    <definedName name="IQRMarketPerfUSH17">#REF!</definedName>
    <definedName name="IQRMarketPerfUSH18">#REF!</definedName>
    <definedName name="IQRMarketPerfUSH19">#REF!</definedName>
    <definedName name="IQRMarketPerfUSH20">#REF!</definedName>
    <definedName name="IQRMarketPerfUSI17">#REF!</definedName>
    <definedName name="IQRMarketPerfUSJ17">#REF!</definedName>
    <definedName name="IQRMarketPerfUSJ18">#REF!</definedName>
    <definedName name="IQRMarketPerfUSJ19">#REF!</definedName>
    <definedName name="IQRMarketPerfUSJ20">#REF!</definedName>
    <definedName name="IQRMarketPerfUSK17">#REF!</definedName>
    <definedName name="IQRMarketPerfUSL17">#REF!</definedName>
    <definedName name="IQRMarketPerfUSL18">#REF!</definedName>
    <definedName name="IQRMarketPerfUSL19">#REF!</definedName>
    <definedName name="IQRMarketPerfUSL20">#REF!</definedName>
    <definedName name="IQRScatterI53">#REF!</definedName>
    <definedName name="IQRX51">"$X$52"</definedName>
    <definedName name="IQRY18">"$Y$19:$Y$81"</definedName>
    <definedName name="IQRY19">"$Y$20:$Y$81"</definedName>
    <definedName name="IQRY51">"$Y$52:$Y$310"</definedName>
    <definedName name="IQRZ10">"$Z$11:$Z$263"</definedName>
    <definedName name="IQRZ8">"$Z$9:$Z$72"</definedName>
    <definedName name="iQShowHideColumns">"iQShowAnnual"</definedName>
    <definedName name="IQSRawDataPPEuropeA1">#REF!</definedName>
    <definedName name="Irene">#REF!</definedName>
    <definedName name="IsColHidden">FALSE</definedName>
    <definedName name="IsLTMColHidden">FALSE</definedName>
    <definedName name="ISS_DEBT_NET">"ISS_DEBT_NET"</definedName>
    <definedName name="ISS_STOCK_NET">"ISS_STOCK_NET"</definedName>
    <definedName name="ITLeXToEUR">#REF!</definedName>
    <definedName name="iwonder">{"PA1",#N/A,FALSE,"BORDMW";"pa2",#N/A,FALSE,"BORDMW";"PA3",#N/A,FALSE,"BORDMW";"PA4",#N/A,FALSE,"BORDMW"}</definedName>
    <definedName name="iwonder2">{#N/A,#N/A,TRUE,"Main assumptions";#N/A,#N/A,TRUE,"Subscriber projections";#N/A,#N/A,TRUE,"Revenues";#N/A,#N/A,TRUE,"Opex";#N/A,#N/A,TRUE,"Capex";#N/A,#N/A,TRUE,"Working capital";#N/A,#N/A,TRUE,"P&amp;L";#N/A,#N/A,TRUE,"Cash";#N/A,#N/A,TRUE,"Balance";#N/A,#N/A,TRUE,"Valuation";#N/A,#N/A,TRUE,"Bench"}</definedName>
    <definedName name="jazz">{#N/A,#N/A,FALSE,"Spain MKT";#N/A,#N/A,FALSE,"Assumptions";#N/A,#N/A,FALSE,"Adve";#N/A,#N/A,FALSE,"E-Commerce";#N/A,#N/A,FALSE,"Opex";#N/A,#N/A,FALSE,"P&amp;L";#N/A,#N/A,FALSE,"FCF &amp; DCF"}</definedName>
    <definedName name="jazz2">{#N/A,#N/A,FALSE,"Spain MKT";#N/A,#N/A,FALSE,"Assumptions";#N/A,#N/A,FALSE,"Adve";#N/A,#N/A,FALSE,"E-Commerce";#N/A,#N/A,FALSE,"Opex";#N/A,#N/A,FALSE,"P&amp;L";#N/A,#N/A,FALSE,"FCF &amp; DCF"}</definedName>
    <definedName name="JJJ">{"rep1",#N/A,FALSE,"ריכוז";"REP7",#N/A,FALSE,"מפורט_אזורים_ער""ז";"REP2",#N/A,FALSE,"מפורט1";"REP3",#N/A,FALSE,"מפורט1";"REP4",#N/A,FALSE,"מפורט2";"REP5",#N/A,FALSE,"מפורט2";"REP6",#N/A,FALSE,"מפורט2"}</definedName>
    <definedName name="jkj">{"rep1",#N/A,FALSE,"ריכוז";"REP7",#N/A,FALSE,"מפורט_אזורים_ער""ז";"REP2",#N/A,FALSE,"מפורט1";"REP3",#N/A,FALSE,"מפורט1";"REP4",#N/A,FALSE,"מפורט2";"REP5",#N/A,FALSE,"מפורט2";"REP6",#N/A,FALSE,"מפורט2"}</definedName>
    <definedName name="Jo">#REF!</definedName>
    <definedName name="K2___PARKEDCVW__">"FINANCIALS;A=CK00100TOT;C=ACTUAL;R=LC;UA=D_TOP;E=P500231;UB=TPTOP;UC=F_FISICO;T=2004.DEC;F=PERIODIC;"</definedName>
    <definedName name="K2_ISWBINITED">TRUE</definedName>
    <definedName name="K2_WBEVMODE">-1</definedName>
    <definedName name="K2_WBHASINITMODE">1</definedName>
    <definedName name="keren">{"REP1",#N/A,FALSE,"ריכוז";"REP2",#N/A,FALSE,"מפורט1";"REP3",#N/A,FALSE,"מפורט1";"REP4",#N/A,FALSE,"מפורט2";"REP5",#N/A,FALSE,"מפורט2";"REP6",#N/A,FALSE,"מפורט2"}</definedName>
    <definedName name="kjkj">{#N/A,#N/A,FALSE,"Cover";#N/A,#N/A,FALSE,"Contents-Pg1";#N/A,#N/A,FALSE,"High-Com-pg2";#N/A,#N/A,FALSE,"1 Full";#N/A,#N/A,FALSE,"1chts";#N/A,#N/A,FALSE,"Table 2";#N/A,#N/A,FALSE,"3New Iss";#N/A,#N/A,FALSE,"4Money raised";#N/A,#N/A,FALSE,"5Aim";#N/A,#N/A,FALSE,"AiM charts";#N/A,#N/A,FALSE,"6FT Smll";#N/A,#N/A,FALSE,"11SEATS";#N/A,#N/A,FALSE,"12Notes"}</definedName>
    <definedName name="kjo">{#N/A,#N/A,FALSE,"SUMMARY";#N/A,#N/A,FALSE,"mcsh";#N/A,#N/A,FALSE,"vol&amp;rev";#N/A,#N/A,FALSE,"wkgcap";#N/A,#N/A,FALSE,"DEPR&amp;DT";#N/A,#N/A,FALSE,"ASSETS";#N/A,#N/A,FALSE,"NI&amp;OTH&amp;DIV";#N/A,#N/A,FALSE,"CASHFLOW";#N/A,#N/A,FALSE,"CAPEMPL";#N/A,#N/A,FALSE,"ROCE"}</definedName>
    <definedName name="KKK">{#N/A,#N/A,FALSE,"Assessment";#N/A,#N/A,FALSE,"Staffing";#N/A,#N/A,FALSE,"Hires";#N/A,#N/A,FALSE,"Assumptions"}</definedName>
    <definedName name="kljkjkjljjjjökl">#REF!</definedName>
    <definedName name="l">{"IS",#N/A,FALSE,"IS";"RPTIS",#N/A,FALSE,"RPTIS";"STATS",#N/A,FALSE,"STATS";"CELL",#N/A,FALSE,"CELL";"BS",#N/A,FALSE,"BS"}</definedName>
    <definedName name="ladro">{"FY97Q1",#N/A,FALSE,"FY97 - Q1";"FY97Q2",#N/A,FALSE,"FY97 - Q2";"FY97Q3",#N/A,FALSE,"FY97 - Q3";"FY97Q4",#N/A,FALSE,"FY97 - Q4"}</definedName>
    <definedName name="LAST_EBIT_MARGIN">"LAST_EBIT_MARGIN"</definedName>
    <definedName name="LAST_EBITDA_MARGIN">"LAST_EBITDA_MARGIN"</definedName>
    <definedName name="LAST_GROSS_MARGIN">"LAST_GROSS_MARGIN"</definedName>
    <definedName name="LAST_NET_INC_MARGIN">"LAST_NET_INC_MARGIN"</definedName>
    <definedName name="LASTSALEPRICE">"LASTSALEPRICE"</definedName>
    <definedName name="LATESTK">1000</definedName>
    <definedName name="LATESTKNONPRESS">50</definedName>
    <definedName name="LATESTQ">500</definedName>
    <definedName name="LATESTQNONPRESS">100</definedName>
    <definedName name="limcount">1</definedName>
    <definedName name="limone">{"FY97Q1 var",#N/A,FALSE,"FY97 - Q1";"FY97Q2 var",#N/A,FALSE,"FY97 - Q2";"FY97Q3 var",#N/A,FALSE,"FY97 - Q3";"FY97Q4 var",#N/A,FALSE,"FY97 - Q4"}</definedName>
    <definedName name="ListOffset">1</definedName>
    <definedName name="lll">#REF!</definedName>
    <definedName name="llll">{"'Set-Out'!$A$1:$H$30"}</definedName>
    <definedName name="LOAN_LOSS">"LOAN_LOSS"</definedName>
    <definedName name="LOCAL_MYSQL_DATE_FORMAT">#REF!</definedName>
    <definedName name="LONG_TERM_DEBT">"LONG_TERM_DEBT"</definedName>
    <definedName name="LONG_TERM_GROWTH">"LONG_TERM_GROWTH"</definedName>
    <definedName name="LONG_TERM_INV">"LONG_TERM_INV"</definedName>
    <definedName name="LotusGraphChart1">#REF!</definedName>
    <definedName name="lotusgraphchart1b">#REF!</definedName>
    <definedName name="lotusgraphchart1x">#REF!</definedName>
    <definedName name="LowPrice">#REF!</definedName>
    <definedName name="LTM_DATE">"LTM_DATE"</definedName>
    <definedName name="LTM_REVENUE_OVER_EMPLOYEES">"LTM_REVENUE_OVER_EMPLOYEES"</definedName>
    <definedName name="LUFeXToEUR">#REF!</definedName>
    <definedName name="M_PlaceofPath">"F:\CMOTZ\excel\ati\ATI_VDF.XLS"</definedName>
    <definedName name="MANHRS">{"LCCOST",#N/A,FALSE,"FC-3 "}</definedName>
    <definedName name="MARKETCAP">"MARKETCAP"</definedName>
    <definedName name="Max">#REF!</definedName>
    <definedName name="MDI">{#N/A,#N/A,FALSE,"SUMMARY";#N/A,#N/A,FALSE,"mcsh";#N/A,#N/A,FALSE,"vol&amp;rev";#N/A,#N/A,FALSE,"wkgcap";#N/A,#N/A,FALSE,"DEPR&amp;DT";#N/A,#N/A,FALSE,"ASSETS";#N/A,#N/A,FALSE,"NI&amp;OTH&amp;DIV";#N/A,#N/A,FALSE,"CASHFLOW";#N/A,#N/A,FALSE,"CAPEMPL";#N/A,#N/A,FALSE,"ROCE"}</definedName>
    <definedName name="micio">{"FY98Q1",#N/A,FALSE,"FY98 - Q1";"FY98Q2",#N/A,FALSE,"FY98 - Q2";"FY98Q3",#N/A,FALSE,"FY98 - Q3";"FY98Q4",#N/A,FALSE,"FY98 - Q4"}</definedName>
    <definedName name="min_cash">#REF!</definedName>
    <definedName name="min_cash_OC">#REF!</definedName>
    <definedName name="MINORITY_INTEREST">"MINORITY_INTEREST"</definedName>
    <definedName name="mirto">{"FY97Total var",#N/A,FALSE,"FY97 - Total";"FY98Total var",#N/A,FALSE,"FY98 - Total"}</definedName>
    <definedName name="MISC_EARN_ADJ">"MISC_EARN_ADJ"</definedName>
    <definedName name="MMM">{#N/A,#N/A,TRUE,"Main assumptions";#N/A,#N/A,TRUE,"Subscriber projections";#N/A,#N/A,TRUE,"Revenues";#N/A,#N/A,TRUE,"Opex";#N/A,#N/A,TRUE,"Capex";#N/A,#N/A,TRUE,"Working capital";#N/A,#N/A,TRUE,"P&amp;L";#N/A,#N/A,TRUE,"Cash";#N/A,#N/A,TRUE,"Balance";#N/A,#N/A,TRUE,"Valuation";#N/A,#N/A,TRUE,"Bench"}</definedName>
    <definedName name="MMMM">{"summary",#N/A,FALSE,"comsat"}</definedName>
    <definedName name="Mobile_1">OFFSET(#REF!,0,0,1,COUNTIF(#REF!,"&gt;0"))</definedName>
    <definedName name="Mobile_2">OFFSET(#REF!,0,0,1,COUNTIF(#REF!,"&gt;0"))</definedName>
    <definedName name="Mobile_3">OFFSET(#REF!,0,0,1,COUNTIF(#REF!,"&gt;0"))</definedName>
    <definedName name="Mobile_4">OFFSET(#REF!,0,0,1,COUNTIF(#REF!,"&gt;0"))</definedName>
    <definedName name="Mobile_5">OFFSET(#REF!,0,0,1,COUNTIF(#REF!,"&gt;0"))</definedName>
    <definedName name="Mobile_6">OFFSET(#REF!,0,0,1,COUNTIF(#REF!,"&gt;0"))</definedName>
    <definedName name="morto">{"FY98Q1 var",#N/A,FALSE,"FY98 - Q1";"FY98Q2 var",#N/A,FALSE,"FY98 - Q2";"FY98Q3 var",#N/A,FALSE,"FY98 - Q3";"FY98Q4 var",#N/A,FALSE,"FY98 - Q4"}</definedName>
    <definedName name="n">{"IS",#N/A,FALSE,"IS";"RPTIS",#N/A,FALSE,"RPTIS";"STATS",#N/A,FALSE,"STATS";"BS",#N/A,FALSE,"BS"}</definedName>
    <definedName name="nanai">{"FY97Tot nvs",#N/A,FALSE,"FY97 - Total";"FY98Tot nvs",#N/A,FALSE,"FY98 - Total"}</definedName>
    <definedName name="NANAO">{"FY98Q1 var",#N/A,FALSE,"FY98 - Q1";"FY98Q2 var",#N/A,FALSE,"FY98 - Q2";"FY98Q3 var",#N/A,FALSE,"FY98 - Q3";"FY98Q4 var",#N/A,FALSE,"FY98 - Q4"}</definedName>
    <definedName name="NATALE">{"FY98Q1 nvs",#N/A,FALSE,"FY98 - Q1";"FY98Q2 nvs",#N/A,FALSE,"FY98 - Q2";"FY98Q3 nvs",#N/A,FALSE,"FY98 - Q3";"FY98Q4 nvs",#N/A,FALSE,"FY98 - Q4"}</definedName>
    <definedName name="nck">{#N/A,#N/A,FALSE,"Product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n">{#N/A,#N/A,FALSE,"Product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emo">{"FY98Q1",#N/A,FALSE,"FY98 - Q1";"FY98Q2",#N/A,FALSE,"FY98 - Q2";"FY98Q3",#N/A,FALSE,"FY98 - Q3";"FY98Q4",#N/A,FALSE,"FY98 - Q4"}</definedName>
    <definedName name="NEON">{"FY98Q1 nvs",#N/A,FALSE,"FY98 - Q1";"FY98Q2 nvs",#N/A,FALSE,"FY98 - Q2";"FY98Q3 nvs",#N/A,FALSE,"FY98 - Q3";"FY98Q4 nvs",#N/A,FALSE,"FY98 - Q4"}</definedName>
    <definedName name="NERBAT">{"FY98Q1 var",#N/A,FALSE,"FY98 - Q1";"FY98Q2 var",#N/A,FALSE,"FY98 - Q2";"FY98Q3 var",#N/A,FALSE,"FY98 - Q3";"FY98Q4 var",#N/A,FALSE,"FY98 - Q4"}</definedName>
    <definedName name="NET_CHANGE">"NET_CHANGE"</definedName>
    <definedName name="NET_INC">"NET_INC"</definedName>
    <definedName name="NET_INC_10K">"NET_INC_10K"</definedName>
    <definedName name="NET_INC_10Q">"NET_INC_10Q"</definedName>
    <definedName name="NET_INC_10Q1">"NET_INC_10Q1"</definedName>
    <definedName name="NET_INC_BEFORE">"NET_INC_BEFORE"</definedName>
    <definedName name="NET_INC_GROWTH_1">"NET_INC_GROWTH_1"</definedName>
    <definedName name="NET_INC_GROWTH_2">"NET_INC_GROWTH_2"</definedName>
    <definedName name="NET_INC_MARGIN">"NET_INC_MARGIN"</definedName>
    <definedName name="NET_INTEREST_INC">"NET_INTEREST_INC"</definedName>
    <definedName name="NET_INTEREST_INC_AFTER_LL">"NET_INTEREST_INC_AFTER_LL"</definedName>
    <definedName name="NET_LOANS">"NET_LOANS"</definedName>
    <definedName name="New">{"TOTAL",#N/A,FALSE,"A";"FISCAL94",#N/A,FALSE,"A";"FISCAL95",#N/A,FALSE,"A";"FISCAL96",#N/A,FALSE,"A";"misc page",#N/A,FALSE,"A"}</definedName>
    <definedName name="newbel">{"IS",#N/A,FALSE,"IS";"RPTIS",#N/A,FALSE,"RPTIS";"STATS",#N/A,FALSE,"STATS";"CELL",#N/A,FALSE,"CELL";"BS",#N/A,FALSE,"BS"}</definedName>
    <definedName name="NIENTE">{"FY98Q1",#N/A,FALSE,"FY98 - Q1";"FY98Q2",#N/A,FALSE,"FY98 - Q2";"FY98Q3",#N/A,FALSE,"FY98 - Q3";"FY98Q4",#N/A,FALSE,"FY98 - Q4"}</definedName>
    <definedName name="NIEVA">{"FY97Tot nvs",#N/A,FALSE,"FY97 - Total";"FY98Tot nvs",#N/A,FALSE,"FY98 - Total"}</definedName>
    <definedName name="NLGeXToEUR">#REF!</definedName>
    <definedName name="nnn">{#N/A,#N/A,FALSE,"Assessment";#N/A,#N/A,FALSE,"Staffing";#N/A,#N/A,FALSE,"Hires";#N/A,#N/A,FALSE,"Assumptions"}</definedName>
    <definedName name="NOBILE">{"FY97Tot nvs",#N/A,FALSE,"FY97 - Total";"FY98Tot nvs",#N/A,FALSE,"FY98 - Total"}</definedName>
    <definedName name="NON">{"FY97Total",#N/A,FALSE,"FY97 - Total";"FY98Total",#N/A,FALSE,"FY98 - Total"}</definedName>
    <definedName name="NON_CASH">"NON_CASH"</definedName>
    <definedName name="NON_INTEREST_EXP">"NON_INTEREST_EXP"</definedName>
    <definedName name="NON_INTEREST_INC">"NON_INTEREST_INC"</definedName>
    <definedName name="NONA">{"FY97Total",#N/A,FALSE,"FY97 - Total";"FY98Total",#N/A,FALSE,"FY98 - Total"}</definedName>
    <definedName name="NONAS">{"FY98Q1 var",#N/A,FALSE,"FY98 - Q1";"FY98Q2 var",#N/A,FALSE,"FY98 - Q2";"FY98Q3 var",#N/A,FALSE,"FY98 - Q3";"FY98Q4 var",#N/A,FALSE,"FY98 - Q4"}</definedName>
    <definedName name="NONIO">{"FY97Total",#N/A,FALSE,"FY97 - Total";"FY98Total",#N/A,FALSE,"FY98 - Total"}</definedName>
    <definedName name="NONNO">{"FY97Tot nvs",#N/A,FALSE,"FY97 - Total";"FY98Tot nvs",#N/A,FALSE,"FY98 - Total"}</definedName>
    <definedName name="nono">{"FY97Q1",#N/A,FALSE,"FY97 - Q1";"FY97Q2",#N/A,FALSE,"FY97 - Q2";"FY97Q3",#N/A,FALSE,"FY97 - Q3";"FY97Q4",#N/A,FALSE,"FY97 - Q4"}</definedName>
    <definedName name="NORMA">{"FY97Q1 nvs",#N/A,FALSE,"FY97 - Q1";"FY97Q2 nvs",#N/A,FALSE,"FY97 - Q2";"FY97Q3 nvs",#N/A,FALSE,"FY97 - Q3";"FY97Q4 nvs",#N/A,FALSE,"FY97 - Q4"}</definedName>
    <definedName name="NORMAL_INC_AFTER">"NORMAL_INC_AFTER"</definedName>
    <definedName name="NORMAL_INC_AVAIL">"NORMAL_INC_AVAIL"</definedName>
    <definedName name="NORMAL_INC_BEFORE">"NORMAL_INC_BEFORE"</definedName>
    <definedName name="norna">{"FY97Q1 nvs",#N/A,FALSE,"FY97 - Q1";"FY97Q2 nvs",#N/A,FALSE,"FY97 - Q2";"FY97Q3 nvs",#N/A,FALSE,"FY97 - Q3";"FY97Q4 nvs",#N/A,FALSE,"FY97 - Q4"}</definedName>
    <definedName name="NORSA">{"FY97Total var",#N/A,FALSE,"FY97 - Total";"FY98Total var",#N/A,FALSE,"FY98 - Total"}</definedName>
    <definedName name="NORTIZO">{"FY97Tot nvs",#N/A,FALSE,"FY97 - Total";"FY98Tot nvs",#N/A,FALSE,"FY98 - Total"}</definedName>
    <definedName name="NOTA">{"FY98Q1 nvs",#N/A,FALSE,"FY98 - Q1";"FY98Q2 nvs",#N/A,FALSE,"FY98 - Q2";"FY98Q3 nvs",#N/A,FALSE,"FY98 - Q3";"FY98Q4 nvs",#N/A,FALSE,"FY98 - Q4"}</definedName>
    <definedName name="NOTAI">{"FY97Q1",#N/A,FALSE,"FY97 - Q1";"FY97Q2",#N/A,FALSE,"FY97 - Q2";"FY97Q3",#N/A,FALSE,"FY97 - Q3";"FY97Q4",#N/A,FALSE,"FY97 - Q4"}</definedName>
    <definedName name="NOTAIO">{"FY98Q1",#N/A,FALSE,"FY98 - Q1";"FY98Q2",#N/A,FALSE,"FY98 - Q2";"FY98Q3",#N/A,FALSE,"FY98 - Q3";"FY98Q4",#N/A,FALSE,"FY98 - Q4"}</definedName>
    <definedName name="NOTES_PAY">"NOTES_PAY"</definedName>
    <definedName name="NOTRBA">{"FY97Q1",#N/A,FALSE,"FY97 - Q1";"FY97Q2",#N/A,FALSE,"FY97 - Q2";"FY97Q3",#N/A,FALSE,"FY97 - Q3";"FY97Q4",#N/A,FALSE,"FY97 - Q4"}</definedName>
    <definedName name="o">{#N/A,#N/A,FALSE,"SUMMARY";#N/A,#N/A,FALSE,"mcsh";#N/A,#N/A,FALSE,"vol&amp;rev";#N/A,#N/A,FALSE,"wkgcap";#N/A,#N/A,FALSE,"DEPR&amp;DT";#N/A,#N/A,FALSE,"ASSETS";#N/A,#N/A,FALSE,"NI&amp;OTH&amp;DIV";#N/A,#N/A,FALSE,"CASHFLOW";#N/A,#N/A,FALSE,"CAPEMPL";#N/A,#N/A,FALSE,"ROCE"}</definedName>
    <definedName name="OCTBS">{#N/A,#N/A,FALSE,"Assump2";#N/A,#N/A,FALSE,"Income2";#N/A,#N/A,FALSE,"Balance2";#N/A,#N/A,FALSE,"DCF Filter";#N/A,#N/A,FALSE,"Trans Assump2";#N/A,#N/A,FALSE,"Combined Income2";#N/A,#N/A,FALSE,"Combined Balance2"}</definedName>
    <definedName name="OPENPRICE">"OPENPRICE"</definedName>
    <definedName name="OPER_INC">"OPER_INC"</definedName>
    <definedName name="OPEX_sens">#REF!</definedName>
    <definedName name="os">{#N/A,#N/A,FALSE,"Cover";#N/A,#N/A,FALSE,"Contents-Pg1";#N/A,#N/A,FALSE,"High-Com-pg2";#N/A,#N/A,FALSE,"1 Full";#N/A,#N/A,FALSE,"1chts";#N/A,#N/A,FALSE,"Table 2";#N/A,#N/A,FALSE,"3New Iss";#N/A,#N/A,FALSE,"4Money raised";#N/A,#N/A,FALSE,"5Aim";#N/A,#N/A,FALSE,"AiM charts";#N/A,#N/A,FALSE,"6FT Smll";#N/A,#N/A,FALSE,"11SEATS";#N/A,#N/A,FALSE,"12Notes"}</definedName>
    <definedName name="OTHER_ASSETS">"OTHER_ASSETS"</definedName>
    <definedName name="OTHER_CURRENT_ASSETS">"OTHER_CURRENT_ASSETS"</definedName>
    <definedName name="OTHER_CURRENT_LIAB">"OTHER_CURRENT_LIAB"</definedName>
    <definedName name="OTHER_EARNING">"OTHER_EARNING"</definedName>
    <definedName name="OTHER_EQUITY">"OTHER_EQUITY"</definedName>
    <definedName name="OTHER_INVESTING">"OTHER_INVESTING"</definedName>
    <definedName name="OTHER_LIAB">"OTHER_LIAB"</definedName>
    <definedName name="OTHER_LONG_TERM">"OTHER_LONG_TERM"</definedName>
    <definedName name="OTHER_NET">"OTHER_NET"</definedName>
    <definedName name="OTHER_OPER">"OTHER_OPER"</definedName>
    <definedName name="OTHER_RECEIV">"OTHER_RECEIV"</definedName>
    <definedName name="OTHER_REVENUE">"OTHER_REVENUE"</definedName>
    <definedName name="PAY_ACCRUED">"PAY_ACCRUED"</definedName>
    <definedName name="Payroll_Tax_Percent">#REF!</definedName>
    <definedName name="PERIODDATE">"PERIODDATE"</definedName>
    <definedName name="PL_VAT">#REF!</definedName>
    <definedName name="PlanVLE">{#N/A,#N/A,FALSE,"SUMMARY";#N/A,#N/A,FALSE,"mcsh";#N/A,#N/A,FALSE,"vol&amp;rev";#N/A,#N/A,FALSE,"wkgcap";#N/A,#N/A,FALSE,"DEPR&amp;DT";#N/A,#N/A,FALSE,"ASSETS";#N/A,#N/A,FALSE,"NI&amp;OTH&amp;DIV";#N/A,#N/A,FALSE,"CASHFLOW";#N/A,#N/A,FALSE,"CAPEMPL";#N/A,#N/A,FALSE,"ROCE"}</definedName>
    <definedName name="pompelmo">{"FY98Q1 var",#N/A,FALSE,"FY98 - Q1";"FY98Q2 var",#N/A,FALSE,"FY98 - Q2";"FY98Q3 var",#N/A,FALSE,"FY98 - Q3";"FY98Q4 var",#N/A,FALSE,"FY98 - Q4"}</definedName>
    <definedName name="PP_ActiveDataset">"kein Dataset"</definedName>
    <definedName name="PP_Connected">"False"</definedName>
    <definedName name="PP_Currency">"False"</definedName>
    <definedName name="PP_DatasetSwitchAll">"False"</definedName>
    <definedName name="PP_DrillAll">"True"</definedName>
    <definedName name="PP_DrillLevel">"Drillen nächste Ebene"</definedName>
    <definedName name="PP_HideUNDEF">"False"</definedName>
    <definedName name="PP_LastRefresh">"Wednesday, March 05, 2014 9:46:54 AM"</definedName>
    <definedName name="PP_ListQuery">"False"</definedName>
    <definedName name="PP_OrganisationSwitchAll">"True"</definedName>
    <definedName name="PP_PeriodSwitchAll">"True"</definedName>
    <definedName name="PP_Simulation">"False"</definedName>
    <definedName name="PP_Thousand">"False"</definedName>
    <definedName name="PP_TopDown">"False"</definedName>
    <definedName name="PP_YearToDate">"False"</definedName>
    <definedName name="PPAccum">0</definedName>
    <definedName name="PPEuro">0</definedName>
    <definedName name="PPOnline">1</definedName>
    <definedName name="PPReaderData">0</definedName>
    <definedName name="PPThousand">0</definedName>
    <definedName name="PPUpdate">0</definedName>
    <definedName name="PPWorkState">0</definedName>
    <definedName name="PREF_DIVID">"PREF_DIVID"</definedName>
    <definedName name="PREF_STOCK">"PREF_STOCK"</definedName>
    <definedName name="PREPAID_EXPEN">"PREPAID_EXPEN"</definedName>
    <definedName name="PRETAX_INC">"PRETAX_INC"</definedName>
    <definedName name="PRETAX_INC_10K">"PRETAX_INC_10K"</definedName>
    <definedName name="PRETAX_INC_10Q">"PRETAX_INC_10Q"</definedName>
    <definedName name="PRETAX_INC_10Q1">"PRETAX_INC_10Q1"</definedName>
    <definedName name="PRICE_OVER_EPS_EST">"PRICE_OVER_EPS_EST"</definedName>
    <definedName name="PRICE_OVER_EPS_EST_1">"PRICE_OVER_EPS_EST_1"</definedName>
    <definedName name="PRICE_OVER_LTM_EPS">"PRICE_OVER_LTM_EPS"</definedName>
    <definedName name="PRINT10">#REF!</definedName>
    <definedName name="PRO_FORMA_BASIC_EPS">"PRO_FORMA_BASIC_EPS"</definedName>
    <definedName name="PRO_FORMA_DILUT_EPS">"PRO_FORMA_DILUT_EPS"</definedName>
    <definedName name="PRO_FORMA_NET_INC">"PRO_FORMA_NET_INC"</definedName>
    <definedName name="PROPERTY_GROSS">"PROPERTY_GROSS"</definedName>
    <definedName name="PROPERTY_NET">"PROPERTY_NET"</definedName>
    <definedName name="PTEeXToEUR">#REF!</definedName>
    <definedName name="PUB_UserID">"MAYERX"</definedName>
    <definedName name="qq">{#N/A,#N/A,FALSE,"OC";"Bericht OC",#N/A,FALSE,"DB"}</definedName>
    <definedName name="QUICK_RATIO">"QUICK_RATIO"</definedName>
    <definedName name="qw">{#N/A,#N/A,FALSE,"inc state";#N/A,#N/A,FALSE,"Products";#N/A,#N/A,FALSE,"bal sht"}</definedName>
    <definedName name="qwe">{"income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qweqw">{"FY97Q1 var",#N/A,FALSE,"FY97 - Q1";"FY97Q2 var",#N/A,FALSE,"FY97 - Q2";"FY97Q3 var",#N/A,FALSE,"FY97 - Q3";"FY97Q4 var",#N/A,FALSE,"FY97 - Q4"}</definedName>
    <definedName name="qwer">{"income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qwewq">{"FY97Q1",#N/A,FALSE,"FY97 - Q1";"FY97Q2",#N/A,FALSE,"FY97 - Q2";"FY97Q3",#N/A,FALSE,"FY97 - Q3";"FY97Q4",#N/A,FALSE,"FY97 - Q4"}</definedName>
    <definedName name="REDEEM_PREF_STOCK">"REDEEM_PREF_STOCK"</definedName>
    <definedName name="ReportPage1">{"Annual_Income",#N/A,FALSE,"Report Page";"Balance_Cash_Flow",#N/A,FALSE,"Report Page";"Quarterly_Income",#N/A,FALSE,"Report Page"}</definedName>
    <definedName name="RESEARCH_DEV">"RESEARCH_DEV"</definedName>
    <definedName name="resources">{#N/A,#N/A,FALSE,"Assessment";#N/A,#N/A,FALSE,"Staffing";#N/A,#N/A,FALSE,"Hires";#N/A,#N/A,FALSE,"Assumptions"}</definedName>
    <definedName name="RETAINED_EARN">"RETAINED_EARN"</definedName>
    <definedName name="rettw">{"income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RETURN_ASSETS">"RETURN_ASSETS"</definedName>
    <definedName name="RETURN_EQUITY">"RETURN_EQUITY"</definedName>
    <definedName name="RETURN_INVESTMENT">"RETURN_INVESTMENT"</definedName>
    <definedName name="REVENUE_10K">"REVENUE_10K"</definedName>
    <definedName name="REVENUE_10Q">"REVENUE_10Q"</definedName>
    <definedName name="REVENUE_10Q1">"REVENUE_10Q1"</definedName>
    <definedName name="REVENUE_EST">"REVENUE_EST"</definedName>
    <definedName name="REVENUE_EST_1">"REVENUE_EST_1"</definedName>
    <definedName name="REVENUE_GROWTH_1">"REVENUE_GROWTH_1"</definedName>
    <definedName name="REVENUE_GROWTH_2">"REVENUE_GROWTH_2"</definedName>
    <definedName name="rt">{"FY97Total var",#N/A,FALSE,"FY97 - Total";"FY98Total var",#N/A,FALSE,"FY98 - Total"}</definedName>
    <definedName name="sa">{#N/A,#N/A,FALSE,"Renewals In Process";#N/A,#N/A,FALSE,"New Clients In Process";#N/A,#N/A,FALSE,"Completed New Clients";#N/A,#N/A,FALSE,"Completed Renewals"}</definedName>
    <definedName name="sadf">{"ReportTop",#N/A,FALSE,"report top"}</definedName>
    <definedName name="sadfsd">#REF!</definedName>
    <definedName name="SAPBEXdnldView">"3ZORPRPD5BQ7D70L3GC0S3P1M"</definedName>
    <definedName name="SAPBEXhrIndnt">1</definedName>
    <definedName name="SAPBEXrevision">1</definedName>
    <definedName name="sapbexrevision2">6</definedName>
    <definedName name="SAPBEXsysID">"BWP"</definedName>
    <definedName name="SAPBEXwbID">"3XH0FRDZI2XNB1MM0BXT6GZ6Y"</definedName>
    <definedName name="sb">{#N/A,#N/A,FALSE,"Renewals In Process";#N/A,#N/A,FALSE,"New Clients In Process";#N/A,#N/A,FALSE,"Completed New Clients";#N/A,#N/A,FALSE,"Completed Renewals"}</definedName>
    <definedName name="Scenario">INDEX(#REF!,0,MATCH(#REF!,#REF!,0))</definedName>
    <definedName name="sde">{"FY98Q1",#N/A,FALSE,"FY98 - Q1";"FY98Q2",#N/A,FALSE,"FY98 - Q2";"FY98Q3",#N/A,FALSE,"FY98 - Q3";"FY98Q4",#N/A,FALSE,"FY98 - Q4"}</definedName>
    <definedName name="sdf">{#N/A,#N/A,FALSE,"SUMMARY";#N/A,#N/A,FALSE,"mcsh";#N/A,#N/A,FALSE,"vol&amp;rev";#N/A,#N/A,FALSE,"wkgcap";#N/A,#N/A,FALSE,"DEPR&amp;DT";#N/A,#N/A,FALSE,"ASSETS";#N/A,#N/A,FALSE,"NI&amp;OTH&amp;DIV";#N/A,#N/A,FALSE,"CASHFLOW";#N/A,#N/A,FALSE,"CAPEMPL";#N/A,#N/A,FALSE,"ROCE"}</definedName>
    <definedName name="sdfa">{#N/A,#N/A,FALSE,"Renewals In Process";#N/A,#N/A,FALSE,"New Clients In Process";#N/A,#N/A,FALSE,"Completed New Clients";#N/A,#N/A,FALSE,"Completed Renewals"}</definedName>
    <definedName name="sdfasdfsd">{TRUE,TRUE,-1.25,-15.5,604.5,369,FALSE,FALSE,TRUE,TRUE,0,1,83,1,38,4,5,4,TRUE,TRUE,3,TRUE,1,TRUE,75,"Swvu.inputs._.raw._.data.","ACwvu.inputs._.raw._.data.",#N/A,FALSE,FALSE,0.5,0.5,0.5,0.5,2,"&amp;F","&amp;A&amp;RPage &amp;P",FALSE,FALSE,FALSE,FALSE,1,60,#N/A,#N/A,"=R1C61:R53C89","=C1:C5",#N/A,#N/A,FALSE,FALSE,FALSE,1,600,600,FALSE,FALSE,TRUE,TRUE,TRUE}</definedName>
    <definedName name="sdfg">{#N/A,#N/A,FALSE,"Sheet1"}</definedName>
    <definedName name="sdfs">{#N/A,#N/A,FALSE,"Renewals In Process";#N/A,#N/A,FALSE,"New Clients In Process";#N/A,#N/A,FALSE,"Completed New Clients";#N/A,#N/A,FALSE,"Completed Renewals"}</definedName>
    <definedName name="sdft">{#N/A,#N/A,FALSE,"SUMMARY";#N/A,#N/A,FALSE,"mcsh";#N/A,#N/A,FALSE,"vol&amp;rev";#N/A,#N/A,FALSE,"wkgcap";#N/A,#N/A,FALSE,"DEPR&amp;DT";#N/A,#N/A,FALSE,"ASSETS";#N/A,#N/A,FALSE,"NI&amp;OTH&amp;DIV";#N/A,#N/A,FALSE,"CASHFLOW";#N/A,#N/A,FALSE,"CAPEMPL";#N/A,#N/A,FALSE,"ROCE"}</definedName>
    <definedName name="sdry">#REF!</definedName>
    <definedName name="sdsdfcsd">#REF!</definedName>
    <definedName name="sencount">1</definedName>
    <definedName name="ser">{"FY98Q1",#N/A,FALSE,"FY98 - Q1";"FY98Q2",#N/A,FALSE,"FY98 - Q2";"FY98Q3",#N/A,FALSE,"FY98 - Q3";"FY98Q4",#N/A,FALSE,"FY98 - Q4"}</definedName>
    <definedName name="SGA">"SGA"</definedName>
    <definedName name="SHARESOUTSTANDING">"SHARESOUTSTANDING"</definedName>
    <definedName name="Sheeta">{"FY97Tot nvs",#N/A,FALSE,"FY97 - Total";"FY98Tot nvs",#N/A,FALSE,"FY98 - Total"}</definedName>
    <definedName name="SHORT_TERM_INVEST">"SHORT_TERM_INVEST"</definedName>
    <definedName name="SIIII">{"FY97Q1 var",#N/A,FALSE,"FY97 - Q1";"FY97Q2 var",#N/A,FALSE,"FY97 - Q2";"FY97Q3 var",#N/A,FALSE,"FY97 - Q3";"FY97Q4 var",#N/A,FALSE,"FY97 - Q4"}</definedName>
    <definedName name="solver_adj">#REF!</definedName>
    <definedName name="solver_lin">0</definedName>
    <definedName name="solver_num">0</definedName>
    <definedName name="solver_opt">#REF!</definedName>
    <definedName name="solver_rel1">1</definedName>
    <definedName name="solver_rel2">1</definedName>
    <definedName name="solver_rel3">1</definedName>
    <definedName name="solver_rel4">4</definedName>
    <definedName name="solver_rel5">4</definedName>
    <definedName name="solver_rel6">4</definedName>
    <definedName name="solver_rhs1">15</definedName>
    <definedName name="solver_rhs2">15</definedName>
    <definedName name="solver_rhs3">15</definedName>
    <definedName name="solver_tmp">15</definedName>
    <definedName name="solver_typ">3</definedName>
    <definedName name="solver_val">0</definedName>
    <definedName name="srfs">{"FY97Q1",#N/A,FALSE,"FY97 - Q1";"FY97Q2",#N/A,FALSE,"FY97 - Q2";"FY97Q3",#N/A,FALSE,"FY97 - Q3";"FY97Q4",#N/A,FALSE,"FY97 - Q4"}</definedName>
    <definedName name="ssss">#REF!</definedName>
    <definedName name="sssss">#REF!</definedName>
    <definedName name="staffing2">{#N/A,#N/A,FALSE,"Assessment";#N/A,#N/A,FALSE,"Staffing";#N/A,#N/A,FALSE,"Hires";#N/A,#N/A,FALSE,"Assumptions"}</definedName>
    <definedName name="Staffing3">{#N/A,#N/A,FALSE,"Assessment";#N/A,#N/A,FALSE,"Staffing";#N/A,#N/A,FALSE,"Hires";#N/A,#N/A,FALSE,"Assumptions"}</definedName>
    <definedName name="STATE">"STATE"</definedName>
    <definedName name="STOCK_BASED">"STOCK_BASED"</definedName>
    <definedName name="stuff">{"TOTAL",#N/A,FALSE,"A";"FISCAL94",#N/A,FALSE,"A";"FISCAL95",#N/A,FALSE,"A";"FISCAL96",#N/A,FALSE,"A";"misc page",#N/A,FALSE,"A"}</definedName>
    <definedName name="SUMMARY_BOOK">{"page1",#N/A,FALSE,"GIRLBO";"page2",#N/A,FALSE,"GIRLBO";"page3",#N/A,FALSE,"GIRLBO";"page4",#N/A,FALSE,"GIRLBO";"page5",#N/A,FALSE,"GIRLBO"}</definedName>
    <definedName name="Summary_Units">#REF!</definedName>
    <definedName name="Swvu.BS.">#REF!</definedName>
    <definedName name="Swvu.summary1.">#REF!</definedName>
    <definedName name="Swvu.summary2.">#REF!</definedName>
    <definedName name="Swvu.summary3.">#REF!</definedName>
    <definedName name="szdb">#REF!</definedName>
    <definedName name="table3new">{#N/A,#N/A,FALSE,"Cover";#N/A,#N/A,FALSE,"Contents-Pg1";#N/A,#N/A,FALSE,"High-Com-pg2";#N/A,#N/A,FALSE,"1 Full";#N/A,#N/A,FALSE,"1chts";#N/A,#N/A,FALSE,"Table 2";#N/A,#N/A,FALSE,"3New Iss";#N/A,#N/A,FALSE,"4Money raised";#N/A,#N/A,FALSE,"5Aim";#N/A,#N/A,FALSE,"AiM charts";#N/A,#N/A,FALSE,"6FT Smll";#N/A,#N/A,FALSE,"11SEATS";#N/A,#N/A,FALSE,"12Notes"}</definedName>
    <definedName name="table6ab">{#N/A,#N/A,FALSE,"Cover";#N/A,#N/A,FALSE,"Contents-Pg1";#N/A,#N/A,FALSE,"High-Com-pg2";#N/A,#N/A,FALSE,"1 Full";#N/A,#N/A,FALSE,"1chts";#N/A,#N/A,FALSE,"Table 2";#N/A,#N/A,FALSE,"3New Iss";#N/A,#N/A,FALSE,"4Money raised";#N/A,#N/A,FALSE,"5Aim";#N/A,#N/A,FALSE,"AiM charts";#N/A,#N/A,FALSE,"6FT Smll";#N/A,#N/A,FALSE,"11SEATS";#N/A,#N/A,FALSE,"12Notes"}</definedName>
    <definedName name="Tablet_1">OFFSET(#REF!,0,0,1,COUNTIF(#REF!,"&gt;0"))</definedName>
    <definedName name="Tablet_2">OFFSET(#REF!,0,0,1,COUNTIF(#REF!,"&gt;0"))</definedName>
    <definedName name="Tablet_3">OFFSET(#REF!,0,0,1,COUNTIF(#REF!,"&gt;0"))</definedName>
    <definedName name="Tablet_4">OFFSET(#REF!,0,0,1,COUNTIF(#REF!,"&gt;0"))</definedName>
    <definedName name="Tablet_5">OFFSET(#REF!,0,0,1,COUNTIF(#REF!,"&gt;0"))</definedName>
    <definedName name="Tablet_6">OFFSET(#REF!,0,0,1,COUNTIF(#REF!,"&gt;0"))</definedName>
    <definedName name="temp">#REF!</definedName>
    <definedName name="Temp_2">{#N/A,#N/A,FALSE,"Assessment";#N/A,#N/A,FALSE,"Staffing";#N/A,#N/A,FALSE,"Hires";#N/A,#N/A,FALSE,"Assumptions"}</definedName>
    <definedName name="Temp_3">{#N/A,#N/A,FALSE,"Assessment";#N/A,#N/A,FALSE,"Staffing";#N/A,#N/A,FALSE,"Hires";#N/A,#N/A,FALSE,"Assumptions"}</definedName>
    <definedName name="temp_name">{"ALLOCATION1",#N/A,FALSE,"EXPENSE ALLOCATIONS";"ALLOCATION2",#N/A,FALSE,"EXPENSE ALLOCATIONS";"ALLOCATION3",#N/A,FALSE,"EXPENSE ALLOCATIONS";"ALLOCATION4",#N/A,FALSE,"EXPENSE ALLOCATIONS"}</definedName>
    <definedName name="test1">{#N/A,#N/A,FALSE,"Umsatz";#N/A,#N/A,FALSE,"Base V.02";#N/A,#N/A,FALSE,"Charts"}</definedName>
    <definedName name="tew">{"FY97Total",#N/A,FALSE,"FY97 - Total";"FY98Total",#N/A,FALSE,"FY98 - Total"}</definedName>
    <definedName name="TextRefCopyRangeCount">38</definedName>
    <definedName name="TOTAL">{"Informes",#N/A,FALSE,"CA";"Informes",#N/A,FALSE,"CN";"Informes",#N/A,FALSE,"INVERSIONES";"Informes",#N/A,FALSE,"CN Oficial";"Informes",#N/A,FALSE,"CA Oficial";"Informes",#N/A,FALSE,"Res Datos Areas"}</definedName>
    <definedName name="TOTAL_ASSETS">"TOTAL_ASSETS"</definedName>
    <definedName name="TOTAL_CASH_DIVID">"TOTAL_CASH_DIVID"</definedName>
    <definedName name="TOTAL_CASH_FINAN">"TOTAL_CASH_FINAN"</definedName>
    <definedName name="TOTAL_CASH_INVEST">"TOTAL_CASH_INVEST"</definedName>
    <definedName name="TOTAL_CASH_OPER">"TOTAL_CASH_OPER"</definedName>
    <definedName name="TOTAL_COMMON">"TOTAL_COMMON"</definedName>
    <definedName name="TOTAL_CURRENT_ASSETS">"TOTAL_CURRENT_ASSETS"</definedName>
    <definedName name="TOTAL_CURRENT_LIAB">"TOTAL_CURRENT_LIAB"</definedName>
    <definedName name="TOTAL_DEBT">"TOTAL_DEBT"</definedName>
    <definedName name="TOTAL_DEBT_OVER_EBITDA">"TOTAL_DEBT_OVER_EBITDA"</definedName>
    <definedName name="TOTAL_DEBT_OVER_TOTAL_BV">"TOTAL_DEBT_OVER_TOTAL_BV"</definedName>
    <definedName name="TOTAL_DEBT_OVER_TOTAL_CAP">"TOTAL_DEBT_OVER_TOTAL_CAP"</definedName>
    <definedName name="TOTAL_EQUITY">"TOTAL_EQUITY"</definedName>
    <definedName name="TOTAL_IN">{"Informes",#N/A,FALSE,"CA";"Informes",#N/A,FALSE,"CN";"Informes",#N/A,FALSE,"INVERSIONES";"Informes",#N/A,FALSE,"CN Oficial";"Informes",#N/A,FALSE,"CA Oficial";"Informes",#N/A,FALSE,"Res Datos Areas"}</definedName>
    <definedName name="TOTAL_INFORMES">{"Informes",#N/A,FALSE,"CA";"Informes",#N/A,FALSE,"CN";"Informes",#N/A,FALSE,"INVERSIONES";"Informes",#N/A,FALSE,"CN Oficial";"Informes",#N/A,FALSE,"CA Oficial";"Informes",#N/A,FALSE,"Res Datos Areas"}</definedName>
    <definedName name="TOTAL_INTEREST_EXP">"TOTAL_INTEREST_EXP"</definedName>
    <definedName name="TOTAL_INVENTORY">"TOTAL_INVENTORY"</definedName>
    <definedName name="TOTAL_LIAB">"TOTAL_LIAB"</definedName>
    <definedName name="TOTAL_LIAB_SHAREHOLD">"TOTAL_LIAB_SHAREHOLD"</definedName>
    <definedName name="TOTAL_LONG_DEBT">"TOTAL_LONG_DEBT"</definedName>
    <definedName name="TOTAL_OPER_EXPEN">"TOTAL_OPER_EXPEN"</definedName>
    <definedName name="TOTAL_RECEIV">"TOTAL_RECEIV"</definedName>
    <definedName name="TOTAL_REVENUE">"TOTAL_REVENUE"</definedName>
    <definedName name="TOTAL_SPECIAL">"TOTAL_SPECIAL"</definedName>
    <definedName name="tr">{"FY97Tot nvs",#N/A,FALSE,"FY97 - Total";"FY98Tot nvs",#N/A,FALSE,"FY98 - Total"}</definedName>
    <definedName name="TRADE_AR">"TRADE_AR"</definedName>
    <definedName name="TREASURY_STOCK">"TREASURY_STOCK"</definedName>
    <definedName name="treeList">"11110000000000000000000000000000000000000000000000000000000000000000000000000000000000000000000000000000000000000000000000000000000000000000000000000000000000000000000000000000000000000000000000000000"</definedName>
    <definedName name="ttttttttt">{"'Set-Out'!$A$1:$H$30"}</definedName>
    <definedName name="tyrw">{"FY97Total var",#N/A,FALSE,"FY97 - Total";"FY98Total var",#N/A,FALSE,"FY98 - Total"}</definedName>
    <definedName name="tz56zuzu">#REF!</definedName>
    <definedName name="UNREALIZED_GAIN">"UNREALIZED_GAIN"</definedName>
    <definedName name="UNUSUAL_EXP">"UNUSUAL_EXP"</definedName>
    <definedName name="US_GAAP">"US_GAAP"</definedName>
    <definedName name="v">{"IS",#N/A,FALSE,"IS";"RPTIS",#N/A,FALSE,"RPTIS";"STATS",#N/A,FALSE,"STATS";"CELL",#N/A,FALSE,"CELL";"BS",#N/A,FALSE,"BS"}</definedName>
    <definedName name="vvv">{"Allocation Matrix p1",#N/A,FALSE,"Allocation Matrix";"Allocation Matrix p2",#N/A,FALSE,"Allocation Matrix";"Allocation Matrix p3",#N/A,FALSE,"Allocation Matrix"}</definedName>
    <definedName name="w">{#N/A,#N/A,TRUE,"Staff cost as % of revenue";#N/A,#N/A,TRUE,"Depreciation as % of sales";#N/A,#N/A,TRUE,"Employee cost";#N/A,#N/A,TRUE,"Traffic per line";#N/A,#N/A,TRUE,"Lines per employee"}</definedName>
    <definedName name="wcom">{"IS",#N/A,FALSE,"IS";"RPTIS",#N/A,FALSE,"RPTIS";"STATS",#N/A,FALSE,"STATS";"BS",#N/A,FALSE,"BS"}</definedName>
    <definedName name="wd">{"FY98Q1 var",#N/A,FALSE,"FY98 - Q1";"FY98Q2 var",#N/A,FALSE,"FY98 - Q2";"FY98Q3 var",#N/A,FALSE,"FY98 - Q3";"FY98Q4 var",#N/A,FALSE,"FY98 - Q4"}</definedName>
    <definedName name="WDFW">{"rep1",#N/A,FALSE,"ריכוז";"REP7",#N/A,FALSE,"מפורט_אזורים_ער""ז";"REP2",#N/A,FALSE,"מפורט1";"REP3",#N/A,FALSE,"מפורט1";"REP4",#N/A,FALSE,"מפורט2";"REP5",#N/A,FALSE,"מפורט2";"REP6",#N/A,FALSE,"מפורט2"}</definedName>
    <definedName name="weee">{"FY98Q1 var",#N/A,FALSE,"FY98 - Q1";"FY98Q2 var",#N/A,FALSE,"FY98 - Q2";"FY98Q3 var",#N/A,FALSE,"FY98 - Q3";"FY98Q4 var",#N/A,FALSE,"FY98 - Q4"}</definedName>
    <definedName name="wetrt">{"income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ewq">{"FY97Q1 nvs",#N/A,FALSE,"FY97 - Q1";"FY97Q2 nvs",#N/A,FALSE,"FY97 - Q2";"FY97Q3 nvs",#N/A,FALSE,"FY97 - Q3";"FY97Q4 nvs",#N/A,FALSE,"FY97 - Q4"}</definedName>
    <definedName name="Woods">#REF!</definedName>
    <definedName name="wqer">{"Allocation Matrix p1",#N/A,FALSE,"Allocation Matrix";"Allocation Matrix p2",#N/A,FALSE,"Allocation Matrix";"Allocation Matrix p3",#N/A,FALSE,"Allocation Matrix"}</definedName>
    <definedName name="wqqwe">{"FY97Tot nvs",#N/A,FALSE,"FY97 - Total";"FY98Tot nvs",#N/A,FALSE,"FY98 - Total"}</definedName>
    <definedName name="wqrew">{"FY97Total",#N/A,FALSE,"FY97 - Total";"FY98Total",#N/A,FALSE,"FY98 - Total"}</definedName>
    <definedName name="wqrwqe">{"FY98Q1 nvs",#N/A,FALSE,"FY98 - Q1";"FY98Q2 nvs",#N/A,FALSE,"FY98 - Q2";"FY98Q3 nvs",#N/A,FALSE,"FY98 - Q3";"FY98Q4 nvs",#N/A,FALSE,"FY98 - Q4"}</definedName>
    <definedName name="wr">#REF!</definedName>
    <definedName name="wrksht">{"USD",#N/A,FALSE,"FC-15 Cap Expend";"LC",#N/A,FALSE,"FC-15 Cap Expend"}</definedName>
    <definedName name="wrn">#REF!</definedName>
    <definedName name="wrn.0198._.Consolidated._.Package.">#REF!</definedName>
    <definedName name="wrn.0298._.Consolidated._.Package.">#REF!</definedName>
    <definedName name="wrn.0398._.Consolidated._.Package.">#REF!</definedName>
    <definedName name="wrn.0498._.Consolidated._.Package.">#REF!</definedName>
    <definedName name="wrn.0598._.Consolidated._.Package.">#REF!</definedName>
    <definedName name="wrn.0698._.Consolidated._.Package.">#REF!</definedName>
    <definedName name="wr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1._.Print._.Month._.Data.">{"Month vs ABP p1",#N/A,FALSE,"Month vs ABP";"Month vs ABP p2",#N/A,FALSE,"Month vs ABP";"Month",#N/A,FALSE,"Month"}</definedName>
    <definedName name="wrn.1999._.Corporate.">{"1999Corporate",#N/A,FALSE,"Corporate"}</definedName>
    <definedName name="wrn.1999._.Funding.">{"1999Funding",#N/A,FALSE,"Funding"}</definedName>
    <definedName name="wrn.1999._.Grp._.Adjustments.">{"1999GrpAdj",#N/A,FALSE,"Grp Adj"}</definedName>
    <definedName name="wrn.1999._.Grp._.Consol.">{"1999GrpConsol",#N/A,FALSE,"Grp Consol"}</definedName>
    <definedName name="wrn.1999._.HTUK.">{"1999HTUK",#N/A,FALSE,"HTUK"}</definedName>
    <definedName name="wrn.1999._.International.">{"1999International",#N/A,FALSE,"International"}</definedName>
    <definedName name="wrn.1999._.OIDL.">{"1999OIDL",#N/A,FALSE,"OIDL"}</definedName>
    <definedName name="wrn.1999._.Trust.">{"1999Trust",#N/A,FALSE,"Trust"}</definedName>
    <definedName name="wrn.2._.pagers.">{"Cover",#N/A,FALSE,"Cover";"Summary",#N/A,FALSE,"Summarpage"}</definedName>
    <definedName name="wrn.2._.Print._.QTD._.Data.">{"Qtr vs ABP p1",#N/A,FALSE,"Quarter vs ABP";"Qtr vs ABP p2",#N/A,FALSE,"Quarter vs ABP";"Qtr",#N/A,FALSE,"Quarter"}</definedName>
    <definedName name="wrn.2000._.Corporate.">{"2000Corporate",#N/A,FALSE,"Corporate"}</definedName>
    <definedName name="wrn.2000._.Funding.">{"2000Funding",#N/A,FALSE,"Funding"}</definedName>
    <definedName name="wrn.2000._.Grp._.Adjustments.">{"2000GrpAdj",#N/A,FALSE,"Grp Adj"}</definedName>
    <definedName name="wrn.2000._.Grp._.Consol.">{"2000GrpConsol",#N/A,FALSE,"Grp Consol"}</definedName>
    <definedName name="wrn.2000._.HTUK.">{"2000HTUK",#N/A,FALSE,"HTUK"}</definedName>
    <definedName name="wrn.2000._.International.">{"2000International",#N/A,FALSE,"International"}</definedName>
    <definedName name="wrn.2000._.OIDL.">{"2000OIDL",#N/A,FALSE,"OIDL"}</definedName>
    <definedName name="wrn.2000._.Trust.">{"2000Trust",#N/A,FALSE,"Trust"}</definedName>
    <definedName name="wrn.3._.Print._.YTD._.Data.">{"Year vs ABP p1",#N/A,FALSE,"Year vs ABP";"Year vs ABP p2",#N/A,FALSE,"Year vs ABP";"Year",#N/A,FALSE,"Year"}</definedName>
    <definedName name="wrn.4._.Print._.Appendix._.I.">{"Appendix I",#N/A,FALSE,"Appendix I   - Assy Var"}</definedName>
    <definedName name="wrn.5._.Print._.Appendix._.II.">{"Appendix II",#N/A,FALSE,"Appendix II - Manu Var (Month)"}</definedName>
    <definedName name="wrn.6._.Print._.Appendix._.III.">{"Appendix III",#N/A,FALSE,"Appendix III - Manu Var (QTD) "}</definedName>
    <definedName name="wrn.7._.Print._.Appendix._.IV.">{"Appendix IV",#N/A,FALSE,"Appendix IV - Inventory Change"}</definedName>
    <definedName name="wrn.A_VALUATION.">{#N/A,#N/A,FALSE,"A_D";#N/A,#N/A,FALSE,"WACC";#N/A,#N/A,FALSE,"DCF";#N/A,#N/A,FALSE,"A";#N/A,#N/A,FALSE,"LBO";#N/A,#N/A,FALSE,"C";#N/A,#N/A,FALSE,"impd";#N/A,#N/A,FALSE,"comps"}</definedName>
    <definedName name="wrn.a1._.FY9798Totals._.no._.var.">{"FY97Tot nvs",#N/A,FALSE,"FY97 - Total";"FY98Tot nvs",#N/A,FALSE,"FY98 - Total"}</definedName>
    <definedName name="wrn.a2._.FY97Q1234._.no._.var.">{"FY97Q1 nvs",#N/A,FALSE,"FY97 - Q1";"FY97Q2 nvs",#N/A,FALSE,"FY97 - Q2";"FY97Q3 nvs",#N/A,FALSE,"FY97 - Q3";"FY97Q4 nvs",#N/A,FALSE,"FY97 - Q4"}</definedName>
    <definedName name="wrn.a3._.FY98Q1234._.no._.var.">{"FY98Q1 nvs",#N/A,FALSE,"FY98 - Q1";"FY98Q2 nvs",#N/A,FALSE,"FY98 - Q2";"FY98Q3 nvs",#N/A,FALSE,"FY98 - Q3";"FY98Q4 nvs",#N/A,FALSE,"FY98 - Q4"}</definedName>
    <definedName name="wrn.Accr_Dil.">{#N/A,#N/A,FALSE,"Debt Accr";#N/A,#N/A,FALSE,"Stock Accr";#N/A,#N/A,FALSE,"Debt Stock Accr"}</definedName>
    <definedName name="wrn.Adjustments.">{"Page1",#N/A,FALSE,"Matrix (1)";"Page2",#N/A,FALSE,"Pay-Out";"Page3",#N/A,FALSE,"Prems_Reserves";"Page4",#N/A,FALSE,"Adj. EPS";"Page5",#N/A,FALSE,"Acc_Dil"}</definedName>
    <definedName name="wrn.Aging._.and._.Trend._.Analysis.">{#N/A,#N/A,FALSE,"Aging Summary";#N/A,#N/A,FALSE,"Ratio Analysis";#N/A,#N/A,FALSE,"Test 120 Day Accts";#N/A,#N/A,FALSE,"Tickmarks"}</definedName>
    <definedName name="wrn.All_Models.">{#N/A,#N/A,FALSE,"Summary";#N/A,#N/A,FALSE,"Projections";#N/A,#N/A,FALSE,"Mkt Mults";#N/A,#N/A,FALSE,"DCF";#N/A,#N/A,FALSE,"Accr Dil";#N/A,#N/A,FALSE,"PIC LBO";#N/A,#N/A,FALSE,"MULT10_4";#N/A,#N/A,FALSE,"CBI LBO"}</definedName>
    <definedName name="wrn.All_Sheets.">{#N/A,#N/A,FALSE,"Projections";#N/A,#N/A,FALSE,"Contribution_Stock";#N/A,#N/A,FALSE,"PF_Combo_Stock";#N/A,#N/A,FALSE,"Projections";#N/A,#N/A,FALSE,"Contribution_Cash";#N/A,#N/A,FALSE,"PF_Combo_Cash";#N/A,#N/A,FALSE,"IPO_Cash"}</definedName>
    <definedName name="wrn.All.">{"M_1",#N/A,FALSE,"Main Sch";"M_2",#N/A,FALSE,"Main Sch";"M_3",#N/A,FALSE,"Main Sch";"M1B",#N/A,FALSE,"Support Sch";"M1C",#N/A,FALSE,"Support Sch";"M1D_1",#N/A,FALSE,"Support Sch";"M1D_2",#N/A,FALSE,"Support Sch";"M1E",#N/A,FALSE,"Support Sch";"M2A",#N/A,FALSE,"Support Sch";"M3A_SUMMARY",#N/A,FALSE,"Support Sch";"M3A_REVENUE",#N/A,FALSE,"Support Sch";"M3A_COMMISSIONS",#N/A,FALSE,"Support Sch";"M3B_1",#N/A,FALSE,"Support Sch";"M3B_2",#N/A,FALSE,"Support Sch";"M3C_PT1",#N/A,FALSE,"Support Sch";"M3C_PT2",#N/A,FALSE,"Support Sch";"M3D_PT1",#N/A,FALSE,"Support Sch";"M3D_PT2",#N/A,FALSE,"Support Sch";"M3E_1_PT1",#N/A,FALSE,"Support Sch";"M3E_1_PT2",#N/A,FALSE,"Support Sch";"M3E_1_PT3",#N/A,FALSE,"Support Sch";"M3E_2_PT1",#N/A,FALSE,"Support Sch";"M3E_2_PT2",#N/A,FALSE,"Support Sch";"M3E_2_PT3",#N/A,FALSE,"Support Sch";"M3E_3_PT1",#N/A,FALSE,"Support Sch";"M3E_3_PT2",#N/A,FALSE,"Support Sch";"M3E_3_PT3",#N/A,FALSE,"Support Sch";"M3F_PT1",#N/A,FALSE,"Support Sch";"M3F_PT2",#N/A,FALSE,"Support Sch";"M3F_PT3",#N/A,FALSE,"Support Sch";"M3H",#N/A,FALSE,"Support Sch";"M3J",#N/A,FALSE,"Support Sch";"M4B",#N/A,FALSE,"Support Sch"}</definedName>
    <definedName name="wrn.ALL._.ALLOCATIONS.">{"ALLOCATION1",#N/A,FALSE,"EXPENSE ALLOCATIONS";"ALLOCATION2",#N/A,FALSE,"EXPENSE ALLOCATIONS";"ALLOCATION3",#N/A,FALSE,"EXPENSE ALLOCATIONS";"ALLOCATION4",#N/A,FALSE,"EXPENSE ALLOCATIONS"}</definedName>
    <definedName name="wrn.ALL._.ASSEM._.REPORTS.">{"TOTALASSEMBLY",#N/A,FALSE,"ASSEMBLY EXPENSE";"DPAK",#N/A,FALSE,"ASSEMBLY EXPENSE";"TO220",#N/A,FALSE,"ASSEMBLY EXPENSE";"HEXDIP",#N/A,FALSE,"ASSEMBLY EXPENSE";"HEXSENSE",#N/A,FALSE,"ASSEMBLY EXPENSE";"MANAGEMENT",#N/A,FALSE,"ASSEMBLY EXPENSE";"MFGENGINEERING",#N/A,FALSE,"ASSEMBLY EXPENSE";"EQUIPENGINEERING",#N/A,FALSE,"ASSEMBLY EXPENSE";"TO220MGMT",#N/A,FALSE,"ASSEMBLY EXPENSE";"SAW",#N/A,FALSE,"ASSEMBLY EXPENSE";"EQUIPMENTSUPPORT",#N/A,FALSE,"ASSEMBLY EXPENSE";"MATERIALS",#N/A,FALSE,"ASSEMBLY EXPENSE"}</definedName>
    <definedName name="wrn.All._.Company._.Analyses.">{"Methodology and Sourcing",#N/A,FALSE,"Methodology and Sourcing";"britishtelecom",#N/A,FALSE,"BT out";"CTC",#N/A,FALSE,"CTC out";"DT",#N/A,FALSE,"DT out";"FT",#N/A,FALSE,"FT out";"HKT",#N/A,FALSE,"HKT out";"KPN",#N/A,FALSE,"KPN out";"MATAV",#N/A,FALSE,"MATAV out";"PT Telkom",#N/A,FALSE,"PT Telkom out";"Tel Arg",#N/A,FALSE,"Tel Arg out";"Telef Arg",#N/A,FALSE,"TASA out";"Tel Asia",#N/A,FALSE,"Tel. Asia Out";"T de E",#N/A,FALSE,"T de E out";"Tel Malay",#N/A,FALSE,"Tel Malay out";"TELMEX",#N/A,FALSE,"Telmex out";"TNZ",#N/A,FALSE,"TNZ out";"Telkom SA",#N/A,FALSE,"Telkom SA out";"SPT",#N/A,FALSE,"SPT out";"USA",#N/A,FALSE,"USA out"}</definedName>
    <definedName name="wrn.ALL._.DPAK._.REPORTS.">{"TOTALDPAK",#N/A,FALSE,"DPAK PRODUCTION";"HADPAK",#N/A,FALSE,"DPAK PRODUCTION";"PSIDPAK",#N/A,FALSE,"DPAK PRODUCTION"}</definedName>
    <definedName name="wrn.ALL._.FAB._.2._.EXP._.REPORTS.">{"TOTALFAB",#N/A,FALSE,"WAFER FAB 2 EXPENSE";"FABPRODUCTION",#N/A,FALSE,"WAFER FAB 2 EXPENSE";"FABENGINEERING",#N/A,FALSE,"WAFER FAB 2 EXPENSE";"FABEQUIPSUPPORT",#N/A,FALSE,"WAFER FAB 2 EXPENSE";"FABPRODUCTLINE",#N/A,FALSE,"WAFER FAB 2 EXPENSE";"FABMATERIALS",#N/A,FALSE,"WAFER FAB 2 EXPENSE"}</definedName>
    <definedName name="wrn.ALL._.FAB._.I._.EXP._.REPORTS.">{"TOTALFAB",#N/A,FALSE,"WAFER FAB 1 EXPENSE";"FABMANAGEMENT",#N/A,FALSE,"WAFER FAB 1 EXPENSE";"FABPRODUCTION",#N/A,FALSE,"WAFER FAB 1 EXPENSE";"FABENGINEERING",#N/A,FALSE,"WAFER FAB 1 EXPENSE";"FABEQUIPSUPPORT",#N/A,FALSE,"WAFER FAB 1 EXPENSE";"FABPRODUCTLINE",#N/A,FALSE,"WAFER FAB 1 EXPENSE";"FABMATERIALS",#N/A,FALSE,"WAFER FAB 1 EXPENSE"}</definedName>
    <definedName name="wrn.ALL._.FAB._9._.EXP._.REPORTS.">{"TOTALFAB",#N/A,FALSE,"WAFER FAB 2 EXPENSE";"FABPRODUCTION",#N/A,FALSE,"WAFER FAB 2 EXPENSE";"FABENGINEERING",#N/A,FALSE,"WAFER FAB 2 EXPENSE";"FABEQUIPSUPPORT",#N/A,FALSE,"WAFER FAB 2 EXPENSE";"FABPRODUCTLINE",#N/A,FALSE,"WAFER FAB 2 EXPENSE";"FABMATERIALS",#N/A,FALSE,"WAFER FAB 2 EXPENSE"}</definedName>
    <definedName name="wrn.ALL._.FACILITIES._.REPORT.">{"TOTAL",#N/A,FALSE,"FACILITIES EXPENSE";"TOTALDETAIL",#N/A,FALSE,"FACILITIES EXPENSE";"MATERIALS",#N/A,FALSE,"FACILITIES EXPENSE";"FACILITIES",#N/A,FALSE,"FACILITIES EXPENSE";"CHEM",#N/A,FALSE,"FACILITIES EXPENSE";"GENSVC",#N/A,FALSE,"FACILITIES EXPENSE";"SAFETY",#N/A,FALSE,"FACILITIES EXPENSE"}</definedName>
    <definedName name="wrn.all._.gulp._.sheets.">{#N/A,#N/A,FALSE,"units";#N/A,#N/A,FALSE,"projections";#N/A,#N/A,FALSE,"calendar";#N/A,#N/A,FALSE,"gulp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Models.">{#N/A,#N/A,FALSE,"inc state";#N/A,#N/A,FALSE,"Products";#N/A,#N/A,FALSE,"bal sht"}</definedName>
    <definedName name="wrn.ALL._.PACKAGE.">{#N/A,#N/A,FALSE,"COVER";#N/A,#N/A,FALSE," index";#N/A,#N/A,FALSE,"notes";#N/A,#N/A,FALSE,"Perform";#N/A,#N/A,FALSE,"Graphs";#N/A,#N/A,FALSE,"FAMILIES GRAPHS";#N/A,#N/A,FALSE,"WWP&amp;Lsum";#N/A,#N/A,FALSE,"WWP&amp;Lfam";#N/A,#N/A,FALSE,"SALCOMP";#N/A,#N/A,FALSE,"Assets";#N/A,#N/A,FALSE,"assgraph";#N/A,#N/A,FALSE,"FG Inventory Aging";#N/A,#N/A,FALSE,"WWINVSUM";#N/A,#N/A,FALSE,"WWinvFAM";#N/A,#N/A,FALSE,"RM&amp;WIP";#N/A,#N/A,FALSE,"CUSTOM";#N/A,#N/A,FALSE,"cesd cust";#N/A,#N/A,FALSE,"cesd cust";#N/A,#N/A,FALSE,"PRODUCT"}</definedName>
    <definedName name="wrn.All._.Pages.">{"income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QR._.EXP._.REPORTS.">{"QAEXPENSE",#N/A,FALSE,"QUALITY AND RELIABILITY EXPENSE";"qaadmin",#N/A,FALSE,"QUALITY AND RELIABILITY EXPENSE";"FA",#N/A,FALSE,"QUALITY AND RELIABILITY EXPENSE";"QA",#N/A,FALSE,"QUALITY AND RELIABILITY EXPENSE";"DOCCTRL",#N/A,FALSE,"QUALITY AND RELIABILITY EXPENSE";"PRODSUP",#N/A,FALSE,"QUALITY AND RELIABILITY EXPENSE"}</definedName>
    <definedName name="wrn.All._.Sheets.">{#N/A,#N/A,FALSE,"Adj Proj";#N/A,#N/A,FALSE,"Sheet1";#N/A,#N/A,FALSE,"LBO";#N/A,#N/A,FALSE,"LBOMER";#N/A,#N/A,FALSE,"WACC";#N/A,#N/A,FALSE,"DCF";#N/A,#N/A,FALSE,"DCFMER";#N/A,#N/A,FALSE,"Pooling";#N/A,#N/A,FALSE,"income";#N/A,#N/A,FALSE,"Offer"}</definedName>
    <definedName name="wrn.ALL._.SUMMARY._.EXP._.RPTS.">{"TOTALHEXAMEXPENSE",#N/A,FALSE,"MANUFACTURING EXPENSE SUMMARY";"TOTALASSEMBLYEXPENSE",#N/A,FALSE,"MANUFACTURING EXPENSE SUMMARY";"TOTALWAFERFABEXPENSE",#N/A,FALSE,"MANUFACTURING EXPENSE SUMMARY";"TOTALMATERIALSEXPENSE",#N/A,FALSE,"MANUFACTURING EXPENSE SUMMARY";"TOTALQAEXPENSE",#N/A,FALSE,"MANUFACTURING EXPENSE SUMMARY";"TOTALSUBEXPNESE",#N/A,FALSE,"MANUFACTURING EXPENSE SUMMARY";"TOTALFACILITIESEXPENSE",#N/A,FALSE,"MANUFACTURING EXPENSE SUMMARY";"TOTALWAFERFAB2EXPENSE",#N/A,FALSE,"MANUFACTURING EXPENSE SUMMARY"}</definedName>
    <definedName name="wrn.ALL._.TO220._.REPORTS.">{"TOTALTO220",#N/A,FALSE,"TO-220 PRODUCTION";"HATO220",#N/A,FALSE,"TO-220 PRODUCTION";"MXTO220",#N/A,FALSE,"TO-220 PRODUCTION";"PSITO220",#N/A,FALSE,"TO-220 PRODUCTION";"MOTTO220",#N/A,FALSE,"TO-220 PRODUCTION"}</definedName>
    <definedName name="wrn.ALLbutPREMIUM.">{#N/A,#N/A,FALSE,"Projections";#N/A,#N/A,FALSE,"AccrDil";#N/A,#N/A,FALSE,"PurchPriMult";#N/A,#N/A,FALSE,"Mults7_13";#N/A,#N/A,FALSE,"Mkt Mults";#N/A,#N/A,FALSE,"Acq Mults";#N/A,#N/A,FALSE,"StockPrices";#N/A,#N/A,FALSE,"Prem Paid";#N/A,#N/A,FALSE,"DCF";#N/A,#N/A,FALSE,"AUTO";#N/A,#N/A,FALSE,"Relative Trading";#N/A,#N/A,FALSE,"Mkt Val";#N/A,#N/A,FALSE,"Acq Val"}</definedName>
    <definedName name="wrn.AllModels.">{#N/A,#N/A,FALSE,"AD_Purchase";#N/A,#N/A,FALSE,"Credit";#N/A,#N/A,FALSE,"PF Acquisition";#N/A,#N/A,FALSE,"PF Offering"}</definedName>
    <definedName name="wrn.ALLOC._.Q1._.AND._.Q2._.FY96.">{"ALLOCATION1",#N/A,FALSE,"EXPENSE ALLOCATIONS"}</definedName>
    <definedName name="wrn.ALLOC._.Q1._.AND._.Q2._.FY97.">{"ALLOCATION3",#N/A,FALSE,"EXPENSE ALLOCATIONS"}</definedName>
    <definedName name="wrn.ALLOC._.Q3._.AND._.Q4._.FY96.">{"ALLOCATION2",#N/A,FALSE,"EXPENSE ALLOCATIONS"}</definedName>
    <definedName name="wrn.ALLOC._.Q3._.AND._.Q4._.FY97.">{"ALLOCATION4",#N/A,FALSE,"EXPENSE ALLOCATIONS"}</definedName>
    <definedName name="wrn.Allocation._.Matrix.">{"Allocation Matrix p1",#N/A,FALSE,"Allocation Matrix";"Allocation Matrix p2",#N/A,FALSE,"Allocation Matrix";"Allocation Matrix p3",#N/A,FALSE,"Allocation Matrix"}</definedName>
    <definedName name="wrn.Americas.">{#N/A,#N/A,FALSE,"Americas"}</definedName>
    <definedName name="wrn.Amortization.">{"Exist Debt Amort",#N/A,TRUE,"Financials";"Intangible Amort",#N/A,TRUE,"Financials";"Proj Debt Amort",#N/A,TRUE,"Financials";"Proj Pfd Amort",#N/A,TRUE,"Financials"}</definedName>
    <definedName name="wrn.APRIL.">{"APRIL",#N/A,FALSE,"Q4"}</definedName>
    <definedName name="wrn.ARPU._.composition.">{#N/A,#N/A,FALSE,"Additional ARPU"}</definedName>
    <definedName name="wrn.ARZTLM.">{"rep1",#N/A,FALSE,"ריכוז";"REP7",#N/A,FALSE,"מפורט_אזורים_ער""ז";"REP2",#N/A,FALSE,"מפורט1";"REP3",#N/A,FALSE,"מפורט1";"REP4",#N/A,FALSE,"מפורט2";"REP5",#N/A,FALSE,"מפורט2";"REP6",#N/A,FALSE,"מפורט2"}</definedName>
    <definedName name="wrn.Asia.">{"rawdata",#N/A,TRUE,"HKT";"in",#N/A,TRUE,"HKT";"rawdata",#N/A,TRUE,"PTInd";"in",#N/A,TRUE,"PTInd";"rawdata",#N/A,TRUE,"NTT";"in",#N/A,TRUE,"NTT";"rawdata",#N/A,TRUE,"PLD";"in",#N/A,TRUE,"PLD";"rawdata",#N/A,TRUE,"PTTelk";"in",#N/A,TRUE,"PTTelk";"rawdata",#N/A,TRUE,"ST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SEM._.SALARY._.CALC.">{"SALMGMT",#N/A,FALSE,"ASSEMBLY EXPENSE";"SALMFGENG",#N/A,FALSE,"ASSEMBLY EXPENSE";"SALEQUIPENG",#N/A,FALSE,"ASSEMBLY EXPENSE";"SALTO220MGMT",#N/A,FALSE,"ASSEMBLY EXPENSE";"SALEQUIPSUP",#N/A,FALSE,"ASSEMBLY EXPENSE";"SALMATPROCESS",#N/A,FALSE,"ASSEMBLY EXPENSE"}</definedName>
    <definedName name="wrn.ASSETS.">{#N/A,#N/A,FALSE,"notes";#N/A,#N/A,FALSE,"Assets";#N/A,#N/A,FALSE,"assgraph";#N/A,#N/A,FALSE,"FG Inventory Aging";#N/A,#N/A,FALSE,"WWINVSUM";#N/A,#N/A,FALSE,"WWinvFAM";#N/A,#N/A,FALSE,"RM&amp;WIP"}</definedName>
    <definedName name="wrn.Assumptions.">{"Rev and Exp",#N/A,TRUE,"Financials";"Working Capital",#N/A,TRUE,"Financials"}</definedName>
    <definedName name="wrn.AUGUST.">{"Q1AUG",#N/A,FALSE,"Q1"}</definedName>
    <definedName name="wrn.Auto._.Comp.">{#N/A,#N/A,FALSE,"Sheet1"}</definedName>
    <definedName name="wrn.b1._.FY9798Totals.">{"FY97Total",#N/A,FALSE,"FY97 - Total";"FY98Total",#N/A,FALSE,"FY98 - Total"}</definedName>
    <definedName name="wrn.b2._.FY97Q1234.">{"FY97Q1",#N/A,FALSE,"FY97 - Q1";"FY97Q2",#N/A,FALSE,"FY97 - Q2";"FY97Q3",#N/A,FALSE,"FY97 - Q3";"FY97Q4",#N/A,FALSE,"FY97 - Q4"}</definedName>
    <definedName name="wrn.b3._.FY98Q1234.">{"FY98Q1",#N/A,FALSE,"FY98 - Q1";"FY98Q2",#N/A,FALSE,"FY98 - Q2";"FY98Q3",#N/A,FALSE,"FY98 - Q3";"FY98Q4",#N/A,FALSE,"FY98 - Q4"}</definedName>
    <definedName name="wrn.balance._.sheet.">{"bs",#N/A,FALSE,"SCF"}</definedName>
    <definedName name="wrn.basics.">{#N/A,#N/A,FALSE,"TSUM";#N/A,#N/A,FALSE,"shares";#N/A,#N/A,FALSE,"earnout";#N/A,#N/A,FALSE,"Heaty";#N/A,#N/A,FALSE,"self-tend";#N/A,#N/A,FALSE,"self-sum"}</definedName>
    <definedName name="wrn.BEL.">{"IS",#N/A,FALSE,"IS";"RPTIS",#N/A,FALSE,"RPTIS";"STATS",#N/A,FALSE,"STATS";"CELL",#N/A,FALSE,"CELL";"BS",#N/A,FALSE,"BS"}</definedName>
    <definedName name="wrn.Bericht._.FO._.R.">{#N/A,#N/A,FALSE,"FO R";"Bericht FO FR",#N/A,FALSE,"DB"}</definedName>
    <definedName name="wrn.Bericht._.OC.">{#N/A,#N/A,FALSE,"OC";"Bericht OC",#N/A,FALSE,"DB"}</definedName>
    <definedName name="wrn.Bericht._.OI.">{#N/A,#N/A,FALSE,"OI";"Bericht OI",#N/A,FALSE,"DB"}</definedName>
    <definedName name="wrn.Bericht._.OS._.L.">{#N/A,#N/A,FALSE,"OS L";"Bericht OS L",#N/A,FALSE,"DB"}</definedName>
    <definedName name="wrn.Bericht._.OS._.T.">{#N/A,#N/A,FALSE,"OS T";"Bericht OS T",#N/A,FALSE,"DB"}</definedName>
    <definedName name="wrn.Bericht._.Q.">{#N/A,#N/A,FALSE,"Q";"Bericht Q",#N/A,FALSE,"DB"}</definedName>
    <definedName name="wrn.Bericht._.STA.">{#N/A,#N/A,FALSE,"STA";"Bericht STA",#N/A,FALSE,"DB"}</definedName>
    <definedName name="wrn.Bericht._.VV.">{#N/A,#N/A,FALSE,"VV";"Bericht VV",#N/A,FALSE,"DB"}</definedName>
    <definedName name="wrn.BPlan.">{#N/A,#N/A,FALSE,"F_Plan";#N/A,#N/A,FALSE,"Parameter"}</definedName>
    <definedName name="wrn.bullshit1.">{#N/A,#N/A,FALSE,"Sheet1";#N/A,#N/A,FALSE,"Summary";#N/A,#N/A,FALSE,"proj1";#N/A,#N/A,FALSE,"proj2"}</definedName>
    <definedName name="wrn.c1._.FY9798Totals._.var._.only.">{"FY97Total var",#N/A,FALSE,"FY97 - Total";"FY98Total var",#N/A,FALSE,"FY98 - Total"}</definedName>
    <definedName name="wrn.c2._.FY97Q1234._.var._.only.">{"FY97Q1 var",#N/A,FALSE,"FY97 - Q1";"FY97Q2 var",#N/A,FALSE,"FY97 - Q2";"FY97Q3 var",#N/A,FALSE,"FY97 - Q3";"FY97Q4 var",#N/A,FALSE,"FY97 - Q4"}</definedName>
    <definedName name="wrn.c3._.FY98Q1234._.var._.only.">{"FY98Q1 var",#N/A,FALSE,"FY98 - Q1";"FY98Q2 var",#N/A,FALSE,"FY98 - Q2";"FY98Q3 var",#N/A,FALSE,"FY98 - Q3";"FY98Q4 var",#N/A,FALSE,"FY98 - Q4"}</definedName>
    <definedName name="wrn.CESD._.PERFORMANCE.">{#N/A,#N/A,FALSE,"CUSTOM";#N/A,#N/A,FALSE,"cesd cust";#N/A,#N/A,FALSE,"PRODUCT";#N/A,#N/A,FALSE,"cesd family"}</definedName>
    <definedName name="wrn.client.">{"multiple",#N/A,FALSE,"client";"margins",#N/A,FALSE,"client";"data",#N/A,FALSE,"client"}</definedName>
    <definedName name="wrn.Client._.Process._.Report.">{#N/A,#N/A,FALSE,"Renewals In Process";#N/A,#N/A,FALSE,"New Clients In Process";#N/A,#N/A,FALSE,"Completed New Clients";#N/A,#N/A,FALSE,"Completed Renewals"}</definedName>
    <definedName name="wrn.Client3.">{"data",#N/A,FALSE,"client (3)";"margins",#N/A,FALSE,"client (3)";"multiple",#N/A,FALSE,"client (3)"}</definedName>
    <definedName name="wrn.client4.">{"multiple",#N/A,FALSE,"client (4)";"margins",#N/A,FALSE,"client (4)";"data",#N/A,FALSE,"client (4)"}</definedName>
    <definedName name="wrn.COMPANY.">{"REP1",#N/A,FALSE,"ריכוז";"REP2",#N/A,FALSE,"מפורט1";"REP3",#N/A,FALSE,"מפורט1";"REP4",#N/A,FALSE,"מפורט2";"REP5",#N/A,FALSE,"מפורט2";"REP6",#N/A,FALSE,"מפורט2"}</definedName>
    <definedName name="wrn.compare.">{"page1",#N/A,FALSE,"Temp";"page2",#N/A,FALSE,"Temp";"page3",#N/A,FALSE,"Temp";"page4",#N/A,FALSE,"Temp";"page5",#N/A,FALSE,"Temp";"page6",#N/A,FALSE,"Temp"}</definedName>
    <definedName name="wrn.compare.s">{"page1",#N/A,FALSE,"Temp";"page2",#N/A,FALSE,"Temp";"page3",#N/A,FALSE,"Temp";"page4",#N/A,FALSE,"Temp";"page5",#N/A,FALSE,"Temp";"page6",#N/A,FALSE,"Temp"}</definedName>
    <definedName name="wrn.Complete.">{"Cover",#N/A,FALSE,"Cover";"Summary",#N/A,FALSE,"Summarpage";"Assumptions",#N/A,FALSE,"Assumptions";"Earnings",#N/A,FALSE,"Earnings";"CF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sat_compco.">{"page1",#N/A,FALSE,"comsat";"page2",#N/A,FALSE,"comsat";"summary",#N/A,FALSE,"comsat"}</definedName>
    <definedName name="wrn.CONSOLIDATION.">{"PAGE1",#N/A,FALSE,"Consolidation";"PAGE2",#N/A,FALSE,"Consolidation";"PAGE3",#N/A,FALSE,"Consolidation";"PAGE4",#N/A,FALSE,"Consolidation";"PAGE5",#N/A,FALSE,"Consolidation";"PAGE6",#N/A,FALSE,"Consolidation";"PAGE7",#N/A,FALSE,"Consolidation"}</definedName>
    <definedName name="wrn.contribution.">{#N/A,#N/A,FALSE,"Contribution Analysis"}</definedName>
    <definedName name="wrn.CONTROL.">{"CONTROL",#N/A,FALSE,"REVENUE AND GM "}</definedName>
    <definedName name="wrn.Cost._.Center._.Opex.">{"510 Opex",#N/A,FALSE,"510";"520 Opex",#N/A,FALSE,"520";"UK Cons Opex",#N/A,FALSE,"Consulting-UK";"522 Opex",#N/A,FALSE,"522";"530 Opex",#N/A,FALSE,"530";"600 Opex",#N/A,FALSE,"600";"601 Opex",#N/A,FALSE,"601";"603 Opex",#N/A,FALSE,"603";"610 Opex",#N/A,FALSE,"610";"UK Sales Opex",#N/A,FALSE,"Sales-UK";"640 Opex",#N/A,FALSE,"640";"642 Opex",#N/A,FALSE,"642";"UK Mktg Opex",#N/A,FALSE,"Marketing - UK";"650 Opex",#N/A,FALSE,"650";"700 Opex",#N/A,FALSE,"700";"710 Opex",#N/A,FALSE,"710";"715 Opex",#N/A,FALSE,"715(DCS)";"720 Opex",#N/A,FALSE,"720(QA)";"800 Opex",#N/A,FALSE,"800";"810 Opex",#N/A,FALSE,"810";"820 Opex",#N/A,FALSE,"820";"830 Opex",#N/A,FALSE,"830";"850 Opex",#N/A,FALSE,"850";"851 Opex",#N/A,FALSE,"851";"Fringe Opex",#N/A,FALSE,"Fringe-825"}</definedName>
    <definedName name="wrn.Cost._.Summary.">{#N/A,#N/A,FALSE,"Tab 5 - Budget Statement";#N/A,#N/A,FALSE,"Tab 4 - Financial Worksheet";#N/A,#N/A,FALSE,"Tab 1 - Resource Worksheet";#N/A,#N/A,FALSE,"Tab 2 - Educ-Travel-Ent";#N/A,#N/A,FALSE,"Tab 3 - Hardware-Software"}</definedName>
    <definedName name="wrn.Cost._.Summary1.">{#N/A,#N/A,FALSE,"Tab 5 - Budget Statement";#N/A,#N/A,FALSE,"Tab 4 - Financial Worksheet";#N/A,#N/A,FALSE,"Tab 1 - Resource Worksheet";#N/A,#N/A,FALSE,"Tab 2 - Educ-Travel-Ent";#N/A,#N/A,FALSE,"Tab 3 - Hardware-Software"}</definedName>
    <definedName name="wrn.cotop.">{"ReportTop",#N/A,FALSE,"report top"}</definedName>
    <definedName name="wrn.Cover.">{"coverall",#N/A,FALSE,"Definitions";"cover1",#N/A,FALSE,"Definitions";"cover2",#N/A,FALSE,"Definitions";"cover3",#N/A,FALSE,"Definitions";"cover4",#N/A,FALSE,"Definitions";"cover5",#N/A,FALSE,"Definitions";"blank",#N/A,FALSE,"Definitions"}</definedName>
    <definedName name="wrn.CRT.">{#N/A,#N/A,TRUE,"Title Sheet";#N/A,#N/A,TRUE,"Contents";#N/A,#N/A,TRUE,"Scenarios";#N/A,#N/A,TRUE,"WACC";#N/A,#N/A,TRUE,"Valuation-PERPETUITY";#N/A,#N/A,TRUE,"IS - Conso";#N/A,#N/A,TRUE,"IS - Conso (US$ '95)";#N/A,#N/A,TRUE,"Cash Flow - Conso";#N/A,#N/A,TRUE,"Cash Flow - Conso (US$'95)";#N/A,#N/A,TRUE,"BS - Conso";#N/A,#N/A,TRUE,"BS - Conso (US$'95)";#N/A,#N/A,TRUE,"Macro Assumptions";#N/A,#N/A,TRUE,"Supply assumptions";#N/A,#N/A,TRUE,"Tariffs-Elasticities (FIXED)";#N/A,#N/A,TRUE,"Fixed - Revenues";#N/A,#N/A,TRUE,"Cellular - Revenues";#N/A,#N/A,TRUE,"Fixed - OPEX";#N/A,#N/A,TRUE,"Cellular - OPEX";#N/A,#N/A,TRUE,"Fixed - CAPEX";#N/A,#N/A,TRUE," mobile - CAPEX ";#N/A,#N/A,TRUE,"Debt ";#N/A,#N/A,TRUE,"Taxes";#N/A,#N/A,TRUE,"Dividends";#N/A,#N/A,TRUE,"Net WC";#N/A,#N/A,TRUE,"Ratios";#N/A,#N/A,TRUE,"Ratios IS-Conso";#N/A,#N/A,TRUE,"Ratios BS - Conso";#N/A,#N/A,TRUE,"Proforma - Fixed";#N/A,#N/A,TRUE,"Proforma- Cellular"}</definedName>
    <definedName name="wrn.csc.">{"orixcsc",#N/A,FALSE,"ORIX CSC";"orixcsc2",#N/A,FALSE,"ORIX CSC"}</definedName>
    <definedName name="wrn.csc2.">{#N/A,#N/A,FALSE,"ORIX CSC"}</definedName>
    <definedName name="wrn.database.">{"subs",#N/A,FALSE,"database ";"proportional",#N/A,FALSE,"database "}</definedName>
    <definedName name="wrn.dcf.">{"mgmt forecast",#N/A,FALSE,"Mgmt Forecast";"dcf table",#N/A,FALSE,"Mgmt Forecast";"sensitivity",#N/A,FALSE,"Mgmt Forecast";"table inputs",#N/A,FALSE,"Mgmt Forecast";"calculations",#N/A,FALSE,"Mgmt Forecast"}</definedName>
    <definedName name="wrn.DECEMBER.">{"DECEMBER",#N/A,FALSE,"Q2"}</definedName>
    <definedName name="wrn.Depreciation.">{"GAAP Deprec",#N/A,TRUE,"Financials";"Tax Deprec",#N/A,TRUE,"Financials"}</definedName>
    <definedName name="wrn.Detail.">{"Detail Cash",#N/A,TRUE,"P&amp;L Detail";#N/A,#N/A,TRUE,"P&amp;L Summ"}</definedName>
    <definedName name="wrn.Dream._.Team.">{#N/A,#N/A,FALSE,"Introduction";#N/A,#N/A,FALSE,"Structure"}</definedName>
    <definedName name="wrn.Earnings._.Model.">{#N/A,#N/A,FALSE,"Product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lectron_compco.">{"page1",#N/A,FALSE,"CWS";"page2",#N/A,FALSE,"CWS";"summary",#N/A,FALSE,"CWS"}</definedName>
    <definedName name="wrn.electron_wacc.">{"WACC",#N/A,FALSE,"CWS"}</definedName>
    <definedName name="wrn.Employee._.Efficiency.">{"Employee Efficiency",#N/A,FALSE,"Benchmarking"}</definedName>
    <definedName name="wrn.Error.">{#N/A,#N/A,FALSE,"Error"}</definedName>
    <definedName name="wrn.Europe.">{"rawdata",#N/A,TRUE,"BT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verything.">{#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xam._.Workpapers._.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ternal.">{"External_Annual_Income",#N/A,FALSE,"External";"External_Quarterly_Income",#N/A,FALSE,"External"}</definedName>
    <definedName name="wrn.external.2">{"External_Annual_Income",#N/A,FALSE,"External";"External_Quarterly_Income",#N/A,FALSE,"External"}</definedName>
    <definedName name="wrn.FAB._.1._.TOTAL.">{"FB1_T",#N/A,FALSE,"FAB 1"}</definedName>
    <definedName name="wrn.FAB._.2._.ADMIN._.EXP.">{"FABMATERIALS",#N/A,FALSE,"WAFER FAB 2 EXPENSE"}</definedName>
    <definedName name="wrn.FAB._.2._.ENG._.EXP.">{"FABENGINEERING",#N/A,FALSE,"WAFER FAB 2 EXPENSE"}</definedName>
    <definedName name="wrn.FAB._.2._.EQUIP._.SUP._.EXP.">{"FABEQUIPSUPPORT",#N/A,FALSE,"WAFER FAB 2 EXPENSE"}</definedName>
    <definedName name="wrn.FAB._.2._.PROD._.EXP.">{"FABPRODUCTION",#N/A,FALSE,"WAFER FAB 2 EXPENSE"}</definedName>
    <definedName name="wrn.FAB._.2._.PROD._.LINE._.EXP.">{"FABPRODUCTLINE",#N/A,FALSE,"WAFER FAB 2 EXPENSE"}</definedName>
    <definedName name="wrn.FAB._.2._.SALARY._.REPORTS.">{"SALFABENG",#N/A,FALSE,"WAFER FAB 2 EXPENSE";"SALFABMAT",#N/A,FALSE,"WAFER FAB 2 EXPENSE"}</definedName>
    <definedName name="wrn.FAB._.ONE._.3420.">{"FB342O",#N/A,FALSE,"FAB 1"}</definedName>
    <definedName name="wrn.FAB._.ONE._.3430.">{"FB343O",#N/A,FALSE,"FAB 1"}</definedName>
    <definedName name="wrn.FB3410.">{"FB341O",#N/A,FALSE,"FAB 1"}</definedName>
    <definedName name="wrn.FEBRUARY.">{"FEBRUARY",#N/A,FALSE,"Q3"}</definedName>
    <definedName name="wrn.Filter.">{#N/A,#N/A,FALSE,"Assump2";#N/A,#N/A,FALSE,"Income2";#N/A,#N/A,FALSE,"Balance2";#N/A,#N/A,FALSE,"DCF Filter";#N/A,#N/A,FALSE,"Trans Assump2";#N/A,#N/A,FALSE,"Combined Income2";#N/A,#N/A,FALSE,"Combined Balance2"}</definedName>
    <definedName name="wrn.Final._.Copy.">{#N/A,#N/A,TRUE,"Assumptions";#N/A,#N/A,TRUE,"Financial  Statements";#N/A,#N/A,TRUE,"Unl. Free CF Valuation ";#N/A,#N/A,TRUE,"Funding Schedule";#N/A,#N/A,TRUE,"High Yield &amp; Equity Schedule"}</definedName>
    <definedName name="wrn.Financial._.Statements.">{#N/A,#N/A,TRUE,"Hist &amp; Proj BS 98-02";#N/A,#N/A,TRUE,"Hist &amp; Proj IS 98-02";#N/A,#N/A,TRUE,"Hist &amp; Proj Oper Exp 98-02";#N/A,#N/A,TRUE,"Hist &amp; Proj CF 99-02";#N/A,#N/A,TRUE,"Mnthly Cash 99";#N/A,#N/A,TRUE,"Mnthly Cash 00";#N/A,#N/A,TRUE,"Mnthly Cash 01";#N/A,#N/A,TRUE,"Mnthly Cash 02";#N/A,#N/A,TRUE,"Mnthly IS 99";#N/A,#N/A,TRUE,"Mnthly IS 00";#N/A,#N/A,TRUE,"Mnthly IS 01";#N/A,#N/A,TRUE,"Mnthly IS 02"}</definedName>
    <definedName name="wrn.Financials.">{"Inc Stmt",#N/A,TRUE,"Financials";"Common Size",#N/A,TRUE,"Financials";"BS Assets",#N/A,TRUE,"Financials";"BS Liabilities",#N/A,TRUE,"Financials";"Cash Flow Stmt",#N/A,TRUE,"Financials";"DCF",#N/A,TRUE,"Financials"}</definedName>
    <definedName name="wrn.first2.">{#N/A,#N/A,FALSE,"sum-don";#N/A,#N/A,FALSE,"inc-don"}</definedName>
    <definedName name="wrn.first3.">{#N/A,#N/A,FALSE,"Summary";#N/A,#N/A,FALSE,"proj1";#N/A,#N/A,FALSE,"proj2"}</definedName>
    <definedName name="wrn.first4.">{#N/A,#N/A,FALSE,"Summary";#N/A,#N/A,FALSE,"proj1";#N/A,#N/A,FALSE,"proj2";#N/A,#N/A,FALSE,"DCF"}</definedName>
    <definedName name="wrn.forecast.">{#N/A,#N/A,FALSE,"model"}</definedName>
    <definedName name="wrn.forecast2">{#N/A,#N/A,FALSE,"model"}</definedName>
    <definedName name="wrn.forecastassumptions.">{#N/A,#N/A,FALSE,"model"}</definedName>
    <definedName name="wrn.forecastassumptions2">{#N/A,#N/A,FALSE,"model"}</definedName>
    <definedName name="wrn.forecastROIC.">{#N/A,#N/A,FALSE,"model"}</definedName>
    <definedName name="wrn.forecastROIC2">{#N/A,#N/A,FALSE,"model"}</definedName>
    <definedName name="wrn.forms.">{#N/A,#N/A,FALSE,"Set-Up";#N/A,#N/A,FALSE,"Comparison";#N/A,#N/A,FALSE,"AR";#N/A,#N/A,FALSE,"Inv";#N/A,#N/A,FALSE,"Concentrations";#N/A,#N/A,FALSE,"Past Dues";#N/A,#N/A,FALSE,"Trends";#N/A,#N/A,FALSE,"AR Trends";#N/A,#N/A,FALSE,"Inv Trends"}</definedName>
    <definedName name="wrn.Full._.Print.">{"Compco",#N/A,FALSE,"CWS";"Summary",#N/A,FALSE,"CWS";"WACC",#N/A,FALSE,"CWS"}</definedName>
    <definedName name="wrn.Full._.report.">{"multiple",#N/A,FALSE,"client (2)";"margins",#N/A,FALSE,"client (2)";"data",#N/A,FALSE,"client (2)";"multiple",#N/A,FALSE,"client";"margins",#N/A,FALSE,"client";"data",#N/A,FALSE,"client"}</definedName>
    <definedName name="wrn.Funnel._.Report.">{#N/A,#N/A,FALSE,"funnel";#N/A,#N/A,FALSE,"AE Summary";#N/A,#N/A,FALSE,"Product Summary"}</definedName>
    <definedName name="wrn.GRAPHS.">{#N/A,#N/A,FALSE,"Graphs";#N/A,#N/A,FALSE,"FAMILIES GRAPHS";#N/A,#N/A,FALSE,"assgraph";#N/A,#N/A,FALSE,"FG Inventory Aging"}</definedName>
    <definedName name="wrn.HEAT.">{#N/A,#N/A,FALSE,"Heat";#N/A,#N/A,FALSE,"DCF";#N/A,#N/A,FALSE,"LBO";#N/A,#N/A,FALSE,"A";#N/A,#N/A,FALSE,"C";#N/A,#N/A,FALSE,"impd";#N/A,#N/A,FALSE,"Accr-Dilu"}</definedName>
    <definedName name="wrn.history.">{#N/A,#N/A,FALSE,"model"}</definedName>
    <definedName name="wrn.history2">{#N/A,#N/A,FALSE,"model"}</definedName>
    <definedName name="wrn.histROIC.">{#N/A,#N/A,FALSE,"model"}</definedName>
    <definedName name="wrn.histROIC2">{#N/A,#N/A,FALSE,"model"}</definedName>
    <definedName name="wrn.Hydraulic.">{#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2.">{#N/A,#N/A,FALSE,"HuscoCombined-Summ";#N/A,#N/A,FALSE,"HuscoCombined-Income";#N/A,#N/A,FALSE,"HuscoCombined-Offering";#N/A,#N/A,FALSE,"Husco-Income";#N/A,#N/A,FALSE,"TargetEngineer";#N/A,#N/A,FALSE,"TargetAcqCalc";#N/A,#N/A,FALSE,"Husco-Acq"}</definedName>
    <definedName name="wrn.ilya.">{#N/A,#N/A,TRUE,"Staff cost as % of revenue";#N/A,#N/A,TRUE,"Depreciation as % of sales";#N/A,#N/A,TRUE,"Employee cost";#N/A,#N/A,TRUE,"Traffic per line";#N/A,#N/A,TRUE,"Lines per employee"}</definedName>
    <definedName name="wrn.ilya1.">{#N/A,#N/A,TRUE,"Staff cost as % of revenue";#N/A,#N/A,TRUE,"Depreciation as % of sales";#N/A,#N/A,TRUE,"Employee cost";#N/A,#N/A,TRUE,"Traffic per line";#N/A,#N/A,TRUE,"Lines per employee"}</definedName>
    <definedName name="wrn.Import._.figures.">{"reports",#N/A,FALSE,"Balance Sheet"}</definedName>
    <definedName name="wrn.impressao.">{#N/A,#N/A,FALSE,"FPVA_CMVMC";#N/A,#N/A,FALSE,"FPVA_FSE";#N/A,#N/A,FALSE,"FPVA_Pessoal";#N/A,#N/A,FALSE,"FPVA_Plano_Invest.";#N/A,#N/A,FALSE,"FPVA_Mapa FM";#N/A,#N/A,FALSE,"FPVA_DR";#N/A,#N/A,FALSE,"FPVA_Balanço";#N/A,#N/A,FALSE,"FPVA_Valor"}</definedName>
    <definedName name="wrn.impressão.">{#N/A,#N/A,FALSE,"CA_FSE";#N/A,#N/A,FALSE,"CA_Pessoal";#N/A,#N/A,FALSE,"CA_Plano_Invest.";#N/A,#N/A,FALSE,"CA_Mapa FM";#N/A,#N/A,FALSE,"CA_DR";#N/A,#N/A,FALSE,"CA_Balanço";#N/A,#N/A,FALSE,"CA_Valor"}</definedName>
    <definedName name="wrn.Income._.Statement.">{#N/A,#N/A,FALSE,"Report Print"}</definedName>
    <definedName name="wrn.Informes.">{#N/A,#N/A,FALSE,"CN Oficial RESUMIDA EXCanon";#N/A,#N/A,FALSE,"CN Oficial";#N/A,#N/A,FALSE,"CA Oficial";#N/A,#N/A,FALSE,"PLANTILLA";#N/A,#N/A,FALSE,"BAL";#N/A,#N/A,FALSE,"PT_Finanzas";#N/A,#N/A,FALSE,"INVERSIONES BIEN"}</definedName>
    <definedName name="wrn.INPUT.">{"INPUT",#N/A,FALSE,"REVENUE AND GM "}</definedName>
    <definedName name="wrn.Inputs.">{"Input1",#N/A,FALSE,"PF";"Input2",#N/A,FALSE,"PF";"Input3",#N/A,FALSE,"PF"}</definedName>
    <definedName name="wrn.international.">{"sweden",#N/A,FALSE,"Sweden";"germany",#N/A,FALSE,"Germany";"portugal",#N/A,FALSE,"Portugal";"belgium",#N/A,FALSE,"Belgium";"japan",#N/A,FALSE,"Japan ";"italy",#N/A,FALSE,"Italy";"spain",#N/A,FALSE,"Spain";"korea",#N/A,FALSE,"Korea"}</definedName>
    <definedName name="wrn.IPIX.">{#N/A,#N/A,FALSE,"Report Print"}</definedName>
    <definedName name="wrn.ipovalue.">{#N/A,#N/A,FALSE,"puboff";#N/A,#N/A,FALSE,"valuation";#N/A,#N/A,FALSE,"finanalsis";#N/A,#N/A,FALSE,"split";#N/A,#N/A,FALSE,"ownership"}</definedName>
    <definedName name="wrn.ISCG._.model.">{#N/A,#N/A,FALSE,"Second";#N/A,#N/A,FALSE,"ownership";#N/A,#N/A,FALSE,"Valuation";#N/A,#N/A,FALSE,"Eqiv";#N/A,#N/A,FALSE,"Mults";#N/A,#N/A,FALSE,"ISCG Graphics"}</definedName>
    <definedName name="wrn.ISMTHBOARD.">{"ISMTHBRDVIEW",#N/A,FALSE,"ISMTH"}</definedName>
    <definedName name="wrn.ismthboard05">{"ISMTHBRDVIEW",#N/A,FALSE,"ISMTH"}</definedName>
    <definedName name="wrn.ISMTHMGMT.">{"ISMTHMGMTVIEW",#N/A,FALSE,"ISMTH"}</definedName>
    <definedName name="wrn.ismthmgmt05">{"ISMTHMGMTVIEW",#N/A,FALSE,"ISMTH"}</definedName>
    <definedName name="wrn.JANI._.REBATES.">{"TOTAL",#N/A,FALSE,"A";"FISCAL94",#N/A,FALSE,"A";"FISCAL95",#N/A,FALSE,"A";"FISCAL96",#N/A,FALSE,"A";"misc page",#N/A,FALSE,"A"}</definedName>
    <definedName name="wrn.JANUARY.">{"JANUARY",#N/A,FALSE,"Q3"}</definedName>
    <definedName name="wrn.Japan._.Data.">{"Analysis1Q95",#N/A,FALSE,"Japan";"Analysis2Q95",#N/A,FALSE,"Japan";"Analysis1H95",#N/A,FALSE,"Japan";"Data",#N/A,FALSE,"Japan";"Margin Summary",#N/A,FALSE,"Japan";"Sales Summary",#N/A,FALSE,"Japan"}</definedName>
    <definedName name="wrn.JODM._.Graphs.">{"graph",#N/A,FALSE,"WWJU";"graph",#N/A,FALSE,"WWSEM";"graph",#N/A,FALSE,"GOMJU";"graph",#N/A,FALSE,"GOMSEM";"graph",#N/A,FALSE,"NSJU";"graph",#N/A,FALSE,"NSSEM";"graph",#N/A,FALSE,"WAJU";"graph",#N/A,FALSE,"STOCKPRI";"graph",#N/A,FALSE,"CFTEV";"graph",#N/A,FALSE,"NAV-RCV";"graph",#N/A,FALSE,"CRUDEWW"}</definedName>
    <definedName name="wrn.JULY.">{"Q1JUL",#N/A,FALSE,"Q1"}</definedName>
    <definedName name="wrn.JUNE.">{"JUNE",#N/A,FALSE,"Q4"}</definedName>
    <definedName name="wrn.LC._.COST.">{"LCCOST",#N/A,FALSE,"FC-3 "}</definedName>
    <definedName name="wrn.LC._.FC3.">{"LCFC3",#N/A,FALSE,"FC-3 "}</definedName>
    <definedName name="wrn.legal.">{"long",#N/A,FALSE,"ESC"}</definedName>
    <definedName name="wrn.Line._.Efficiency.">{"Line Efficiency",#N/A,FALSE,"Benchmarking"}</definedName>
    <definedName name="wrn.LOB.">{"grossprem(LOB)",#N/A,FALSE,"TEMPLATE";"gpwgrowth(LOB)",#N/A,FALSE,"TEMPLATE";"retention(LOB)",#N/A,FALSE,"TEMPLATE";"netprem(LOB)",#N/A,FALSE,"TEMPLATE";"npwgrowth(LOB)",#N/A,FALSE,"TEMPLATE";"premearned(LOB)",#N/A,FALSE,"TEMPLATE";"lossratio(LOB)",#N/A,FALSE,"TEMPLATE";"commratio(LOB)",#N/A,FALSE,"TEMPLATE";"uwratio(LOB)",#N/A,FALSE,"TEMPLATE";"expenseratio(LOB)",#N/A,FALSE,"TEMPLATE";"combined(LOB)",#N/A,FALSE,"TEMPLATE";"savings(LOB)",#N/A,FALSE,"TEMPLATE";"GAAPexpense(LOB)",#N/A,FALSE,"TEMPLATE";"GAAPcombined(LOB)",#N/A,FALSE,"TEMPLATE";"DAC%(LOB)",#N/A,FALSE,"TEMPLATE";"DAC$(LOB)",#N/A,FALSE,"TEMPLATE";"lossdoll(LOB)",#N/A,FALSE,"TEMPLATE";"uwexpgrowth(LOB)",#N/A,FALSE,"TEMPLATE";"uwdoll(LOB)",#N/A,FALSE,"TEMPLATE";"commdoll(LOB)",#N/A,FALSE,"TEMPLATE";"expensedoll(LOB)",#N/A,FALSE,"TEMPLATE"}</definedName>
    <definedName name="wrn.LOOKUP._.TABLE.">{"LOOKUP TABLE",#N/A,FALSE,"FC-3 "}</definedName>
    <definedName name="wrn.M_1.">{"M_1",#N/A,FALSE,"Main Sch"}</definedName>
    <definedName name="wrn.M_2.">{"M_2",#N/A,FALSE,"Main Sch"}</definedName>
    <definedName name="wrn.M_3.">{"M_3",#N/A,FALSE,"Main Sch"}</definedName>
    <definedName name="wrn.M1B.">{"M1B",#N/A,FALSE,"Support Sch"}</definedName>
    <definedName name="wrn.M1C.">{"M1C",#N/A,FALSE,"Support Sch"}</definedName>
    <definedName name="wrn.M1D_1.">{"M1D_1",#N/A,FALSE,"Support Sch"}</definedName>
    <definedName name="wrn.M1D_2.">{"M1D_2",#N/A,FALSE,"Support Sch"}</definedName>
    <definedName name="wrn.M1E.">{"M1E",#N/A,FALSE,"Support Sch"}</definedName>
    <definedName name="wrn.M2A.">{"M2A",#N/A,FALSE,"Support Sch"}</definedName>
    <definedName name="wrn.M3A_COMMISSIONS.">{"M3A_COMMISSIONS",#N/A,FALSE,"Support Sch"}</definedName>
    <definedName name="wrn.M3A_REVENUE.">{"M3A_REVENUE",#N/A,FALSE,"Support Sch"}</definedName>
    <definedName name="wrn.M3A_SUMMARY.">{"M3A_SUMMARY",#N/A,FALSE,"Support Sch"}</definedName>
    <definedName name="wrn.M3B_1.">{"M3B_1",#N/A,FALSE,"Support Sch"}</definedName>
    <definedName name="wrn.M3B_2.">{"M3B_2",#N/A,FALSE,"Support Sch"}</definedName>
    <definedName name="wrn.M3C_PT1.">{"M3C_PT1",#N/A,FALSE,"Support Sch"}</definedName>
    <definedName name="wrn.M3C_PT2.">{"M3C_PT2",#N/A,FALSE,"Support Sch"}</definedName>
    <definedName name="wrn.M3D_PT1.">{"M3D_PT1",#N/A,FALSE,"Support Sch"}</definedName>
    <definedName name="wrn.M3D_PT2.">{"M3D_PT2",#N/A,FALSE,"Support Sch"}</definedName>
    <definedName name="wrn.M3E_1_PT1.">{"M3E_1_PT1",#N/A,FALSE,"Support Sch"}</definedName>
    <definedName name="wrn.M3E_1_PT2.">{"M3E_1_PT2",#N/A,FALSE,"Support Sch"}</definedName>
    <definedName name="wrn.M3E_1_PT3.">{"M3E_1_PT3",#N/A,FALSE,"Support Sch"}</definedName>
    <definedName name="wrn.M3E_2_PT1.">{"M3E_2_PT1",#N/A,FALSE,"Support Sch"}</definedName>
    <definedName name="wrn.M3E_2_PT2.">{"M3E_2_PT2",#N/A,FALSE,"Support Sch"}</definedName>
    <definedName name="wrn.M3E_2_PT3.">{"M3E_2_PT3",#N/A,FALSE,"Support Sch"}</definedName>
    <definedName name="wrn.M3E_3_PT1.">{"M3E_3_PT1",#N/A,FALSE,"Support Sch"}</definedName>
    <definedName name="wrn.M3E_3_PT2.">{"M3E_3_PT2",#N/A,FALSE,"Support Sch"}</definedName>
    <definedName name="wrn.M3E_3_PT3.">{"M3E_3_PT3",#N/A,FALSE,"Support Sch"}</definedName>
    <definedName name="wrn.M3F_PT1.">{"M3F_PT1",#N/A,FALSE,"Support Sch"}</definedName>
    <definedName name="wrn.M3F_PT2.">{"M3F_PT2",#N/A,FALSE,"Support Sch"}</definedName>
    <definedName name="wrn.M3F_PT3.">{"M3F_PT3",#N/A,FALSE,"Support Sch"}</definedName>
    <definedName name="wrn.M3H_10.">{"M3HL10",#N/A,FALSE,"SupportDetail"}</definedName>
    <definedName name="wrn.M3H_20.">{"M3HL20",#N/A,FALSE,"SupportDetail"}</definedName>
    <definedName name="wrn.M3H_30.">{"M3HL30",#N/A,FALSE,"SupportDetail"}</definedName>
    <definedName name="wrn.M3H_40.">{"M3HL40",#N/A,FALSE,"SupportDetail"}</definedName>
    <definedName name="wrn.M3H_50.">{"M3HL50",#N/A,FALSE,"SupportDetail"}</definedName>
    <definedName name="wrn.M3H_60.">{"M3HL60",#N/A,FALSE,"SupportDetail"}</definedName>
    <definedName name="wrn.M3H_70.">{"M3HL70",#N/A,FALSE,"SupportDetail"}</definedName>
    <definedName name="wrn.M3H_80.">{"M3HL80",#N/A,FALSE,"SupportDetail"}</definedName>
    <definedName name="wrn.M3H_90.">{"M3HL90",#N/A,FALSE,"SupportDetail"}</definedName>
    <definedName name="wrn.M3H.">{"M3H",#N/A,FALSE,"Support Sch"}</definedName>
    <definedName name="wrn.M3H100.">{"M3H.100",#N/A,FALSE,"SupportDetail"}</definedName>
    <definedName name="wrn.M3H110.">{"M3H.110",#N/A,FALSE,"SupportDetail"}</definedName>
    <definedName name="wrn.M3H120.">{"M3H.120",#N/A,FALSE,"SupportDetail"}</definedName>
    <definedName name="wrn.M3H130.">{"M3H.130",#N/A,FALSE,"SupportDetail"}</definedName>
    <definedName name="wrn.M3H140.">{"M3H.140",#N/A,FALSE,"SupportDetail"}</definedName>
    <definedName name="wrn.M3H150.">{"M3H.150",#N/A,FALSE,"SupportDetail"}</definedName>
    <definedName name="wrn.M3H160.">{"M3H.160",#N/A,FALSE,"SupportDetail"}</definedName>
    <definedName name="wrn.M3H170.">{"M3H.170",#N/A,FALSE,"SupportDetail"}</definedName>
    <definedName name="wrn.M3H180.">{"M3H.180",#N/A,FALSE,"SupportDetail"}</definedName>
    <definedName name="wrn.M3H190.">{"M3H.190",#N/A,FALSE,"SupportDetail"}</definedName>
    <definedName name="wrn.M3H200.">{"M3H.200",#N/A,FALSE,"SupportDetail"}</definedName>
    <definedName name="wrn.M3H210.">{"M3H.210",#N/A,FALSE,"SupportDetail"}</definedName>
    <definedName name="wrn.M3H220.">{"M3H.220",#N/A,FALSE,"SupportDetail"}</definedName>
    <definedName name="wrn.M3H230.">{"M3H.230",#N/A,FALSE,"SupportDetail"}</definedName>
    <definedName name="wrn.M3H240.">{"M3H.240",#N/A,FALSE,"SupportDetail"}</definedName>
    <definedName name="wrn.M3H250.">{"M3H.250",#N/A,FALSE,"SupportDetail"}</definedName>
    <definedName name="wrn.M3H260.">{"M3H.260",#N/A,FALSE,"SupportDetail"}</definedName>
    <definedName name="wrn.M3H270.">{"M3H.270",#N/A,FALSE,"SupportDetail"}</definedName>
    <definedName name="wrn.M3H280.">{"M3H.280",#N/A,FALSE,"SupportDetail"}</definedName>
    <definedName name="wrn.M3H290.">{"M3H.290",#N/A,FALSE,"SupportDetail"}</definedName>
    <definedName name="wrn.M3H300.">{"M3H.300",#N/A,FALSE,"SupportDetail"}</definedName>
    <definedName name="wrn.M3H310.">{"M3H.310",#N/A,FALSE,"SupportDetail"}</definedName>
    <definedName name="wrn.M3H320.">{"M3H.320",#N/A,FALSE,"SupportDetail"}</definedName>
    <definedName name="wrn.M3H330.">{"M3H.330",#N/A,FALSE,"SupportDetail"}</definedName>
    <definedName name="wrn.M3H340.">{"M3H.340",#N/A,FALSE,"SupportDetail"}</definedName>
    <definedName name="wrn.M3H350.">{"M3H.350",#N/A,FALSE,"SupportDetail"}</definedName>
    <definedName name="wrn.M3H360.">{"M3H.360",#N/A,FALSE,"SupportDetail"}</definedName>
    <definedName name="wrn.M3H370.">{"M3H.370",#N/A,FALSE,"SupportDetail"}</definedName>
    <definedName name="wrn.M3H380.">{"M3H.380",#N/A,FALSE,"SupportDetail"}</definedName>
    <definedName name="wrn.M3H390.">{"M3H.390",#N/A,FALSE,"SupportDetail"}</definedName>
    <definedName name="wrn.M3H400.">{"M3H.400",#N/A,FALSE,"SupportDetail"}</definedName>
    <definedName name="wrn.M3J.">{"M3J",#N/A,FALSE,"Support Sch"}</definedName>
    <definedName name="wrn.M4B.">{"M4B",#N/A,FALSE,"Support Sch"}</definedName>
    <definedName name="wrn.Main._.Report._.All._.Sections.">{"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e.">{"Assumptions",#N/A,TRUE,"Assumptions";"Income",#N/A,TRUE,"Income";"Balance",#N/A,TRUE,"Balance"}</definedName>
    <definedName name="wrn.Maine2.">{"TransactionAssump",#N/A,FALSE,"Transaction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RCH.">{"MARCH",#N/A,FALSE,"Q3"}</definedName>
    <definedName name="wrn.Master_Income.">{"Annual_Income",#N/A,FALSE,"Master Model";"Quarterly_Income",#N/A,FALSE,"Master Model"}</definedName>
    <definedName name="wrn.master.">{#N/A,#N/A,FALSE,"SUMMARY";#N/A,#N/A,FALSE,"mcsh";#N/A,#N/A,FALSE,"vol&amp;rev";#N/A,#N/A,FALSE,"wkgcap";#N/A,#N/A,FALSE,"DEPR&amp;DT";#N/A,#N/A,FALSE,"ASSETS";#N/A,#N/A,FALSE,"NI&amp;OTH&amp;DIV";#N/A,#N/A,FALSE,"CASHFLOW";#N/A,#N/A,FALSE,"CAPEMPL";#N/A,#N/A,FALSE,"ROCE"}</definedName>
    <definedName name="wrn.MAY.">{"MAY",#N/A,FALSE,"Q4"}</definedName>
    <definedName name="wrn.merge.">{#N/A,#N/A,FALSE,"IPO";#N/A,#N/A,FALSE,"DCF";#N/A,#N/A,FALSE,"LBO";#N/A,#N/A,FALSE,"MULT_VAL";#N/A,#N/A,FALSE,"Status Quo";#N/A,#N/A,FALSE,"Recap"}</definedName>
    <definedName name="wrn.MIE._.Summary.">{#N/A,#N/A,FALSE,"MIE Total";#N/A,#N/A,FALSE,"Japan";#N/A,#N/A,FALSE,"North America";#N/A,#N/A,FALSE,"Asia";#N/A,#N/A,FALSE,"Europe"}</definedName>
    <definedName name="wrn.MOBA._.Results.">{"Summary",#N/A,TRUE,"SUMMARY";"Market View",#N/A,TRUE,"MARKET";"Statistical Summary",#N/A,TRUE,"statistics";"Financial Ratios",#N/A,TRUE,"Ratios";"MacroMicro Assumptions",#N/A,TRUE,"MacroMicro";"Tariffs",#N/A,TRUE,"TARIFFS";"Net Present Valuation",#N/A,TRUE,"NPV";"Profit and Loss",#N/A,TRUE,"P&amp;L";"Balance Sheet",#N/A,TRUE,"BALANCE";"FCF",#N/A,TRUE,"FCF";"Flow of Funds",#N/A,TRUE,"Flow of Funds";"Finance",#N/A,TRUE,"Finance";"Valuation",#N/A,TRUE,"Value"}</definedName>
    <definedName name="wrn.model.">{"page1",#N/A,FALSE,"GIRLBO";"page2",#N/A,FALSE,"GIRLBO";"page3",#N/A,FALSE,"GIRLBO";"page4",#N/A,FALSE,"GIRLBO";"page5",#N/A,FALSE,"GIRLBO"}</definedName>
    <definedName name="wrn.Model._.Output.">{#N/A,#N/A,FALSE,"Purchase_50_Stock";#N/A,#N/A,FALSE,"Purchase_All_Stock";"Summary",#N/A,FALSE,"PF";"Income Statement",#N/A,FALSE,"PF";"Earnings",#N/A,FALSE,"PF";"Balance Sheet",#N/A,FALSE,"PF"}</definedName>
    <definedName name="wrn.Monthly._.reports.">{"P_Linformation",#N/A,FALSE,"Manuf_summ";#N/A,#N/A,FALSE,"Detail";#N/A,#N/A,FALSE,"Reconciliation"}</definedName>
    <definedName name="wrn.MOTOROLA._.TO220.">{"MOTTO220",#N/A,FALSE,"TO-220 PRODUCTION"}</definedName>
    <definedName name="wrn.newest.">{#N/A,#N/A,TRUE,"TS";#N/A,#N/A,TRUE,"Combo";#N/A,#N/A,TRUE,"FAIR";#N/A,#N/A,TRUE,"RBC";#N/A,#N/A,TRUE,"xxxx"}</definedName>
    <definedName name="wrn.No.._.America._.Data.">{"Data",#N/A,FALSE,"North America";"Sales Summary",#N/A,FALSE,"North America"}</definedName>
    <definedName name="wrn.Normal.">{#N/A,#N/A,FALSE,"Market Values I";#N/A,#N/A,FALSE,"Market Values II";#N/A,#N/A,FALSE,"DT Shareholding";#N/A,#N/A,FALSE,"Purchase of Sprint1";#N/A,#N/A,FALSE,"Purchase of Sprint2";#N/A,#N/A,FALSE,"Financial Impact1";#N/A,#N/A,FALSE,"Financial Impact2";#N/A,#N/A,FALSE,"Financial Impact3";#N/A,#N/A,FALSE,"Flowback"}</definedName>
    <definedName name="wrn.NOVEMBER.">{"NOVEMBER",#N/A,FALSE,"Q2"}</definedName>
    <definedName name="wrn.OCTOBER.">{"OCTOBER",#N/A,FALSE,"Q2"}</definedName>
    <definedName name="wrn.Operating._.Models.">{#N/A,#N/A,TRUE,"Eastern Market";#N/A,#N/A,TRUE,"Western Market";#N/A,#N/A,TRUE,"Sulphur Services";#N/A,#N/A,TRUE,"Global Business";#N/A,#N/A,TRUE,"Incremental Overhead";#N/A,#N/A,TRUE,"Acquired Business"}</definedName>
    <definedName name="wrn.OTHER.">{"OTHER",#N/A,FALSE,"EXP PIE"}</definedName>
    <definedName name="wrn.Output.">{"definitions",#N/A,TRUE,"Definitions";"out1",#N/A,TRUE,"Valuation";"out2",#N/A,TRUE,"Valuation";"out3",#N/A,TRUE,"Valuation";"out4",#N/A,TRUE,"Valuation";"out",#N/A,TRUE,"Efficiency";"out1",#N/A,TRUE,"Growth,Margin,Rev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p">{"PA1",#N/A,FALSE,"BORDMW";"pa2",#N/A,FALSE,"BORDMW";"PA3",#N/A,FALSE,"BORDMW";"PA4",#N/A,FALSE,"BORDMW"}</definedName>
    <definedName name="wrn.packer._.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ge1.">{"page1",#N/A,FALSE,"comsat"}</definedName>
    <definedName name="wrn.PandL_Summary.">{#N/A,#N/A,FALSE,"Summary"}</definedName>
    <definedName name="wrn.PLX.">{"cred comp",#N/A,FALSE,"Comparable Credit Analysis";"IS",#N/A,FALSE,"IS";"Sensitivity",#N/A,FALSE,"Sensitivity";"BS",#N/A,FALSE,"BS";"Bond Summary",#N/A,FALSE,"B Summary";"AD",#N/A,FALSE,"Accretion";"NAV",#N/A,FALSE,"NAV";"SU",#N/A,FALSE,"S&amp;U";"acq. study",#N/A,FALSE,"Acq. Study";"F Charges",#N/A,FALSE,"Fixed Charges"}</definedName>
    <definedName name="wrn.PrimeCo.">{"print 1",#N/A,FALSE,"PrimeCo PCS";"print 2",#N/A,FALSE,"PrimeCo PCS";"valuation",#N/A,FALSE,"PrimeCo PCS"}</definedName>
    <definedName name="wrn.print.">{"page1",#N/A,FALSE,"PF";"page2",#N/A,FALSE,"PF";"page3",#N/A,FALSE,"PF";"page4",#N/A,FALSE,"Bal_Sht"}</definedName>
    <definedName name="wrn.print._.all.">{#N/A,#N/A,TRUE,"Introduction";#N/A,#N/A,TRUE,"DCR - TV";#N/A,#N/A,TRUE,"Summary";#N/A,#N/A,TRUE,"Valuation (5)";#N/A,#N/A,TRUE,"Valuation (2)";#N/A,#N/A,TRUE,"Valuation (3)";#N/A,#N/A,TRUE,"Valuation";#N/A,#N/A,TRUE,"Sensitivity Summary";#N/A,#N/A,TRUE,"Proforma Accounts";#N/A,#N/A,TRUE,"Traffic";#N/A,#N/A,TRUE,"Tariffs";#N/A,#N/A,TRUE,"Revenue";#N/A,#N/A,TRUE,"Costs";#N/A,#N/A,TRUE,"Financing Assumptions"}</definedName>
    <definedName name="wrn.PRINT._.ALL._.REPORTS.">{"USDFC3",#N/A,FALSE,"FC-3 ";"USDCOST",#N/A,FALSE,"FC-3 ";"LCFC3",#N/A,FALSE,"FC-3 ";"LCCOST",#N/A,FALSE,"FC-3 "}</definedName>
    <definedName name="wrn.print._.graphs.">{"cap_structure",#N/A,FALSE,"Graph-Mkt Cap";"price",#N/A,FALSE,"Graph-Price";"ebit",#N/A,FALSE,"Graph-EBITDA";"ebitda",#N/A,FALSE,"Graph-EBITDA"}</definedName>
    <definedName name="wrn.Print._.LBO._.Model.">{"toc",#N/A,TRUE,"TOC";"summary",#N/A,TRUE,"Summary";"credit",#N/A,TRUE,"Model";"income",#N/A,TRUE,"Model";"balance",#N/A,TRUE,"Model";"cash",#N/A,TRUE,"Model";"capitalization",#N/A,TRUE,"Model";"margins",#N/A,TRUE,"Model";"acq_bal",#N/A,TRUE,"Model";"dep_amort",#N/A,TRUE,"Model";"tax",#N/A,TRUE,"Model";"dep_tax",#N/A,TRUE,"TOC";#N/A,#N/A,TRUE,"Expenses";"returns",#N/A,TRUE,"Model";"return_calc",#N/A,TRUE,"Returns"}</definedName>
    <definedName name="wrn.PRINT._.LC._.CAPITAL.">{"LC",#N/A,FALSE,"FC-15 Cap Expend"}</definedName>
    <definedName name="wrn.Print._.Model.">{"Summary",#N/A,TRUE,"Model";"Returns I",#N/A,TRUE,"Model";"BS - Open",#N/A,TRUE,"Model";"Assumptions",#N/A,TRUE,"Model";"IS",#N/A,TRUE,"Model";"BS",#N/A,TRUE,"Model";"CF",#N/A,TRUE,"Model";"Debt",#N/A,TRUE,"Model";"Debt / Tax",#N/A,TRUE,"Model";"Returns II",#N/A,TRUE,"Model"}</definedName>
    <definedName name="wrn.print._.pages.">{#N/A,#N/A,FALSE,"Spain MKT";#N/A,#N/A,FALSE,"Assumptions";#N/A,#N/A,FALSE,"Adve";#N/A,#N/A,FALSE,"E-Commerce";#N/A,#N/A,FALSE,"Opex";#N/A,#N/A,FALSE,"P&amp;L";#N/A,#N/A,FALSE,"FCF &amp; DCF"}</definedName>
    <definedName name="wrn.print._.pages2.">{#N/A,#N/A,FALSE,"Spain MKT";#N/A,#N/A,FALSE,"Assumptions";#N/A,#N/A,FALSE,"Adve";#N/A,#N/A,FALSE,"E-Commerce";#N/A,#N/A,FALSE,"Opex";#N/A,#N/A,FALSE,"P&amp;L";#N/A,#N/A,FALSE,"FCF &amp; DCF"}</definedName>
    <definedName name="wrn.print._.raw._.data._.entry.">{"inputs raw data",#N/A,TRUE,"INPUT"}</definedName>
    <definedName name="wrn.print._.standalone.">{"standalone1",#N/A,FALSE,"DCFBase";"standalone2",#N/A,FALSE,"DCFBase"}</definedName>
    <definedName name="wrn.print._.summary._.sheets.">{"summary1",#N/A,TRUE,"Comps";"summary2",#N/A,TRUE,"Comps";"summary3",#N/A,TRUE,"Comps"}</definedName>
    <definedName name="wrn.PRINT._.USD._.CAPITAL.">{"USD",#N/A,FALSE,"FC-15 Cap Expend"}</definedName>
    <definedName name="wrn.Print1.">{"Title",#N/A,FALSE,"Title";"Info",#N/A,FALSE,"Title";"Contents",#N/A,FALSE,"Title";"Sec.1",#N/A,FALSE,"Title";"Output1",#N/A,FALSE,"Output";"Sec.2",#N/A,FALSE,"Title";"Graph1",#N/A,FALSE,"Output";"Graph2",#N/A,FALSE,"Output";"Sec.3",#N/A,FALSE,"Title";"Gap1",#N/A,FALSE,"Output";"Sec.4",#N/A,FALSE,"Title";"Model_all",#N/A,FALSE,"Autostrade S.p.A."}</definedName>
    <definedName name="wrn.print2.">{"page1",#N/A,FALSE,"PF";"page2",#N/A,FALSE,"PF";"page3",#N/A,FALSE,"PF";"page4",#N/A,FALSE,"Bal_Sht"}</definedName>
    <definedName name="wrn.print3.">{"page1",#N/A,FALSE,"PF";"page2",#N/A,FALSE,"PF";"page3",#N/A,FALSE,"PF";"page4",#N/A,FALSE,"Bal_Sht"}</definedName>
    <definedName name="wrn.PrintAll.">{"PA1",#N/A,FALSE,"BORDMW";"pa2",#N/A,FALSE,"BORDMW";"PA3",#N/A,FALSE,"BORDMW";"PA4",#N/A,FALSE,"BORDMW"}</definedName>
    <definedName name="wrn.printbackup.">{"back1",#N/A,FALSE,"SterlingVinters";"back2",#N/A,FALSE,"SterlingVinters";"back3",#N/A,FALSE,"SterlingVinters";"back4",#N/A,FALSE,"SterlingVinters";"back5",#N/A,FALSE,"SterlingVinters";"back6",#N/A,FALSE,"SterlingVinters";"back7",#N/A,FALSE,"SterlingVinters";"back8",#N/A,FALSE,"SterlingVinters";"back9",#N/A,FALSE,"SterlingVinters";"back10",#N/A,FALSE,"SterlingVinters";"back11",#N/A,FALSE,"SterlingVinters";"back12",#N/A,FALSE,"SterlingVinters";"back13",#N/A,FALSE,"SterlingVinters";"back14",#N/A,FALSE,"SterlingVinters";"back15",#N/A,FALSE,"SterlingVinters";"back16",#N/A,FALSE,"SterlingVinters";"back17",#N/A,FALSE,"SterlingVinters";"back18",#N/A,FALSE,"SterlingVinters";"back19",#N/A,FALSE,"SterlingVinters";"back20",#N/A,FALSE,"SterlingVinters";"back21",#N/A,FALSE,"SterlingVinters";"back22",#N/A,FALSE,"SterlingVinters"}</definedName>
    <definedName name="wrn.printmodel.">{"page1",#N/A,FALSE,"Model";"assumption1",#N/A,FALSE,"Model";"assumption2",#N/A,FALSE,"Model";"assumption3",#N/A,FALSE,"Model";"income1",#N/A,FALSE,"Model";"income2",#N/A,FALSE,"Model";"income3",#N/A,FALSE,"Model";"cashflow",#N/A,FALSE,"Model";"balance",#N/A,FALSE,"Model";"irr",#N/A,FALSE,"Model"}</definedName>
    <definedName name="wrn.Pulp.">{"Pulp Production",#N/A,FALSE,"Pulp";"Pulp Earnings",#N/A,FALSE,"Pulp"}</definedName>
    <definedName name="wrn.Pump.">{#N/A,#N/A,FALSE,"Assump";#N/A,#N/A,FALSE,"Income";#N/A,#N/A,FALSE,"Balance";#N/A,#N/A,FALSE,"DCF Pump";#N/A,#N/A,FALSE,"Trans Assump";#N/A,#N/A,FALSE,"Combined Income";#N/A,#N/A,FALSE,"Combined Balance"}</definedName>
    <definedName name="wrn.Q1._.QUARTER._.TO._.DATE.">{"Q1QTD",#N/A,FALSE,"Q1"}</definedName>
    <definedName name="wrn.Q198._.Cash._.Flow._.Package.">#REF!</definedName>
    <definedName name="wrn.Q2._.QUARTER._.TO._.DATE.">{"QUARTER TO DATE",#N/A,FALSE,"Q2"}</definedName>
    <definedName name="wrn.Q3._.QUARTER._.TO._.DATE.">{"QUARTER TO DATE",#N/A,FALSE,"Q3"}</definedName>
    <definedName name="wrn.Q4._.QUARTER._.TO._.DATE.">{"QUARTER TO DATE",#N/A,FALSE,"Q4"}</definedName>
    <definedName name="wrn.Qrtly._.Grp._.Consol.">{"QTRLYGrpConsol",#N/A,FALSE,"Grp Consol"}</definedName>
    <definedName name="wrn.Qrtly._.International.">{"QTRLYInternational",#N/A,FALSE,"International"}</definedName>
    <definedName name="wrn.QTR._.1._.LOOK.">{"WSQ1",#N/A,FALSE,"WRK P&amp;L -Qtr";"Q1ECG",#N/A,FALSE,"ECG P&amp;L -Qtr";"SRVQ1",#N/A,FALSE,"Server P&amp;L -Qtr";"Q1OPT",#N/A,FALSE,"Server Options P&amp;L -Qtr";"SOPSQ1",#N/A,FALSE,"SOPs P&amp;L -Qtr"}</definedName>
    <definedName name="wrn.Qtrly._.Corporate.">{"QTRLYCorporate",#N/A,FALSE,"Corporate"}</definedName>
    <definedName name="wrn.Qtrly._.Funding.">{"QTRLYFunding",#N/A,FALSE,"Funding"}</definedName>
    <definedName name="wrn.Qtrly._.Grp._.Adjustments.">{"QTRLYGrpAdj",#N/A,FALSE,"Grp Adj"}</definedName>
    <definedName name="wrn.Qtrly._.HTUK.">{"QTRLYHTUK",#N/A,FALSE,"HTUK"}</definedName>
    <definedName name="wrn.Qtrly._.OIDL.">{"QTRLYOIDL",#N/A,FALSE,"OIDL"}</definedName>
    <definedName name="wrn.Qtrly._.Trust.">{"QTRLYTrust",#N/A,FALSE,"Trust"}</definedName>
    <definedName name="wrn.RELEVANTSHEETS.">{#N/A,#N/A,FALSE,"AD_Purch";#N/A,#N/A,FALSE,"Projections";#N/A,#N/A,FALSE,"DCF";#N/A,#N/A,FALSE,"Mkt Val"}</definedName>
    <definedName name="wrn.rep_page.">{"Annual_Income",#N/A,FALSE,"Report Page";"Balance_Cash_Flow",#N/A,FALSE,"Report Page";"Quarterly_Income",#N/A,FALSE,"Report Page"}</definedName>
    <definedName name="wrn.Report_Page.">{"Annual_Income",#N/A,FALSE,"Report Page";"Balance_Cash_Flow",#N/A,FALSE,"Report Page";"Quarterly_Income",#N/A,FALSE,"Report Page"}</definedName>
    <definedName name="wrn.Report1.">{"Title",#N/A,TRUE,"Title";"Content",#N/A,TRUE,"Title";"Section1",#N/A,TRUE,"Title";"Output1",#N/A,TRUE,"Output";"Section2",#N/A,TRUE,"Title";"Graph1",#N/A,TRUE,"Output";"Section3",#N/A,TRUE,"Title";"Graph2",#N/A,TRUE,"Output";"Section4",#N/A,TRUE,"Title";"Gap1",#N/A,TRUE,"Output";"Section5",#N/A,TRUE,"Title";"Model_all",#N/A,TRUE,"Autostrade S.p.A."}</definedName>
    <definedName name="wrn.REPORTING._.PACKAGE.">{#N/A,#N/A,TRUE,"Cover";#N/A,#N/A,TRUE,"BS";#N/A,#N/A,TRUE,"BS (2)";#N/A,#N/A,TRUE,"BS (3)";#N/A,#N/A,TRUE,"Supp Info-BS";#N/A,#N/A,TRUE,"IS";#N/A,#N/A,TRUE,"IS (2)";#N/A,#N/A,TRUE,"IS (3)";#N/A,#N/A,TRUE,"Supp Info-IS";#N/A,#N/A,TRUE,"CF";#N/A,#N/A,TRUE,"Supp Info-CF";#N/A,#N/A,TRUE,"SH";#N/A,#N/A,TRUE,"Supp Info-SH"}</definedName>
    <definedName name="wrn.Restricted._.Rpts.">{"RptRY",#N/A,FALSE,"CDGy";"RptRQ",#N/A,FALSE,"CDGq";"RptRM",#N/A,FALSE,"CDGm"}</definedName>
    <definedName name="wrn.SALARY._.CALC._.REPORTS.">{"SALDIR",#N/A,FALSE,"WAFER FAB 1 EXPENSE";"SALMGMT",#N/A,FALSE,"WAFER FAB 1 EXPENSE";"SALENGINEERING",#N/A,FALSE,"WAFER FAB 1 EXPENSE";"SALEQUIPSUPPORT",#N/A,FALSE,"WAFER FAB 1 EXPENSE";"SALFABMAT",#N/A,FALSE,"WAFER FAB 1 EXPENSE"}</definedName>
    <definedName name="wrn.SAW._.AND._.SUPPORT.">{"SAW",#N/A,FALSE,"ASSEMBLY EXPENSE"}</definedName>
    <definedName name="wrn.sens.">{"sens1\",#N/A,FALSE,"PF";"sens2",#N/A,FALSE,"PF";"sens3",#N/A,FALSE,"PF";"sens4",#N/A,FALSE,"PF"}</definedName>
    <definedName name="wrn.sens3.">{"sens1\",#N/A,FALSE,"PF";"sens2",#N/A,FALSE,"PF";"sens3",#N/A,FALSE,"PF";"sens4",#N/A,FALSE,"PF"}</definedName>
    <definedName name="wrn.SEPTEMBER.">{"Q1SEP",#N/A,FALSE,"Q1"}</definedName>
    <definedName name="wrn.SKSCS1.">{#N/A,#N/A,FALSE,"Antony Financials";#N/A,#N/A,FALSE,"Cowboy Financials";#N/A,#N/A,FALSE,"Combined";#N/A,#N/A,FALSE,"Valuematrix";#N/A,#N/A,FALSE,"DCFAntony";#N/A,#N/A,FALSE,"DCFCowboy";#N/A,#N/A,FALSE,"DCFCombined"}</definedName>
    <definedName name="wrn.small.">{#N/A,#N/A,FALSE,"Cover";#N/A,#N/A,FALSE,"Contents-Pg1";#N/A,#N/A,FALSE,"High-Com-pg2";#N/A,#N/A,FALSE,"1 Full";#N/A,#N/A,FALSE,"1chts";#N/A,#N/A,FALSE,"Table 2";#N/A,#N/A,FALSE,"3New Iss";#N/A,#N/A,FALSE,"4Money raised";#N/A,#N/A,FALSE,"5Aim";#N/A,#N/A,FALSE,"AiM charts";#N/A,#N/A,FALSE,"6FT Smll";#N/A,#N/A,FALSE,"11SEATS";#N/A,#N/A,FALSE,"12Notes"}</definedName>
    <definedName name="wrn.SMC.">{#N/A,#N/A,TRUE,"Main assumptions";#N/A,#N/A,TRUE,"Subscriber projections";#N/A,#N/A,TRUE,"Revenues";#N/A,#N/A,TRUE,"Opex";#N/A,#N/A,TRUE,"Capex";#N/A,#N/A,TRUE,"Working capital";#N/A,#N/A,TRUE,"P&amp;L";#N/A,#N/A,TRUE,"Cash";#N/A,#N/A,TRUE,"Balance";#N/A,#N/A,TRUE,"Valuation";#N/A,#N/A,TRUE,"Bench"}</definedName>
    <definedName name="wrn.soho._.1.">{#N/A,#N/A,FALSE,"soho 2-25"}</definedName>
    <definedName name="wrn.soho._.2.">{#N/A,#N/A,FALSE,"soho personal"}</definedName>
    <definedName name="wrn.Staffing1">{#N/A,#N/A,FALSE,"Assessment";#N/A,#N/A,FALSE,"Staffing";#N/A,#N/A,FALSE,"Hires";#N/A,#N/A,FALSE,"Assumptions"}</definedName>
    <definedName name="wrn.summary_comsat.">{"summary",#N/A,FALSE,"comsat"}</definedName>
    <definedName name="wrn.Summary.">{"Print Summary",#N/A,FALSE,"Bal_Graphs";"Print Summary",#N/A,FALSE,"DCF";"Print Summary",#N/A,FALSE,"Graphs";"Print Summary",#N/A,FALSE,"Summary"}</definedName>
    <definedName name="wrn.SUMMARY._.ASSEM._.EXP.">{"TOTALASSEMBLYEXPENSE",#N/A,FALSE,"MANUFACTURING EXPENSE SUMMARY"}</definedName>
    <definedName name="wrn.SUMMARY._.FAB._.I._.EXP.">{"TOTALWAFERFABEXPENSE",#N/A,FALSE,"MANUFACTURING EXPENSE SUMMARY"}</definedName>
    <definedName name="wrn.SUMMARY._.FAB._.II._.EXP.">{"TOTALWAFERFAB2EXPENSE",#N/A,FALSE,"MANUFACTURING EXPENSE SUMMARY"}</definedName>
    <definedName name="wrn.SUMMARY._.FACIL._.EXP.">{"TOTALFACILITIESEXPENSE",#N/A,FALSE,"MANUFACTURING EXPENSE SUMMARY"}</definedName>
    <definedName name="wrn.SUMMARY._.MATLS._.EXP.">{"TOTALMATERIALSEXPENSE",#N/A,FALSE,"MANUFACTURING EXPENSE SUMMARY"}</definedName>
    <definedName name="wrn.summary._.print.">{#N/A,#N/A,TRUE,"title page";#N/A,#N/A,TRUE,"Profit and loss";#N/A,#N/A,TRUE,"Balance sheet";#N/A,#N/A,TRUE,"Cashflow";#N/A,#N/A,TRUE,"Key Metrics"}</definedName>
    <definedName name="wrn.SUMMARY._.QR._.EXP.">{"TOTALQAEXPENSE",#N/A,FALSE,"MANUFACTURING EXPENSE SUMMARY"}</definedName>
    <definedName name="wrn.SUMMARY._.SUBCNTRT._.EXP.">{"TOTALSUBEXPNESE",#N/A,FALSE,"MANUFACTURING EXPENSE SUMMARY"}</definedName>
    <definedName name="wrn.summary.2.print">{#N/A,#N/A,TRUE,"title page";#N/A,#N/A,TRUE,"Profit and loss";#N/A,#N/A,TRUE,"Balance sheet";#N/A,#N/A,TRUE,"Cashflow";#N/A,#N/A,TRUE,"Key Metrics"}</definedName>
    <definedName name="wrn.SummaryPgs.">{#N/A,#N/A,FALSE,"CreditStat";#N/A,#N/A,FALSE,"SPbrkup";#N/A,#N/A,FALSE,"MerSPsyn";#N/A,#N/A,FALSE,"MerSPwKCsyn";#N/A,#N/A,FALSE,"MerSPwKCsyn (2)";#N/A,#N/A,FALSE,"CreditStat (2)"}</definedName>
    <definedName name="wrn.SWITCH.">{"SWITCH",#N/A,FALSE,"REVENUE AND GM "}</definedName>
    <definedName name="wrn.Tariff._.Analysis.">{"Tarifica91",#N/A,FALSE,"Tariffs";"Tarifica92",#N/A,FALSE,"Tariffs";"Tarifica93",#N/A,FALSE,"Tariffs";"Tarifica94",#N/A,FALSE,"Tariffs";"Tarifica95",#N/A,FALSE,"Tariffs";"Tarifica96",#N/A,FALSE,"Tariffs"}</definedName>
    <definedName name="wrn.Tariff._.Comaprison.">{"Tariff Comparison",#N/A,FALSE,"Benchmarking";"Tariff Comparison 2",#N/A,FALSE,"Benchmarking";"Tariff Comparison 3",#N/A,FALSE,"Benchmarking"}</definedName>
    <definedName name="wrn.Taxes.">{"Def Tax Long",#N/A,TRUE,"Financials";"Def Tax Short",#N/A,TRUE,"Financials";"Cons Tax Sched",#N/A,TRUE,"Financials"}</definedName>
    <definedName name="wrn.test.">{"test2",#N/A,TRUE,"Prices"}</definedName>
    <definedName name="wrn.TOOL.">{#N/A,#N/A,TRUE,"Consolidated";#N/A,#N/A,TRUE,"Offering";#N/A,#N/A,TRUE,"WAE";#N/A,#N/A,TRUE,"Combined";#N/A,#N/A,TRUE,"PE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tal.">{#N/A,#N/A,FALSE,"Trans-Sum";#N/A,#N/A,FALSE,"Accr-Dilu2";#N/A,#N/A,FALSE,"Contribution";#N/A,#N/A,FALSE,"Combined";#N/A,#N/A,FALSE,"ASTF";#N/A,#N/A,FALSE,"BRA";#N/A,#N/A,FALSE,"Bra_C";#N/A,#N/A,FALSE,"AcqMults";#N/A,#N/A,FALSE,"CompMults";#N/A,#N/A,FALSE,"DCF";#N/A,#N/A,FALSE,"WACC";#N/A,#N/A,FALSE,"LBO";#N/A,#N/A,FALSE,"Summary";#N/A,#N/A,FALSE,"StructSum"}</definedName>
    <definedName name="wrn.Total._.employees.">{"Marketing",#N/A,FALSE,"O_personnel";"Sales",#N/A,FALSE,"O_personnel";"Finance",#N/A,FALSE,"O_personnel";"Hr",#N/A,FALSE,"O_personnel";"Act",#N/A,FALSE,"O_personnel";"IT",#N/A,FALSE,"O_personnel";"CSR",#N/A,FALSE,"O_personnel";"Logistic",#N/A,FALSE,"O_personnel";"Engineering",#N/A,FALSE,"O_personnel";"New business",#N/A,FALSE,"O_personnel";"wage_cost",#N/A,FALSE,"O_sallery"}</definedName>
    <definedName name="wrn.TOTAL._.FAB._.2._.EXPENSE.">{"TOTALFAB",#N/A,FALSE,"WAFER FAB 2 EXPENSE"}</definedName>
    <definedName name="wrn.Total._.Pack.">{#N/A,#N/A,TRUE,"Assumptions";#N/A,#N/A,TRUE,"Financial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wrn.TransPrcd_123.">{#N/A,#N/A,TRUE,"TransPrcd 1";#N/A,#N/A,TRUE,"TransPrcd 2";#N/A,#N/A,TRUE,"TransPrcd 3"}</definedName>
    <definedName name="wrn.Tweety.">{#N/A,#N/A,FALSE,"A&amp;E";#N/A,#N/A,FALSE,"HighTop";#N/A,#N/A,FALSE,"JG";#N/A,#N/A,FALSE,"RI";#N/A,#N/A,FALSE,"woHT";#N/A,#N/A,FALSE,"woHT&amp;JG"}</definedName>
    <definedName name="wrn.UK._.GAAP._.BS.">{"UKGAAP balance sheet",#N/A,FALSE,"Balance Sheet"}</definedName>
    <definedName name="wrn.Umsatz.">{#N/A,#N/A,FALSE,"Umsatz";#N/A,#N/A,FALSE,"Base V.02";#N/A,#N/A,FALSE,"Charts"}</definedName>
    <definedName name="wrn.upstairs.">{"histincome",#N/A,FALSE,"hyfins";"closing balance",#N/A,FALSE,"hyfins"}</definedName>
    <definedName name="wrn.USD._.COST.">{"USDCOST",#N/A,FALSE,"FC-3 "}</definedName>
    <definedName name="wrn.USD._.FC3.">{"USDFC3",#N/A,FALSE,"FC-3 "}</definedName>
    <definedName name="wrn.USW.">{"IS",#N/A,FALSE,"IS";"RPTIS",#N/A,FALSE,"RPTIS";"STATS",#N/A,FALSE,"STATS";"BS",#N/A,FALSE,"BS"}</definedName>
    <definedName name="wrn.valor.">{#N/A,#N/A,FALSE,"CA_DR";#N/A,#N/A,FALSE,"CA_Balanço";#N/A,#N/A,FALSE,"CA_Mapa FM";#N/A,#N/A,FALSE,"CA_Valor"}</definedName>
    <definedName name="wrn.valuation.">{#N/A,#N/A,FALSE,"Valuation";#N/A,#N/A,FALSE,"Valuation (5)";#N/A,#N/A,FALSE,"Valuation (2)";#N/A,#N/A,FALSE,"Valuation (3)"}</definedName>
    <definedName name="wrn.wicor.">{#N/A,#N/A,FALSE,"FACTSHEETS";#N/A,#N/A,FALSE,"pump";#N/A,#N/A,FALSE,"filter"}</definedName>
    <definedName name="wrn.WW._.PROFIT._.AND._.LOSS.">{#N/A,#N/A,FALSE,"notes";#N/A,#N/A,FALSE,"Perform";#N/A,#N/A,FALSE,"Graphs";#N/A,#N/A,FALSE,"FAMILIES GRAPHS";#N/A,#N/A,FALSE,"WWP&amp;Lsum";#N/A,#N/A,FALSE,"WWP&amp;Lfam";#N/A,#N/A,FALSE,"SALCOMP"}</definedName>
    <definedName name="wrn.YEAR._.TO._.DATE.">{"YEAR TO DATE",#N/A,FALSE,"YTD"}</definedName>
    <definedName name="wrn1.history">{#N/A,#N/A,FALSE,"model"}</definedName>
    <definedName name="wrn3.histroic">{#N/A,#N/A,FALSE,"model"}</definedName>
    <definedName name="wt">{"print 1",#N/A,FALSE,"PrimeCo PCS";"print 2",#N/A,FALSE,"PrimeCo PCS";"valuation",#N/A,FALSE,"PrimeCo PCS"}</definedName>
    <definedName name="wtf">#REF!</definedName>
    <definedName name="wtvr">{#N/A,#N/A,TRUE,"Hist &amp; Proj BS 98-02";#N/A,#N/A,TRUE,"Hist &amp; Proj IS 98-02";#N/A,#N/A,TRUE,"Hist &amp; Proj Oper Exp 98-02";#N/A,#N/A,TRUE,"Hist &amp; Proj CF 99-02";#N/A,#N/A,TRUE,"Mnthly Cash 99";#N/A,#N/A,TRUE,"Mnthly Cash 00";#N/A,#N/A,TRUE,"Mnthly Cash 01";#N/A,#N/A,TRUE,"Mnthly Cash 02";#N/A,#N/A,TRUE,"Mnthly IS 99";#N/A,#N/A,TRUE,"Mnthly IS 00";#N/A,#N/A,TRUE,"Mnthly IS 01";#N/A,#N/A,TRUE,"Mnthly IS 02"}</definedName>
    <definedName name="wvu.Analysis1H95.">{TRUE,TRUE,-1.25,-15.5,484.5,276.75,FALSE,TRUE,TRUE,TRUE,0,112,#N/A,156,#N/A,14.21875,18.2941176470588,1,FALSE,FALSE,3,TRUE,1,FALSE,100,"Swvu.Analysis1H95.","ACwvu.Analysis1H95.",#N/A,FALSE,FALSE,0.5,0,0,0,2,"","",TRUE,TRUE,FALSE,FALSE,1,#N/A,1,1,"=R130C94:R170C123",FALSE,"Rwvu.Analysis1H95.",#N/A,FALSE,FALSE,FALSE,1,65532,65532,FALSE,FALSE,TRUE,TRUE,TRUE}</definedName>
    <definedName name="wvu.Analysis1Q95.">{TRUE,TRUE,-1.25,-15.5,484.5,276.75,FALSE,TRUE,TRUE,TRUE,0,111,#N/A,58,#N/A,14.21875,18.8888888888889,1,FALSE,FALSE,3,TRUE,1,FALSE,100,"Swvu.Analysis1Q95.","ACwvu.Analysis1Q95.",#N/A,FALSE,FALSE,0.5,0,0,0,2,"","",TRUE,TRUE,FALSE,FALSE,1,#N/A,1,1,"=R130C94:R170C123",FALSE,"Rwvu.Analysis1Q95.",#N/A,FALSE,FALSE,FALSE,1,65532,65532,FALSE,FALSE,TRUE,TRUE,TRUE}</definedName>
    <definedName name="wvu.Analysis2Q95.">{TRUE,TRUE,-1.25,-15.5,484.5,276.75,FALSE,TRUE,TRUE,TRUE,0,111,#N/A,120,#N/A,14.21875,17.9411764705882,1,FALSE,FALSE,3,TRUE,1,FALSE,100,"Swvu.Analysis2Q95.","ACwvu.Analysis2Q95.",#N/A,FALSE,FALSE,0.5,0,0,0,2,"","",TRUE,TRUE,FALSE,FALSE,1,#N/A,1,1,"=R130C94:R170C123",FALSE,"Rwvu.Analysis2Q95.",#N/A,FALSE,FALSE,FALSE,1,65532,65532,FALSE,FALSE,TRUE,TRUE,TRUE}</definedName>
    <definedName name="wvu.BS.">{TRUE,FALSE,-2.6,-18.8,621.6,367.2,FALSE,FALSE,TRUE,TRUE,0,1,61,1,6,1,5,4,TRUE,TRUE,3,TRUE,1,TRUE,100,"Swvu.BS.","ACwvu.BS.",#N/A,FALSE,FALSE,0.5,0.5,0.5,0.5,2,"","",FALSE,FALSE,FALSE,FALSE,1,#N/A,1,1,"=R1C1:R27C73",FALSE,FALSE,FALSE,FALSE,FALSE,FALSE,1,#N/A,#N/A,FALSE,FALSE,TRUE,TRUE,TRUE}</definedName>
    <definedName name="wvu.Credit._.Active.">{TRUE,TRUE,-1.25,-15.5,484.5,276.75,FALSE,TRUE,TRUE,TRUE,0,1,#N/A,1,#N/A,6.91071428571429,18.2941176470588,1,FALSE,FALSE,3,TRUE,1,FALSE,100,"Swvu.Credit._.Active.","ACwvu.Credit._.Active.",#N/A,FALSE,FALSE,0.25,0.25,0.5,0.5,2,"","&amp;L&amp;F&amp;C&amp;A&amp;R&amp;D&amp;T",TRUE,FALSE,FALSE,FALSE,1,#N/A,1,8,"=R8C1:R142C23","=R1:R7",#N/A,"Cwvu.Credit._.Active.",FALSE,FALSE,FALSE,1,65534,65534,FALSE,FALSE,TRUE,TRUE,TRUE}</definedName>
    <definedName name="wvu.Credit._.Active1.">{TRUE,TRUE,-1.25,-15.5,484.5,276.75,FALSE,TRUE,TRUE,TRUE,0,1,#N/A,1,#N/A,6.91071428571429,18.2941176470588,1,FALSE,FALSE,3,TRUE,1,FALSE,100,"Swvu.Credit._.Active.","ACwvu.Credit._.Active.",#N/A,FALSE,FALSE,0.25,0.25,0.5,0.5,2,"","&amp;L&amp;F&amp;C&amp;A&amp;R&amp;D&amp;T",TRUE,FALSE,FALSE,FALSE,1,#N/A,1,8,"=R8C1:R142C23","=R1:R7",#N/A,"Cwvu.Credit._.Active.",FALSE,FALSE,FALSE,1,65534,65534,FALSE,FALSE,TRUE,TRUE,TRUE}</definedName>
    <definedName name="wvu.Credit._.Additions.">{TRUE,TRUE,-1.25,-15.5,484.5,276.75,FALSE,TRUE,TRUE,TRUE,0,1,#N/A,140,#N/A,6.91071428571429,18.1764705882353,1,FALSE,FALSE,3,TRUE,1,FALSE,100,"Swvu.Credit._.Additions.","ACwvu.Credit._.Additions.",#N/A,FALSE,FALSE,0.25,0.25,0.5,0.5,2,"","&amp;L&amp;F&amp;C&amp;A&amp;R&amp;D&amp;T",TRUE,FALSE,FALSE,FALSE,1,#N/A,1,8,"=R155C1:R270C23","=R146:R154",#N/A,"Cwvu.Credit._.Additions.",FALSE,FALSE,FALSE,1,65534,65534,FALSE,FALSE,TRUE,TRUE,TRUE}</definedName>
    <definedName name="wvu.Credit._.Additions1.">{TRUE,TRUE,-1.25,-15.5,484.5,276.75,FALSE,TRUE,TRUE,TRUE,0,1,#N/A,140,#N/A,6.91071428571429,18.1764705882353,1,FALSE,FALSE,3,TRUE,1,FALSE,100,"Swvu.Credit._.Additions.","ACwvu.Credit._.Additions.",#N/A,FALSE,FALSE,0.25,0.25,0.5,0.5,2,"","&amp;L&amp;F&amp;C&amp;A&amp;R&amp;D&amp;T",TRUE,FALSE,FALSE,FALSE,1,#N/A,1,8,"=R155C1:R270C23","=R146:R154",#N/A,"Cwvu.Credit._.Additions.",FALSE,FALSE,FALSE,1,65534,65534,FALSE,FALSE,TRUE,TRUE,TRUE}</definedName>
    <definedName name="wvu.inputs._.raw._.data.">{TRUE,TRUE,-1.25,-15.5,604.5,369,FALSE,FALSE,TRUE,TRUE,0,1,83,1,38,4,5,4,TRUE,TRUE,3,TRUE,1,TRUE,75,"Swvu.inputs._.raw._.data.","ACwvu.inputs._.raw._.data.",#N/A,FALSE,FALSE,0.5,0.5,0.5,0.5,2,"&amp;F","&amp;A&amp;RPage &amp;P",FALSE,FALSE,FALSE,FALSE,1,60,#N/A,#N/A,"=R1C61:R53C89","=C1:C5",#N/A,#N/A,FALSE,FALSE,FALSE,1,600,600,FALSE,FALSE,TRUE,TRUE,TRUE}</definedName>
    <definedName name="wvu.Margin._.Summary.">{TRUE,TRUE,-1.25,-15.5,484.5,276.75,FALSE,TRUE,TRUE,TRUE,0,91,#N/A,33,#N/A,11.575,18.8823529411765,1,FALSE,FALSE,3,TRUE,1,FALSE,100,"Swvu.Margin._.Summary.","ACwvu.Margin._.Summary.",#N/A,FALSE,FALSE,0.5,0,0,0,2,"","",TRUE,TRUE,FALSE,FALSE,1,#N/A,1,1,"=R130C94:R170C123",FALSE,"Rwvu.Margin._.Summary.",#N/A,FALSE,FALSE,FALSE,1,65532,65532,FALSE,FALSE,TRUE,TRUE,TRUE}</definedName>
    <definedName name="wvu.summary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w">{TRUE,TRUE,-1.25,-15.5,484.5,276.75,FALSE,TRUE,TRUE,TRUE,0,1,#N/A,1,#N/A,6.91071428571429,18.2941176470588,1,FALSE,FALSE,3,TRUE,1,FALSE,100,"Swvu.Credit._.Active.","ACwvu.Credit._.Active.",#N/A,FALSE,FALSE,0.25,0.25,0.5,0.5,2,"","&amp;L&amp;F&amp;C&amp;A&amp;R&amp;D&amp;T",TRUE,FALSE,FALSE,FALSE,1,#N/A,1,8,"=R8C1:R142C23","=R1:R7",#N/A,"Cwvu.Credit._.Active.",FALSE,FALSE,FALSE,1,65534,65534,FALSE,FALSE,TRUE,TRUE,TRUE}</definedName>
    <definedName name="X">{"page1",#N/A,FALSE,"comsat";"page2",#N/A,FALSE,"comsat";"summary",#N/A,FALSE,"comsat"}</definedName>
    <definedName name="xde">{"FY97Total",#N/A,FALSE,"FY97 - Total";"FY98Total",#N/A,FALSE,"FY98 - Total"}</definedName>
    <definedName name="xssq">{"FY97Q1 nvs",#N/A,FALSE,"FY97 - Q1";"FY97Q2 nvs",#N/A,FALSE,"FY97 - Q2";"FY97Q3 nvs",#N/A,FALSE,"FY97 - Q3";"FY97Q4 nvs",#N/A,FALSE,"FY97 - Q4"}</definedName>
    <definedName name="XX">{#N/A,#N/A,TRUE,"Main assumptions";#N/A,#N/A,TRUE,"Subscriber projections";#N/A,#N/A,TRUE,"Revenues";#N/A,#N/A,TRUE,"Opex";#N/A,#N/A,TRUE,"Capex";#N/A,#N/A,TRUE,"Working capital";#N/A,#N/A,TRUE,"P&amp;L";#N/A,#N/A,TRUE,"Cash";#N/A,#N/A,TRUE,"Balance";#N/A,#N/A,TRUE,"Valuation";#N/A,#N/A,TRUE,"Bench"}</definedName>
    <definedName name="XXX">{"LCCOST",#N/A,FALSE,"FC-3 "}</definedName>
    <definedName name="XXXX">{"PA1",#N/A,FALSE,"BORDMW";"pa2",#N/A,FALSE,"BORDMW";"PA3",#N/A,FALSE,"BORDMW";"PA4",#N/A,FALSE,"BORDMW"}</definedName>
    <definedName name="XXXXXXX">{#N/A,#N/A,TRUE,"Main assumptions";#N/A,#N/A,TRUE,"Subscriber projections";#N/A,#N/A,TRUE,"Revenues";#N/A,#N/A,TRUE,"Opex";#N/A,#N/A,TRUE,"Capex";#N/A,#N/A,TRUE,"Working capital";#N/A,#N/A,TRUE,"P&amp;L";#N/A,#N/A,TRUE,"Cash";#N/A,#N/A,TRUE,"Balance";#N/A,#N/A,TRUE,"Valuation";#N/A,#N/A,TRUE,"Bench"}</definedName>
    <definedName name="xxxxxxxxx">#REF!</definedName>
    <definedName name="xyz">{"histincome",#N/A,FALSE,"hyfins";"closing balance",#N/A,FALSE,"hyfins"}</definedName>
    <definedName name="y">{"page1",#N/A,FALSE,"CWS";"page2",#N/A,FALSE,"CWS";"summary",#N/A,FALSE,"CWS"}</definedName>
    <definedName name="YEARHIGH">"YEARHIGH"</definedName>
    <definedName name="YEARLOW">"YEARLOW"</definedName>
    <definedName name="yre">{"FY97Q1 nvs",#N/A,FALSE,"FY97 - Q1";"FY97Q2 nvs",#N/A,FALSE,"FY97 - Q2";"FY97Q3 nvs",#N/A,FALSE,"FY97 - Q3";"FY97Q4 nvs",#N/A,FALSE,"FY97 - Q4"}</definedName>
    <definedName name="yt">{"FY98Q1 nvs",#N/A,FALSE,"FY98 - Q1";"FY98Q2 nvs",#N/A,FALSE,"FY98 - Q2";"FY98Q3 nvs",#N/A,FALSE,"FY98 - Q3";"FY98Q4 nvs",#N/A,FALSE,"FY98 - Q4"}</definedName>
    <definedName name="yw">{#VALUE!,#N/A,FALSE,0}</definedName>
    <definedName name="YYY">{#N/A,#N/A,FALSE,"Introduction";#N/A,#N/A,FALSE,"Structure"}</definedName>
    <definedName name="YYYY">{"WACC",#N/A,FALSE,"CWS"}</definedName>
    <definedName name="YYYYY">{"Compco",#N/A,FALSE,"CWS";"Summary",#N/A,FALSE,"CWS";"WACC",#N/A,FALSE,"CWS"}</definedName>
    <definedName name="YYYYYY">{"PA1",#N/A,FALSE,"BORDMW";"pa2",#N/A,FALSE,"BORDMW";"PA3",#N/A,FALSE,"BORDMW";"PA4",#N/A,FALSE,"BORDMW"}</definedName>
    <definedName name="Z_06AC9F35_FA76_11D3_94DD_00C04FA0B046_.wvu.PrintArea">#REF!</definedName>
    <definedName name="Z_06AF62AE_3F63_11D3_8C95_000000000000_.wvu.PrintArea">#REF!</definedName>
    <definedName name="Z_0B432A8C_F278_11D2_9169_0060B01A6EB2_.wvu.PrintArea">#REF!</definedName>
    <definedName name="Z_0B432DE3_F278_11D2_9169_0060B01A6EB2_.wvu.PrintArea">#REF!</definedName>
    <definedName name="Z_0B432F66_F278_11D2_9169_0060B01A6EB2_.wvu.PrintArea">#REF!</definedName>
    <definedName name="Z_0E86059D_B79D_11D3_94E0_00C04F602AEF_.wvu.PrintArea">#REF!</definedName>
    <definedName name="Z_0EF37FB7_DAF6_11D3_94D7_00C04FA0B046_.wvu.PrintArea">#REF!</definedName>
    <definedName name="Z_138E77AE_F8DF_11D3_94E9_00C04F612D61_.wvu.PrintArea">#REF!</definedName>
    <definedName name="Z_138E77CA_F8DF_11D3_94E9_00C04F612D61_.wvu.PrintArea">#REF!</definedName>
    <definedName name="Z_138E7870_F8DF_11D3_94E9_00C04F612D61_.wvu.PrintArea">#REF!</definedName>
    <definedName name="Z_138E7890_F8DF_11D3_94E9_00C04F612D61_.wvu.PrintArea">#REF!</definedName>
    <definedName name="Z_14CF0AE7_82DD_11D2_8012_0060B01A6EB2_.wvu.PrintArea">#REF!</definedName>
    <definedName name="Z_1ACDB192_F033_11D3_94F1_00C04F602AEF_.wvu.PrintArea">#REF!</definedName>
    <definedName name="Z_1CCDDD74_3AAE_11D3_8C8A_000000000000_.wvu.PrintArea">#REF!</definedName>
    <definedName name="Z_336250C7_C772_11D3_94E8_00C04F602AEF_.wvu.PrintArea">#REF!</definedName>
    <definedName name="Z_3374E370_4024_11D3_8C96_000000000000_.wvu.PrintArea">#REF!</definedName>
    <definedName name="Z_36C1D6DA_94EC_11D2_801D_0060B01A6EB2_.wvu.PrintArea">#REF!</definedName>
    <definedName name="Z_38F40303_FE58_11D3_94DE_00C04FA0B046_.wvu.PrintArea">#REF!</definedName>
    <definedName name="Z_390E4561_86E6_11D3_94D7_00C04F612D61_.wvu.PrintArea">#REF!</definedName>
    <definedName name="Z_3B46133C_A773_4E04_B6B4_47050AB13554_.wvu.Cols">#REF!,#REF!,#REF!</definedName>
    <definedName name="Z_3B46133C_A773_4E04_B6B4_47050AB13554_.wvu.Rows">#REF!</definedName>
    <definedName name="Z_3EE9B1F1_964A_11D3_94D2_00C04F602AEF_.wvu.PrintArea">#REF!</definedName>
    <definedName name="Z_3EE9B283_964A_11D3_94D2_00C04F602AEF_.wvu.PrintArea">#REF!</definedName>
    <definedName name="Z_3EE9B315_964A_11D3_94D2_00C04F602AEF_.wvu.PrintArea">#REF!</definedName>
    <definedName name="Z_3FA1C490_192D_11D3_802B_0060B01A6EB2_.wvu.PrintArea">#REF!</definedName>
    <definedName name="Z_3FA1C663_192D_11D3_802B_0060B01A6EB2_.wvu.PrintArea">#REF!</definedName>
    <definedName name="Z_45C4ADC6_6DE9_11D3_8CD4_006097940621_.wvu.PrintArea">#REF!</definedName>
    <definedName name="Z_4980F475_BD39_11D3_8C84_000000000000_.wvu.PrintArea">#REF!</definedName>
    <definedName name="Z_4B4009D6_E3A8_11D3_94EE_00C04F602AEF_.wvu.PrintArea">#REF!</definedName>
    <definedName name="Z_4C6401EE_68F1_11D2_800E_0060B01A6EB2_.wvu.PrintArea">#REF!</definedName>
    <definedName name="Z_526D3161_71B2_11D3_94D5_00C04F612D61_.wvu.PrintArea">#REF!</definedName>
    <definedName name="Z_55752DE4_DAF1_11D2_8029_0060B01A6EB2_.wvu.PrintArea">#REF!</definedName>
    <definedName name="Z_55752FF6_DAF1_11D2_8029_0060B01A6EB2_.wvu.PrintArea">#REF!</definedName>
    <definedName name="Z_59DC2A9C_3DF3_11D3_8C92_000000000000_.wvu.PrintArea">#REF!</definedName>
    <definedName name="Z_5C712547_8854_11D2_8012_0060B01A6EB2_.wvu.PrintArea">#REF!</definedName>
    <definedName name="Z_5F5BFFB3_BAF2_456B_BC73_9B3894AE395A_.wvu.Rows">#REF!,#REF!,#REF!,#REF!,#REF!,#REF!,#REF!,#REF!</definedName>
    <definedName name="Z_60FA13F0_C7AB_11D5_82BE_0060B0F04987_.wvu.Rows">#REF!</definedName>
    <definedName name="Z_61BCD568_73D2_11D6_9A49_00105AE12B1C_.wvu.Rows">#REF!</definedName>
    <definedName name="Z_630A7C8D_C852_11D3_94E8_00C04F602AEF_.wvu.PrintArea">#REF!</definedName>
    <definedName name="Z_658CB600_AA26_498D_A80D_487116058C40_.wvu.Rows">#REF!</definedName>
    <definedName name="Z_6F2D40DB_9E62_11D2_801D_0060B01A6EB2_.wvu.PrintArea">#REF!</definedName>
    <definedName name="Z_70D354D2_2FAA_11D3_8C7E_000000000000_.wvu.PrintArea">#REF!</definedName>
    <definedName name="Z_722C8872_BC62_11D3_94DF_00C04F612D61_.wvu.PrintArea">#REF!</definedName>
    <definedName name="Z_722C8A68_BC62_11D3_94DF_00C04F612D61_.wvu.PrintArea">#REF!</definedName>
    <definedName name="Z_722C8C5E_BC62_11D3_94DF_00C04F612D61_.wvu.PrintArea">#REF!</definedName>
    <definedName name="Z_722C8CF0_BC62_11D3_94DF_00C04F612D61_.wvu.PrintArea">#REF!</definedName>
    <definedName name="Z_722C8D93_BC62_11D3_94DF_00C04F612D61_.wvu.PrintArea">#REF!</definedName>
    <definedName name="Z_722C8E2B_BC62_11D3_94DF_00C04F612D61_.wvu.PrintArea">#REF!</definedName>
    <definedName name="Z_722C92F7_BC62_11D3_94DF_00C04F612D61_.wvu.PrintArea">#REF!</definedName>
    <definedName name="Z_781D38AD_00AD_11D3_916C_0060B01A6EB2_.wvu.PrintArea">#REF!</definedName>
    <definedName name="Z_781D3F23_00AD_11D3_916C_0060B01A6EB2_.wvu.PrintArea">#REF!</definedName>
    <definedName name="Z_795B27E2_B3C0_11D2_801F_0060B01A6EB2_.wvu.PrintArea">#REF!</definedName>
    <definedName name="Z_795B28D1_B3C0_11D2_801F_0060B01A6EB2_.wvu.PrintArea">#REF!</definedName>
    <definedName name="Z_795B2974_B3C0_11D2_801F_0060B01A6EB2_.wvu.PrintArea">#REF!</definedName>
    <definedName name="Z_795B2A17_B3C0_11D2_801F_0060B01A6EB2_.wvu.PrintArea">#REF!</definedName>
    <definedName name="Z_7B1B3191_D02E_4275_8DEC_AC1813D2E4C7_.wvu.Rows">#REF!</definedName>
    <definedName name="Z_875F1EBE_BC71_11D3_8C83_000000000000_.wvu.PrintArea">#REF!</definedName>
    <definedName name="Z_87755D72_2DD6_4DE4_B85E_16D559F8F984_.wvu.Cols">#REF!,#REF!,#REF!</definedName>
    <definedName name="Z_87755D72_2DD6_4DE4_B85E_16D559F8F984_.wvu.Rows">#REF!</definedName>
    <definedName name="Z_88CF5AE2_9425_11D2_801C_0060B01A6EB2_.wvu.PrintArea">#REF!</definedName>
    <definedName name="Z_89196099_EBAD_11D3_94DA_00C04FA0B046_.wvu.PrintArea">#REF!</definedName>
    <definedName name="Z_89481651_D00D_11D3_94E3_00C04F612D61_.wvu.PrintArea">#REF!</definedName>
    <definedName name="Z_89A6267D_7FD1_11D2_8012_0060B01A6EB2_.wvu.PrintArea">#REF!</definedName>
    <definedName name="Z_8A9C8C59_0D13_11D3_8026_0060B01A6EB2_.wvu.PrintArea">#REF!</definedName>
    <definedName name="Z_8A9C8F32_0D13_11D3_8026_0060B01A6EB2_.wvu.PrintArea">#REF!</definedName>
    <definedName name="Z_8DE117E5_DE02_11D2_8029_0060B01A6EB2_.wvu.PrintArea">#REF!</definedName>
    <definedName name="Z_9B6F4435_ABB4_11D2_801F_0060B01A6EB2_.wvu.PrintArea">#REF!</definedName>
    <definedName name="Z_9BE98507_F126_11D3_94E7_00C04F612D61_.wvu.PrintArea">#REF!</definedName>
    <definedName name="Z_A06D4791_FE5D_11D3_94EA_00C04F612D61_.wvu.PrintArea">#REF!</definedName>
    <definedName name="Z_A06D480D_FE5D_11D3_94EA_00C04F612D61_.wvu.PrintArea">#REF!</definedName>
    <definedName name="Z_A06D49B4_FE5D_11D3_94EA_00C04F612D61_.wvu.PrintArea">#REF!</definedName>
    <definedName name="Z_A06D49D0_FE5D_11D3_94EA_00C04F612D61_.wvu.PrintArea">#REF!</definedName>
    <definedName name="Z_A18F811F_B263_11D3_94DE_00C04F602AEF_.wvu.PrintArea">#REF!</definedName>
    <definedName name="Z_A18F8547_B263_11D3_94DE_00C04F602AEF_.wvu.PrintArea">#REF!</definedName>
    <definedName name="Z_A1CC2EEB_9D38_11D3_94D4_00C04F602AEF_.wvu.PrintArea">#REF!</definedName>
    <definedName name="Z_A2860F0F_949B_11D3_94D2_00C04F602AEF_.wvu.PrintArea">#REF!</definedName>
    <definedName name="Z_A2860FA1_949B_11D3_94D2_00C04F602AEF_.wvu.PrintArea">#REF!</definedName>
    <definedName name="Z_ABB84380_5919_11D2_BBB7_00104B2ACF13_.wvu.Rows">#REF!,#REF!,#REF!,#REF!</definedName>
    <definedName name="Z_AEFAD2E8_D55C_11D2_8027_0060B01A6EB2_.wvu.PrintArea">#REF!</definedName>
    <definedName name="Z_AEFAD4A3_D55C_11D2_8027_0060B01A6EB2_.wvu.PrintArea">#REF!</definedName>
    <definedName name="Z_B4680705_EDD3_11D3_94DB_00C04FA0B046_.wvu.PrintArea">#REF!</definedName>
    <definedName name="Z_B468079E_EDD3_11D3_94DB_00C04FA0B046_.wvu.PrintArea">#REF!</definedName>
    <definedName name="Z_B49E3C17_C2B6_11D3_94E0_00C04F612D61_.wvu.PrintArea">#REF!</definedName>
    <definedName name="Z_B8DFAC8E_92C4_11D3_94D1_00C04F602AEF_.wvu.PrintArea">#REF!</definedName>
    <definedName name="Z_BB3B8A5D_F8E8_11D3_94DC_00C04FA0B046_.wvu.PrintArea">#REF!</definedName>
    <definedName name="Z_C4E24F0A_F692_11D3_94DB_00C04FA0B046_.wvu.PrintArea">#REF!</definedName>
    <definedName name="Z_CA9BF89C_7273_11D3_94D6_00C04F612D61_.wvu.PrintArea">#REF!</definedName>
    <definedName name="Z_CAFB083F_9067_11D3_94D0_00C04F602AEF_.wvu.PrintArea">#REF!</definedName>
    <definedName name="Z_CAFB08CF_9067_11D3_94D0_00C04F602AEF_.wvu.PrintArea">#REF!</definedName>
    <definedName name="Z_CAFB0A43_9067_11D3_94D0_00C04F602AEF_.wvu.PrintArea">#REF!</definedName>
    <definedName name="Z_D74C6D72_E604_11D3_94E6_00C04F612D61_.wvu.PrintArea">#REF!</definedName>
    <definedName name="Z_D74C6F25_E604_11D3_94E6_00C04F612D61_.wvu.PrintArea">#REF!</definedName>
    <definedName name="Z_D74C736A_E604_11D3_94E6_00C04F612D61_.wvu.PrintArea">#REF!</definedName>
    <definedName name="Z_D74C7645_E604_11D3_94E6_00C04F612D61_.wvu.PrintArea">#REF!</definedName>
    <definedName name="Z_D74C777D_E604_11D3_94E6_00C04F612D61_.wvu.PrintArea">#REF!</definedName>
    <definedName name="Z_D74C787B_E604_11D3_94E6_00C04F612D61_.wvu.PrintArea">#REF!</definedName>
    <definedName name="Z_D74C790F_E604_11D3_94E6_00C04F612D61_.wvu.PrintArea">#REF!</definedName>
    <definedName name="Z_D74C7ACD_E604_11D3_94E6_00C04F612D61_.wvu.PrintArea">#REF!</definedName>
    <definedName name="Z_DB425CD1_773A_11D3_94D6_00C04F612D61_.wvu.PrintArea">#REF!</definedName>
    <definedName name="Z_DC9D1C40_07A5_43AB_A11B_52757B1D7BD1_.wvu.Cols">#REF!,#REF!,#REF!</definedName>
    <definedName name="Z_DD27408C_6785_11D2_800D_0060B01A6EB2_.wvu.PrintArea">#REF!</definedName>
    <definedName name="Z_E10DD71A_42CC_11D3_8C99_000000000000_.wvu.PrintArea">#REF!</definedName>
    <definedName name="Z_E3359E54_F4E5_11D3_94DB_00C04FA0B046_.wvu.PrintArea">#REF!</definedName>
    <definedName name="Z_E499C1FA_EA01_11D3_94D9_00C04FA0B046_.wvu.PrintArea">#REF!</definedName>
    <definedName name="Z_E8179140_DD91_11D3_94ED_00C04F602AEF_.wvu.PrintArea">#REF!</definedName>
    <definedName name="Z_EEDCBCAC_8399_11D2_8016_0060B01AC4B2_.wvu.PrintArea">#REF!</definedName>
    <definedName name="Z_F2884976_0A0D_11D3_916D_0060B01A6EB2_.wvu.PrintArea">#REF!</definedName>
    <definedName name="Z_FB37AAA2_E08C_11D2_8029_0060B01A6EB2_.wvu.PrintArea">#REF!</definedName>
    <definedName name="Z_FB37B214_E08C_11D2_8029_0060B01A6EB2_.wvu.PrintArea">#REF!</definedName>
    <definedName name="Z_FC0AB258_AC5F_11D3_94DB_00C04F602AEF_.wvu.PrintArea">#REF!</definedName>
    <definedName name="Z_FC0AB2EA_AC5F_11D3_94DB_00C04F602AEF_.wvu.PrintArea">#REF!</definedName>
    <definedName name="Z_FFD9B7F5_04F7_11D6_992D_00104BD16E42_.wvu.Rows">#REF!</definedName>
    <definedName name="zhj">#REF!</definedName>
    <definedName name="ZIO">{"FY98Q1 var",#N/A,FALSE,"FY98 - Q1";"FY98Q2 var",#N/A,FALSE,"FY98 - Q2";"FY98Q3 var",#N/A,FALSE,"FY98 - Q3";"FY98Q4 var",#N/A,FALSE,"FY98 - Q4"}</definedName>
    <definedName name="zrr">{"FY97Q1 var",#N/A,FALSE,"FY97 - Q1";"FY97Q2 var",#N/A,FALSE,"FY97 - Q2";"FY97Q3 var",#N/A,FALSE,"FY97 - Q3";"FY97Q4 var",#N/A,FALSE,"FY97 - Q4"}</definedName>
    <definedName name="zz">{"'גיליון1'!$W$156:$AB$173","'גיליון1'!$S$154:$AB$158"}</definedName>
    <definedName name="השקעה">{"REP1",#N/A,FALSE,"ריכוז";"REP2",#N/A,FALSE,"מפורט1";"REP3",#N/A,FALSE,"מפורט1";"REP4",#N/A,FALSE,"מפורט2";"REP5",#N/A,FALSE,"מפורט2";"REP6",#N/A,FALSE,"מפורט2"}</definedName>
    <definedName name="קרן">{"rep1",#N/A,FALSE,"ריכוז";"REP7",#N/A,FALSE,"מפורט_אזורים_ער""ז";"REP2",#N/A,FALSE,"מפורט1";"REP3",#N/A,FALSE,"מפורט1";"REP4",#N/A,FALSE,"מפורט2";"REP5",#N/A,FALSE,"מפורט2";"REP6",#N/A,FALSE,"מפורט2"}</definedName>
  </definedNames>
  <calcPr calcId="191028"/>
  <pivotCaches>
    <pivotCache cacheId="2" r:id="rId2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7" roundtripDataChecksum="YOwMvirRlr/ILzHiDr0W5VpqFmntE0fzsaBUgcFsOoQ="/>
    </ext>
  </extLst>
</workbook>
</file>

<file path=xl/calcChain.xml><?xml version="1.0" encoding="utf-8"?>
<calcChain xmlns="http://schemas.openxmlformats.org/spreadsheetml/2006/main">
  <c r="N88" i="5" l="1"/>
  <c r="J24" i="11"/>
  <c r="AN83" i="5"/>
  <c r="AO83" i="5"/>
  <c r="AP83" i="5"/>
  <c r="AQ83" i="5"/>
  <c r="AR83" i="5"/>
  <c r="AS83" i="5"/>
  <c r="AT83" i="5"/>
  <c r="AU83" i="5"/>
  <c r="AV83" i="5"/>
  <c r="AW83" i="5"/>
  <c r="AX83" i="5"/>
  <c r="AY83" i="5"/>
  <c r="AZ83" i="5"/>
  <c r="AQ22" i="5"/>
  <c r="AV75" i="5"/>
  <c r="AZ75" i="5" s="1"/>
  <c r="BE75" i="5" s="1"/>
  <c r="AS26" i="5"/>
  <c r="AZ72" i="5" l="1"/>
  <c r="BB72" i="5" s="1"/>
  <c r="BD72" i="5" s="1"/>
  <c r="BF72" i="5" s="1"/>
  <c r="BH72" i="5" s="1"/>
  <c r="BJ72" i="5" s="1"/>
  <c r="BL72" i="5" s="1"/>
  <c r="BN72" i="5" s="1"/>
  <c r="BP72" i="5" s="1"/>
  <c r="BR72" i="5" s="1"/>
  <c r="BT72" i="5" s="1"/>
  <c r="BV72" i="5" s="1"/>
  <c r="BX72" i="5" s="1"/>
  <c r="AK6" i="3"/>
  <c r="AM6" i="3" s="1"/>
  <c r="AJ6" i="3"/>
  <c r="AL6" i="3" s="1"/>
  <c r="AH6" i="3"/>
  <c r="J75" i="3" l="1"/>
  <c r="H57" i="3"/>
  <c r="F63" i="3"/>
  <c r="G35" i="3"/>
  <c r="BA83" i="5"/>
  <c r="AM83" i="5"/>
  <c r="D8" i="3"/>
  <c r="AI19" i="5"/>
  <c r="AV20" i="5"/>
  <c r="AR21" i="5"/>
  <c r="BN15" i="5"/>
  <c r="AT15" i="5"/>
  <c r="AX13" i="5"/>
  <c r="AC13" i="5"/>
  <c r="AQ40" i="5"/>
  <c r="AN40" i="5"/>
  <c r="O113" i="5" l="1"/>
  <c r="AM40" i="5"/>
  <c r="L109" i="5" l="1"/>
  <c r="AN6" i="3" l="1"/>
  <c r="AU52" i="5"/>
  <c r="AC10" i="11"/>
  <c r="AX15" i="11"/>
  <c r="AW15" i="11"/>
  <c r="AV15" i="11"/>
  <c r="AU15" i="11"/>
  <c r="AT15" i="11"/>
  <c r="AS15" i="11"/>
  <c r="AR15" i="11"/>
  <c r="AQ15" i="11"/>
  <c r="AO15" i="11"/>
  <c r="AN15" i="11"/>
  <c r="AM15" i="11"/>
  <c r="AP15" i="11"/>
  <c r="AL15" i="11"/>
  <c r="AK15" i="11"/>
  <c r="AG15" i="11"/>
  <c r="AC15" i="11"/>
  <c r="AF15" i="11"/>
  <c r="AE15" i="11"/>
  <c r="AD15" i="11"/>
  <c r="AB15" i="11"/>
  <c r="AA15" i="11"/>
  <c r="Z15" i="11"/>
  <c r="AJ15" i="11"/>
  <c r="AI15" i="11"/>
  <c r="AH15" i="11"/>
  <c r="Y15" i="11"/>
  <c r="X15" i="11"/>
  <c r="W15" i="11"/>
  <c r="V15" i="11"/>
  <c r="U15" i="11"/>
  <c r="T15" i="11"/>
  <c r="G75" i="11"/>
  <c r="D75" i="11"/>
  <c r="R39" i="11"/>
  <c r="T38" i="11"/>
  <c r="U38" i="11" s="1"/>
  <c r="V38" i="11" s="1"/>
  <c r="S39" i="11"/>
  <c r="T39" i="11" s="1"/>
  <c r="U39" i="11" s="1"/>
  <c r="AU23" i="5"/>
  <c r="AQ13" i="5"/>
  <c r="AK77" i="5"/>
  <c r="AH30" i="5"/>
  <c r="AJ56" i="5"/>
  <c r="P36" i="3"/>
  <c r="AK40" i="5" l="1"/>
  <c r="BD59" i="5"/>
  <c r="AZ59" i="5"/>
  <c r="AY59" i="5"/>
  <c r="AU59" i="5"/>
  <c r="AQ59" i="5"/>
  <c r="AM59" i="5"/>
  <c r="AV59" i="5"/>
  <c r="BA58" i="5" l="1"/>
  <c r="H33" i="11"/>
  <c r="V9" i="11"/>
  <c r="T9" i="11"/>
  <c r="R9" i="11"/>
  <c r="P9" i="11"/>
  <c r="O9" i="11"/>
  <c r="E10" i="3"/>
  <c r="AG40" i="5" l="1"/>
  <c r="AH40" i="5"/>
  <c r="E25" i="20"/>
  <c r="E20" i="20" l="1"/>
  <c r="E17" i="20"/>
  <c r="T10" i="3"/>
  <c r="AK10" i="3"/>
  <c r="U10" i="3"/>
  <c r="AI75" i="5"/>
  <c r="AD38" i="5" l="1"/>
  <c r="AG38" i="5"/>
  <c r="AJ57" i="5" l="1"/>
  <c r="V10" i="3"/>
  <c r="Q11" i="11"/>
  <c r="O11" i="11"/>
  <c r="AE23" i="5" l="1"/>
  <c r="F10" i="3"/>
  <c r="G10" i="3"/>
  <c r="H10" i="3"/>
  <c r="I10" i="3"/>
  <c r="AE40" i="5"/>
  <c r="AQ72" i="5"/>
  <c r="AV72" i="5" s="1"/>
  <c r="L110" i="5" l="1"/>
  <c r="AA36" i="3"/>
  <c r="J36" i="3"/>
  <c r="O36" i="3"/>
  <c r="N36" i="3"/>
  <c r="M36" i="3"/>
  <c r="L36" i="3"/>
  <c r="H32" i="11"/>
  <c r="I32" i="11" s="1"/>
  <c r="K32" i="11"/>
  <c r="M32" i="11"/>
  <c r="N32" i="11" s="1"/>
  <c r="E36" i="3" l="1"/>
  <c r="E52" i="3" s="1"/>
  <c r="BD13" i="5"/>
  <c r="BM13" i="5" s="1"/>
  <c r="BE13" i="5"/>
  <c r="BN13" i="5" s="1"/>
  <c r="J34" i="19" l="1"/>
  <c r="D12" i="20" l="1"/>
  <c r="BR13" i="5"/>
  <c r="L16" i="11"/>
  <c r="AA22" i="5" l="1"/>
  <c r="Z41" i="5"/>
  <c r="K36" i="3" l="1"/>
  <c r="O26" i="19"/>
  <c r="AD72" i="5" l="1"/>
  <c r="Y72" i="5"/>
  <c r="AA38" i="5"/>
  <c r="Y9" i="11" l="1"/>
  <c r="W9" i="11"/>
  <c r="X9" i="11" s="1"/>
  <c r="U9" i="11"/>
  <c r="S9" i="11"/>
  <c r="Q9" i="11"/>
  <c r="N9" i="11"/>
  <c r="L9" i="11"/>
  <c r="K9" i="11"/>
  <c r="J71" i="11"/>
  <c r="I71" i="11"/>
  <c r="H71" i="11"/>
  <c r="G71" i="11"/>
  <c r="F71" i="11"/>
  <c r="E71" i="11"/>
  <c r="D61" i="11"/>
  <c r="D71" i="11" s="1"/>
  <c r="L60" i="11"/>
  <c r="L71" i="11" s="1"/>
  <c r="K60" i="11"/>
  <c r="K71" i="11" s="1"/>
  <c r="N60" i="11" l="1"/>
  <c r="I51" i="11"/>
  <c r="J51" i="11" s="1"/>
  <c r="J50" i="11"/>
  <c r="F42" i="11"/>
  <c r="AN2" i="3" l="1"/>
  <c r="Z38" i="5" l="1"/>
  <c r="E1" i="3"/>
  <c r="F1" i="3" s="1"/>
  <c r="G1" i="3" s="1"/>
  <c r="I1" i="3" s="1"/>
  <c r="J1" i="3" s="1"/>
  <c r="K1" i="3" s="1"/>
  <c r="L1" i="3" s="1"/>
  <c r="M1" i="3" s="1"/>
  <c r="N1" i="3" s="1"/>
  <c r="O1" i="3" s="1"/>
  <c r="P1" i="3" s="1"/>
  <c r="R1" i="3" s="1"/>
  <c r="S1" i="3" s="1"/>
  <c r="T1" i="3" s="1"/>
  <c r="U1" i="3" l="1"/>
  <c r="S2" i="3"/>
  <c r="D8" i="20"/>
  <c r="F8" i="20" s="1"/>
  <c r="E9" i="20"/>
  <c r="H9" i="20" s="1"/>
  <c r="E8" i="20"/>
  <c r="H8" i="20" s="1"/>
  <c r="E7" i="20"/>
  <c r="H7" i="20" s="1"/>
  <c r="E6" i="20"/>
  <c r="H6" i="20" s="1"/>
  <c r="A10" i="19"/>
  <c r="A9" i="19"/>
  <c r="A8" i="19"/>
  <c r="A7" i="19"/>
  <c r="A6" i="19"/>
  <c r="A47" i="19"/>
  <c r="A46" i="19"/>
  <c r="A45" i="19"/>
  <c r="A44" i="19"/>
  <c r="A43" i="19"/>
  <c r="A42" i="19"/>
  <c r="A41" i="19"/>
  <c r="A40" i="19"/>
  <c r="A39" i="19"/>
  <c r="E5" i="20" s="1"/>
  <c r="A38" i="19"/>
  <c r="A34" i="19"/>
  <c r="A33" i="19"/>
  <c r="A32" i="19"/>
  <c r="A31" i="19"/>
  <c r="A30" i="19"/>
  <c r="A29" i="19"/>
  <c r="A28" i="19"/>
  <c r="A27" i="19"/>
  <c r="D7" i="20" s="1"/>
  <c r="A26" i="19"/>
  <c r="A25" i="19"/>
  <c r="A24" i="19"/>
  <c r="A23" i="19"/>
  <c r="D5" i="20" s="1"/>
  <c r="D6" i="20" l="1"/>
  <c r="F6" i="20" s="1"/>
  <c r="F7" i="20"/>
  <c r="F9" i="20"/>
  <c r="H5" i="20"/>
  <c r="F5" i="20"/>
  <c r="V1" i="3"/>
  <c r="T2" i="3"/>
  <c r="Z36" i="3"/>
  <c r="W1" i="3" l="1"/>
  <c r="U2" i="3"/>
  <c r="I42" i="11"/>
  <c r="X1" i="3" l="1"/>
  <c r="V2" i="3"/>
  <c r="L35" i="11"/>
  <c r="M35" i="11" s="1"/>
  <c r="L12" i="11"/>
  <c r="L14" i="11"/>
  <c r="H36" i="11" a="1"/>
  <c r="H36" i="11" s="1"/>
  <c r="I36" i="11" s="1"/>
  <c r="CV40" i="5"/>
  <c r="CU40" i="5"/>
  <c r="CT40" i="5"/>
  <c r="CS40" i="5"/>
  <c r="CR40" i="5"/>
  <c r="CQ40" i="5"/>
  <c r="CP40" i="5"/>
  <c r="CO40" i="5"/>
  <c r="CN40" i="5"/>
  <c r="CM40" i="5"/>
  <c r="CL40" i="5"/>
  <c r="CK40" i="5"/>
  <c r="CJ40" i="5"/>
  <c r="CI40" i="5"/>
  <c r="CH40" i="5"/>
  <c r="CG40" i="5"/>
  <c r="CF40" i="5"/>
  <c r="CE40" i="5"/>
  <c r="CD40" i="5"/>
  <c r="CC40" i="5"/>
  <c r="CB40" i="5"/>
  <c r="CA40" i="5"/>
  <c r="BZ40" i="5"/>
  <c r="BY40" i="5"/>
  <c r="BX40" i="5"/>
  <c r="BW40" i="5"/>
  <c r="BV40" i="5"/>
  <c r="BU40" i="5"/>
  <c r="BT40" i="5"/>
  <c r="BS40" i="5"/>
  <c r="BR40" i="5"/>
  <c r="BQ40" i="5"/>
  <c r="BP40" i="5"/>
  <c r="BO40" i="5"/>
  <c r="BL40" i="5"/>
  <c r="BK40" i="5"/>
  <c r="BJ40" i="5"/>
  <c r="BI40" i="5"/>
  <c r="BH40" i="5"/>
  <c r="BG40" i="5"/>
  <c r="BF40" i="5"/>
  <c r="BE40" i="5"/>
  <c r="BD40" i="5"/>
  <c r="BC40" i="5"/>
  <c r="BB40" i="5"/>
  <c r="BA40" i="5"/>
  <c r="AZ40" i="5"/>
  <c r="AY40" i="5"/>
  <c r="AX40" i="5"/>
  <c r="AW40" i="5"/>
  <c r="AV40" i="5"/>
  <c r="AU40" i="5"/>
  <c r="AT40" i="5"/>
  <c r="AS40" i="5"/>
  <c r="AR40" i="5"/>
  <c r="X24" i="5"/>
  <c r="AI37" i="19"/>
  <c r="AH37" i="19"/>
  <c r="AG37" i="19"/>
  <c r="AF37" i="19"/>
  <c r="AE37" i="19"/>
  <c r="AD37" i="19"/>
  <c r="AC37" i="19"/>
  <c r="AB37" i="19"/>
  <c r="AA37" i="19"/>
  <c r="AA36" i="19" s="1"/>
  <c r="Z37" i="19"/>
  <c r="Z36" i="19" s="1"/>
  <c r="Y37" i="19"/>
  <c r="Y36" i="19" s="1"/>
  <c r="X37" i="19"/>
  <c r="X36" i="19" s="1"/>
  <c r="W37" i="19"/>
  <c r="W36" i="19" s="1"/>
  <c r="V37" i="19"/>
  <c r="U37" i="19"/>
  <c r="T37" i="19"/>
  <c r="S37" i="19"/>
  <c r="R37" i="19"/>
  <c r="Q37" i="19"/>
  <c r="P37" i="19"/>
  <c r="O37" i="19"/>
  <c r="O36" i="19" s="1"/>
  <c r="N37" i="19"/>
  <c r="N20" i="19" s="1"/>
  <c r="M37" i="19"/>
  <c r="M36" i="19" s="1"/>
  <c r="L37" i="19"/>
  <c r="L36" i="19" s="1"/>
  <c r="K37" i="19"/>
  <c r="K36" i="19" s="1"/>
  <c r="J37" i="19"/>
  <c r="J36" i="19" s="1"/>
  <c r="I37" i="19"/>
  <c r="I36" i="19" s="1"/>
  <c r="H37" i="19"/>
  <c r="G37" i="19"/>
  <c r="G36" i="19" s="1"/>
  <c r="F37" i="19"/>
  <c r="F36" i="19" s="1"/>
  <c r="E37" i="19"/>
  <c r="E36" i="19" s="1"/>
  <c r="D37" i="19"/>
  <c r="C37" i="19"/>
  <c r="AI36" i="19"/>
  <c r="AH36" i="19"/>
  <c r="AG36" i="19"/>
  <c r="AF36" i="19"/>
  <c r="AE36" i="19"/>
  <c r="AD36" i="19"/>
  <c r="AC36" i="19"/>
  <c r="AB36" i="19"/>
  <c r="V36" i="19"/>
  <c r="U36" i="19"/>
  <c r="T36" i="19"/>
  <c r="S36" i="19"/>
  <c r="R36" i="19"/>
  <c r="Q36" i="19"/>
  <c r="P36" i="19"/>
  <c r="N36" i="19"/>
  <c r="H36" i="19"/>
  <c r="D36" i="19"/>
  <c r="AI22" i="19"/>
  <c r="AI20" i="19" s="1"/>
  <c r="AH22" i="19"/>
  <c r="AH20" i="19" s="1"/>
  <c r="AG22" i="19"/>
  <c r="AG20" i="19" s="1"/>
  <c r="AF22" i="19"/>
  <c r="AF20" i="19" s="1"/>
  <c r="AE22" i="19"/>
  <c r="AD22" i="19"/>
  <c r="AD20" i="19" s="1"/>
  <c r="AC22" i="19"/>
  <c r="AB22" i="19"/>
  <c r="AA22" i="19"/>
  <c r="Z22" i="19"/>
  <c r="Z20" i="19" s="1"/>
  <c r="Y22" i="19"/>
  <c r="X22" i="19"/>
  <c r="W22" i="19"/>
  <c r="V22" i="19"/>
  <c r="V20" i="19" s="1"/>
  <c r="U22" i="19"/>
  <c r="U20" i="19" s="1"/>
  <c r="T22" i="19"/>
  <c r="T20" i="19" s="1"/>
  <c r="S22" i="19"/>
  <c r="S20" i="19" s="1"/>
  <c r="R22" i="19"/>
  <c r="R20" i="19" s="1"/>
  <c r="Q22" i="19"/>
  <c r="P22" i="19"/>
  <c r="P20" i="19" s="1"/>
  <c r="O22" i="19"/>
  <c r="O20" i="19" s="1"/>
  <c r="N22" i="19"/>
  <c r="M22" i="19"/>
  <c r="M20" i="19" s="1"/>
  <c r="L22" i="19"/>
  <c r="L20" i="19" s="1"/>
  <c r="K22" i="19"/>
  <c r="K20" i="19" s="1"/>
  <c r="J22" i="19"/>
  <c r="I22" i="19"/>
  <c r="I20" i="19" s="1"/>
  <c r="H22" i="19"/>
  <c r="H20" i="19" s="1"/>
  <c r="G22" i="19"/>
  <c r="F22" i="19"/>
  <c r="E22" i="19"/>
  <c r="D22" i="19"/>
  <c r="D20" i="19" s="1"/>
  <c r="C22" i="19"/>
  <c r="AE20" i="19"/>
  <c r="AC20" i="19"/>
  <c r="AB20" i="19"/>
  <c r="AA20" i="19"/>
  <c r="Y20" i="19"/>
  <c r="X20" i="19"/>
  <c r="W20" i="19"/>
  <c r="Q20" i="19"/>
  <c r="C20" i="19"/>
  <c r="AE16" i="19"/>
  <c r="AC16" i="19"/>
  <c r="Q16" i="19"/>
  <c r="O16" i="19"/>
  <c r="D16" i="19"/>
  <c r="C16" i="19"/>
  <c r="AI15" i="19"/>
  <c r="AI16" i="19" s="1"/>
  <c r="AH15" i="19"/>
  <c r="AH16" i="19" s="1"/>
  <c r="AG15" i="19"/>
  <c r="AG16" i="19" s="1"/>
  <c r="AE15" i="19"/>
  <c r="AC15" i="19"/>
  <c r="AA15" i="19"/>
  <c r="AA16" i="19" s="1"/>
  <c r="Y15" i="19"/>
  <c r="Y16" i="19" s="1"/>
  <c r="W15" i="19"/>
  <c r="W16" i="19" s="1"/>
  <c r="V15" i="19"/>
  <c r="V16" i="19" s="1"/>
  <c r="U15" i="19"/>
  <c r="U16" i="19" s="1"/>
  <c r="T15" i="19"/>
  <c r="T16" i="19" s="1"/>
  <c r="S15" i="19"/>
  <c r="S16" i="19" s="1"/>
  <c r="Q15" i="19"/>
  <c r="O15" i="19"/>
  <c r="M15" i="19"/>
  <c r="M16" i="19" s="1"/>
  <c r="K15" i="19"/>
  <c r="K16" i="19" s="1"/>
  <c r="J15" i="19"/>
  <c r="J16" i="19" s="1"/>
  <c r="I15" i="19"/>
  <c r="I16" i="19" s="1"/>
  <c r="H15" i="19"/>
  <c r="H16" i="19" s="1"/>
  <c r="G15" i="19"/>
  <c r="G16" i="19" s="1"/>
  <c r="F15" i="19"/>
  <c r="F16" i="19" s="1"/>
  <c r="E15" i="19"/>
  <c r="E16" i="19" s="1"/>
  <c r="D15" i="19"/>
  <c r="C15" i="19"/>
  <c r="AH12" i="19"/>
  <c r="AF12" i="19"/>
  <c r="AD12" i="19"/>
  <c r="AB12" i="19"/>
  <c r="Z12" i="19"/>
  <c r="X12" i="19"/>
  <c r="V12" i="19"/>
  <c r="T12" i="19"/>
  <c r="R12" i="19"/>
  <c r="P12" i="19"/>
  <c r="N12" i="19"/>
  <c r="L12" i="19"/>
  <c r="L15" i="19" s="1"/>
  <c r="L16" i="19" s="1"/>
  <c r="J12" i="19"/>
  <c r="H12" i="19"/>
  <c r="F12" i="19"/>
  <c r="AH10" i="19"/>
  <c r="AF10" i="19"/>
  <c r="AD10" i="19"/>
  <c r="AB10" i="19"/>
  <c r="Z10" i="19"/>
  <c r="X10" i="19"/>
  <c r="X15" i="19" s="1"/>
  <c r="X16" i="19" s="1"/>
  <c r="V10" i="19"/>
  <c r="T10" i="19"/>
  <c r="R10" i="19"/>
  <c r="R15" i="19" s="1"/>
  <c r="R16" i="19" s="1"/>
  <c r="P10" i="19"/>
  <c r="P15" i="19" s="1"/>
  <c r="P16" i="19" s="1"/>
  <c r="N10" i="19"/>
  <c r="N15" i="19" s="1"/>
  <c r="N16" i="19" s="1"/>
  <c r="L10" i="19"/>
  <c r="J10" i="19"/>
  <c r="AH7" i="19"/>
  <c r="AF7" i="19"/>
  <c r="AF15" i="19" s="1"/>
  <c r="AF16" i="19" s="1"/>
  <c r="AD7" i="19"/>
  <c r="AD15" i="19" s="1"/>
  <c r="AD16" i="19" s="1"/>
  <c r="AB7" i="19"/>
  <c r="AB15" i="19" s="1"/>
  <c r="AB16" i="19" s="1"/>
  <c r="Z7" i="19"/>
  <c r="Z15" i="19" s="1"/>
  <c r="Z16" i="19" s="1"/>
  <c r="X7" i="19"/>
  <c r="V7" i="19"/>
  <c r="T7" i="19"/>
  <c r="E1" i="19"/>
  <c r="F1" i="19" s="1"/>
  <c r="G1" i="19" s="1"/>
  <c r="H1" i="19" s="1"/>
  <c r="I1" i="19" s="1"/>
  <c r="J1" i="19" s="1"/>
  <c r="K1" i="19" s="1"/>
  <c r="L1" i="19" s="1"/>
  <c r="M1" i="19" s="1"/>
  <c r="N1" i="19" s="1"/>
  <c r="O1" i="19" s="1"/>
  <c r="P1" i="19" s="1"/>
  <c r="Q1" i="19" s="1"/>
  <c r="R1" i="19" s="1"/>
  <c r="S1" i="19" s="1"/>
  <c r="T1" i="19" s="1"/>
  <c r="U1" i="19" s="1"/>
  <c r="V1" i="19" s="1"/>
  <c r="W1" i="19" s="1"/>
  <c r="X1" i="19" s="1"/>
  <c r="Y1" i="19" s="1"/>
  <c r="Z1" i="19" s="1"/>
  <c r="AA1" i="19" s="1"/>
  <c r="AB1" i="19" s="1"/>
  <c r="AC1" i="19" s="1"/>
  <c r="AD1" i="19" s="1"/>
  <c r="AE1" i="19" s="1"/>
  <c r="AF1" i="19" s="1"/>
  <c r="AG1" i="19" s="1"/>
  <c r="AH1" i="19" s="1"/>
  <c r="AI1" i="19" s="1"/>
  <c r="W17" i="5"/>
  <c r="W56" i="5"/>
  <c r="V75" i="5"/>
  <c r="X40" i="5"/>
  <c r="U18" i="5"/>
  <c r="U56" i="5"/>
  <c r="B79" i="5"/>
  <c r="Y40" i="5"/>
  <c r="J20" i="19" l="1"/>
  <c r="G20" i="19"/>
  <c r="AJ37" i="19"/>
  <c r="E20" i="19"/>
  <c r="F20" i="19"/>
  <c r="Y1" i="3"/>
  <c r="W2" i="3"/>
  <c r="L33" i="11"/>
  <c r="M33" i="11" s="1"/>
  <c r="N33" i="11" s="1"/>
  <c r="L40" i="11"/>
  <c r="M40" i="11" s="1"/>
  <c r="M39" i="11"/>
  <c r="L36" i="11"/>
  <c r="M36" i="11" s="1"/>
  <c r="L34" i="11"/>
  <c r="M34" i="11" s="1"/>
  <c r="N34" i="11" s="1"/>
  <c r="L38" i="11"/>
  <c r="L37" i="11"/>
  <c r="M37" i="11" s="1"/>
  <c r="N37" i="11" s="1"/>
  <c r="M16" i="11"/>
  <c r="I38" i="11"/>
  <c r="I40" i="11"/>
  <c r="I37" i="11"/>
  <c r="I41" i="11" s="1"/>
  <c r="V92" i="5"/>
  <c r="Y10" i="3"/>
  <c r="W10" i="3"/>
  <c r="S10" i="3"/>
  <c r="S36" i="3"/>
  <c r="T36" i="3"/>
  <c r="U36" i="3"/>
  <c r="H36" i="3"/>
  <c r="AM10" i="3"/>
  <c r="AL10" i="3"/>
  <c r="AJ10" i="3"/>
  <c r="AI10" i="3"/>
  <c r="AH10" i="3"/>
  <c r="AG10" i="3"/>
  <c r="AF10" i="3"/>
  <c r="AE10" i="3"/>
  <c r="AD10" i="3"/>
  <c r="AC10" i="3"/>
  <c r="AB10" i="3"/>
  <c r="AA10" i="3"/>
  <c r="Z10" i="3"/>
  <c r="P10" i="3"/>
  <c r="O10" i="3"/>
  <c r="N10" i="3"/>
  <c r="M38" i="11" l="1"/>
  <c r="N38" i="11"/>
  <c r="I45" i="11"/>
  <c r="N16" i="11" s="1"/>
  <c r="O16" i="11" s="1"/>
  <c r="P16" i="11" s="1"/>
  <c r="Q16" i="11" s="1"/>
  <c r="R16" i="11" s="1"/>
  <c r="S16" i="11" s="1"/>
  <c r="T16" i="11" s="1"/>
  <c r="U16" i="11" s="1"/>
  <c r="V16" i="11" s="1"/>
  <c r="W16" i="11" s="1"/>
  <c r="X16" i="11" s="1"/>
  <c r="Y16" i="11" s="1"/>
  <c r="Z16" i="11" s="1"/>
  <c r="AA16" i="11" s="1"/>
  <c r="AB16" i="11" s="1"/>
  <c r="AC16" i="11" s="1"/>
  <c r="AD16" i="11" s="1"/>
  <c r="AE16" i="11" s="1"/>
  <c r="AF16" i="11" s="1"/>
  <c r="AG16" i="11" s="1"/>
  <c r="AH16" i="11" s="1"/>
  <c r="AI16" i="11" s="1"/>
  <c r="AJ16" i="11" s="1"/>
  <c r="AK16" i="11" s="1"/>
  <c r="AL16" i="11" s="1"/>
  <c r="AM16" i="11" s="1"/>
  <c r="AN16" i="11" s="1"/>
  <c r="AO16" i="11" s="1"/>
  <c r="AP16" i="11" s="1"/>
  <c r="AQ16" i="11" s="1"/>
  <c r="AR16" i="11" s="1"/>
  <c r="AS16" i="11" s="1"/>
  <c r="AT16" i="11" s="1"/>
  <c r="AU16" i="11" s="1"/>
  <c r="AV16" i="11" s="1"/>
  <c r="AW16" i="11" s="1"/>
  <c r="AX16" i="11" s="1"/>
  <c r="Z1" i="3"/>
  <c r="X2" i="3"/>
  <c r="O38" i="11"/>
  <c r="N36" i="11"/>
  <c r="O36" i="11"/>
  <c r="O40" i="11"/>
  <c r="N40" i="11" s="1"/>
  <c r="E7" i="15"/>
  <c r="AI30" i="8"/>
  <c r="AJ30" i="8"/>
  <c r="AK30" i="8"/>
  <c r="AL30" i="8"/>
  <c r="AM30" i="8"/>
  <c r="AN30" i="8"/>
  <c r="AO30" i="8"/>
  <c r="AP30" i="8"/>
  <c r="AQ30" i="8"/>
  <c r="AR30" i="8"/>
  <c r="AS30" i="8"/>
  <c r="AT30" i="8"/>
  <c r="AU30" i="8"/>
  <c r="AV30" i="8"/>
  <c r="AW30" i="8"/>
  <c r="AX30" i="8"/>
  <c r="AY30" i="8"/>
  <c r="AZ30" i="8"/>
  <c r="BA30" i="8"/>
  <c r="BB30" i="8"/>
  <c r="BC30" i="8"/>
  <c r="BD30" i="8"/>
  <c r="BE30" i="8"/>
  <c r="BF30" i="8"/>
  <c r="BG30" i="8"/>
  <c r="BH30" i="8"/>
  <c r="BI30" i="8"/>
  <c r="BJ30" i="8"/>
  <c r="BK30" i="8"/>
  <c r="BL30" i="8"/>
  <c r="BM30" i="8"/>
  <c r="BN30" i="8"/>
  <c r="BO30" i="8"/>
  <c r="BP30" i="8"/>
  <c r="BQ30" i="8"/>
  <c r="BR30" i="8"/>
  <c r="BS30" i="8"/>
  <c r="BT30" i="8"/>
  <c r="BU30" i="8"/>
  <c r="BV30" i="8"/>
  <c r="BW30" i="8"/>
  <c r="BX30" i="8"/>
  <c r="BY30" i="8"/>
  <c r="BZ30" i="8"/>
  <c r="CA30" i="8"/>
  <c r="CB30" i="8"/>
  <c r="CC30" i="8"/>
  <c r="CD30" i="8"/>
  <c r="CE30" i="8"/>
  <c r="CF30" i="8"/>
  <c r="CG30" i="8"/>
  <c r="CH30" i="8"/>
  <c r="CI30" i="8"/>
  <c r="CJ30" i="8"/>
  <c r="CK30" i="8"/>
  <c r="CL30" i="8"/>
  <c r="CM30" i="8"/>
  <c r="CN30" i="8"/>
  <c r="CO30" i="8"/>
  <c r="CP30" i="8"/>
  <c r="CQ30" i="8"/>
  <c r="CR30" i="8"/>
  <c r="G8" i="8"/>
  <c r="H8" i="8"/>
  <c r="I8" i="8"/>
  <c r="J8" i="8"/>
  <c r="K8" i="8"/>
  <c r="L8" i="8"/>
  <c r="M8" i="8"/>
  <c r="N8" i="8"/>
  <c r="O8" i="8"/>
  <c r="P8" i="8"/>
  <c r="Q8" i="8"/>
  <c r="R8" i="8"/>
  <c r="S8" i="8"/>
  <c r="T8" i="8"/>
  <c r="U8" i="8"/>
  <c r="V8" i="8"/>
  <c r="W8" i="8"/>
  <c r="X8" i="8"/>
  <c r="Y8" i="8"/>
  <c r="Z8" i="8"/>
  <c r="AA8" i="8"/>
  <c r="AB8" i="8"/>
  <c r="AC8" i="8"/>
  <c r="AD8" i="8"/>
  <c r="AE8" i="8"/>
  <c r="AF8" i="8"/>
  <c r="AG8" i="8"/>
  <c r="AH8" i="8"/>
  <c r="AI8" i="8"/>
  <c r="AJ8" i="8"/>
  <c r="AK8" i="8"/>
  <c r="AL8" i="8"/>
  <c r="AM8" i="8"/>
  <c r="AN8" i="8"/>
  <c r="AO8" i="8"/>
  <c r="AP8" i="8"/>
  <c r="AQ8" i="8"/>
  <c r="AR8" i="8"/>
  <c r="AS8" i="8"/>
  <c r="AT8" i="8"/>
  <c r="AU8" i="8"/>
  <c r="AV8" i="8"/>
  <c r="AW8" i="8"/>
  <c r="AX8" i="8"/>
  <c r="AY8" i="8"/>
  <c r="AZ8" i="8"/>
  <c r="BA8" i="8"/>
  <c r="BB8" i="8"/>
  <c r="BC8" i="8"/>
  <c r="BD8" i="8"/>
  <c r="BE8" i="8"/>
  <c r="BF8" i="8"/>
  <c r="BG8" i="8"/>
  <c r="BH8" i="8"/>
  <c r="BI8" i="8"/>
  <c r="BJ8" i="8"/>
  <c r="BK8" i="8"/>
  <c r="BL8" i="8"/>
  <c r="BM8" i="8"/>
  <c r="BN8" i="8"/>
  <c r="BO8" i="8"/>
  <c r="BP8" i="8"/>
  <c r="BQ8" i="8"/>
  <c r="BR8" i="8"/>
  <c r="BS8" i="8"/>
  <c r="BT8" i="8"/>
  <c r="BU8" i="8"/>
  <c r="BV8" i="8"/>
  <c r="BW8" i="8"/>
  <c r="BX8" i="8"/>
  <c r="BY8" i="8"/>
  <c r="BZ8" i="8"/>
  <c r="CA8" i="8"/>
  <c r="CB8" i="8"/>
  <c r="CC8" i="8"/>
  <c r="CD8" i="8"/>
  <c r="CE8" i="8"/>
  <c r="CF8" i="8"/>
  <c r="CG8" i="8"/>
  <c r="CH8" i="8"/>
  <c r="CI8" i="8"/>
  <c r="CJ8" i="8"/>
  <c r="CK8" i="8"/>
  <c r="CL8" i="8"/>
  <c r="CM8" i="8"/>
  <c r="CN8" i="8"/>
  <c r="CO8" i="8"/>
  <c r="CP8" i="8"/>
  <c r="CQ8" i="8"/>
  <c r="CR8" i="8"/>
  <c r="CS8" i="8"/>
  <c r="CT8" i="8"/>
  <c r="CU8" i="8"/>
  <c r="G6" i="8"/>
  <c r="H6" i="8"/>
  <c r="I6" i="8"/>
  <c r="J6" i="8"/>
  <c r="K6" i="8"/>
  <c r="L6" i="8"/>
  <c r="M6" i="8"/>
  <c r="N6" i="8"/>
  <c r="O6" i="8"/>
  <c r="P6" i="8"/>
  <c r="Q6" i="8"/>
  <c r="R6" i="8"/>
  <c r="S6" i="8"/>
  <c r="T6" i="8"/>
  <c r="U6" i="8"/>
  <c r="V6" i="8"/>
  <c r="W6" i="8"/>
  <c r="X6" i="8"/>
  <c r="Y6" i="8"/>
  <c r="Z6" i="8"/>
  <c r="AA6" i="8"/>
  <c r="AB6" i="8"/>
  <c r="AC6" i="8"/>
  <c r="AD6" i="8"/>
  <c r="AE6" i="8"/>
  <c r="AF6" i="8"/>
  <c r="AG6" i="8"/>
  <c r="AH6" i="8"/>
  <c r="AI6" i="8"/>
  <c r="AJ6" i="8"/>
  <c r="AK6" i="8"/>
  <c r="AL6" i="8"/>
  <c r="AM6" i="8"/>
  <c r="AN6" i="8"/>
  <c r="AO6" i="8"/>
  <c r="AP6" i="8"/>
  <c r="AQ6" i="8"/>
  <c r="AR6" i="8"/>
  <c r="AS6" i="8"/>
  <c r="AT6" i="8"/>
  <c r="AU6" i="8"/>
  <c r="AV6" i="8"/>
  <c r="AW6" i="8"/>
  <c r="AX6" i="8"/>
  <c r="AY6" i="8"/>
  <c r="AZ6" i="8"/>
  <c r="BA6" i="8"/>
  <c r="BB6" i="8"/>
  <c r="BC6" i="8"/>
  <c r="BD6" i="8"/>
  <c r="BE6" i="8"/>
  <c r="BF6" i="8"/>
  <c r="BG6" i="8"/>
  <c r="BH6" i="8"/>
  <c r="BI6" i="8"/>
  <c r="BJ6" i="8"/>
  <c r="BK6" i="8"/>
  <c r="BL6" i="8"/>
  <c r="BM6" i="8"/>
  <c r="BN6" i="8"/>
  <c r="BO6" i="8"/>
  <c r="BP6" i="8"/>
  <c r="BQ6" i="8"/>
  <c r="BR6" i="8"/>
  <c r="BS6" i="8"/>
  <c r="BT6" i="8"/>
  <c r="BU6" i="8"/>
  <c r="BV6" i="8"/>
  <c r="BW6" i="8"/>
  <c r="BX6" i="8"/>
  <c r="BY6" i="8"/>
  <c r="BZ6" i="8"/>
  <c r="CA6" i="8"/>
  <c r="CB6" i="8"/>
  <c r="CC6" i="8"/>
  <c r="CD6" i="8"/>
  <c r="CE6" i="8"/>
  <c r="CF6" i="8"/>
  <c r="CG6" i="8"/>
  <c r="CH6" i="8"/>
  <c r="CI6" i="8"/>
  <c r="CJ6" i="8"/>
  <c r="CK6" i="8"/>
  <c r="CL6" i="8"/>
  <c r="CM6" i="8"/>
  <c r="CN6" i="8"/>
  <c r="CO6" i="8"/>
  <c r="CP6" i="8"/>
  <c r="CQ6" i="8"/>
  <c r="CR6" i="8"/>
  <c r="CS6" i="8"/>
  <c r="CT6" i="8"/>
  <c r="CU6" i="8"/>
  <c r="B60" i="5"/>
  <c r="B61" i="5"/>
  <c r="B75" i="5"/>
  <c r="B22" i="5"/>
  <c r="B23" i="5"/>
  <c r="B80" i="5"/>
  <c r="B55" i="5"/>
  <c r="B19" i="5"/>
  <c r="B40" i="5"/>
  <c r="B71" i="5"/>
  <c r="B70" i="5"/>
  <c r="B41" i="5"/>
  <c r="B42" i="5"/>
  <c r="B46" i="5"/>
  <c r="B73" i="5"/>
  <c r="B47" i="5"/>
  <c r="B48" i="5"/>
  <c r="B49" i="5"/>
  <c r="B50" i="5"/>
  <c r="B51" i="5"/>
  <c r="B32" i="5"/>
  <c r="B38" i="5"/>
  <c r="B39" i="5"/>
  <c r="B12" i="5"/>
  <c r="B13" i="5"/>
  <c r="B10" i="5"/>
  <c r="N8" i="15"/>
  <c r="K8" i="15"/>
  <c r="I8" i="15"/>
  <c r="AH75" i="5"/>
  <c r="AP75" i="5" s="1"/>
  <c r="AT75" i="5" s="1"/>
  <c r="AX75" i="5" s="1"/>
  <c r="BB75" i="5" s="1"/>
  <c r="AI41" i="5"/>
  <c r="AM41" i="5" s="1"/>
  <c r="D13" i="15"/>
  <c r="C13" i="15"/>
  <c r="G51" i="6"/>
  <c r="F51" i="6"/>
  <c r="E51" i="6"/>
  <c r="N41" i="11" l="1"/>
  <c r="AA1" i="3"/>
  <c r="Y2" i="3"/>
  <c r="I24" i="16"/>
  <c r="I33" i="16"/>
  <c r="H19" i="16"/>
  <c r="C35" i="16"/>
  <c r="N43" i="11" l="1"/>
  <c r="AB1" i="3"/>
  <c r="Z2" i="3"/>
  <c r="C7" i="15"/>
  <c r="AC1" i="3" l="1"/>
  <c r="AA2" i="3"/>
  <c r="N7" i="15"/>
  <c r="N13" i="15" s="1"/>
  <c r="I7" i="15"/>
  <c r="I13" i="15" s="1"/>
  <c r="H13" i="15"/>
  <c r="F13" i="15"/>
  <c r="P12" i="13"/>
  <c r="O12" i="13"/>
  <c r="N12" i="13"/>
  <c r="M12" i="13"/>
  <c r="L12" i="13"/>
  <c r="K12" i="13"/>
  <c r="J12" i="13"/>
  <c r="M13" i="15"/>
  <c r="L13" i="15"/>
  <c r="K13" i="15"/>
  <c r="J13" i="15"/>
  <c r="G13" i="15"/>
  <c r="E13" i="15"/>
  <c r="I8" i="11"/>
  <c r="J8" i="11" s="1"/>
  <c r="K8" i="11" s="1"/>
  <c r="L8" i="11" s="1"/>
  <c r="M8" i="11" s="1"/>
  <c r="O8" i="11" s="1"/>
  <c r="P8" i="11" s="1"/>
  <c r="Q8" i="11" s="1"/>
  <c r="R8" i="11" s="1"/>
  <c r="S8" i="11" s="1"/>
  <c r="T8" i="11" s="1"/>
  <c r="U8" i="11" s="1"/>
  <c r="V8" i="11" s="1"/>
  <c r="W8" i="11" s="1"/>
  <c r="X8" i="11" s="1"/>
  <c r="Y8" i="11" s="1"/>
  <c r="Z8" i="11" s="1"/>
  <c r="AA8" i="11" s="1"/>
  <c r="AB8" i="11" s="1"/>
  <c r="AC8" i="11" s="1"/>
  <c r="AD8" i="11" s="1"/>
  <c r="AE8" i="11" s="1"/>
  <c r="AF8" i="11" s="1"/>
  <c r="AG8" i="11" s="1"/>
  <c r="AH8" i="11" s="1"/>
  <c r="AI8" i="11" s="1"/>
  <c r="AJ8" i="11" s="1"/>
  <c r="AK8" i="11" s="1"/>
  <c r="AL8" i="11" s="1"/>
  <c r="AM8" i="11" s="1"/>
  <c r="AN8" i="11" s="1"/>
  <c r="AO8" i="11" s="1"/>
  <c r="AP8" i="11" s="1"/>
  <c r="AQ8" i="11" s="1"/>
  <c r="AR8" i="11" s="1"/>
  <c r="AS8" i="11" s="1"/>
  <c r="AT8" i="11" s="1"/>
  <c r="AU8" i="11" s="1"/>
  <c r="AV8" i="11" s="1"/>
  <c r="AW8" i="11" s="1"/>
  <c r="AX8" i="11" s="1"/>
  <c r="AD1" i="3" l="1"/>
  <c r="AB2" i="3"/>
  <c r="AK92" i="5"/>
  <c r="AL92" i="5"/>
  <c r="AM92" i="5"/>
  <c r="AN92" i="5"/>
  <c r="AO92" i="5"/>
  <c r="AP92" i="5"/>
  <c r="AQ92" i="5"/>
  <c r="AR92" i="5"/>
  <c r="AS92" i="5"/>
  <c r="AT92" i="5"/>
  <c r="AU92" i="5"/>
  <c r="AV92" i="5"/>
  <c r="AW92" i="5"/>
  <c r="AX92" i="5"/>
  <c r="AY92" i="5"/>
  <c r="AZ92" i="5"/>
  <c r="BA92" i="5"/>
  <c r="BB92" i="5"/>
  <c r="BC92" i="5"/>
  <c r="BD92" i="5"/>
  <c r="BE92" i="5"/>
  <c r="BF92" i="5"/>
  <c r="BG92" i="5"/>
  <c r="BH92" i="5"/>
  <c r="BI92" i="5"/>
  <c r="BJ92" i="5"/>
  <c r="BK92" i="5"/>
  <c r="BL92" i="5"/>
  <c r="BM92" i="5"/>
  <c r="BN92" i="5"/>
  <c r="BO92" i="5"/>
  <c r="BP92" i="5"/>
  <c r="BQ92" i="5"/>
  <c r="BR92" i="5"/>
  <c r="BS92" i="5"/>
  <c r="BT92" i="5"/>
  <c r="BU92" i="5"/>
  <c r="BV92" i="5"/>
  <c r="BW92" i="5"/>
  <c r="BX92" i="5"/>
  <c r="BY92" i="5"/>
  <c r="BZ92" i="5"/>
  <c r="CA92" i="5"/>
  <c r="CB92" i="5"/>
  <c r="CC92" i="5"/>
  <c r="CD92" i="5"/>
  <c r="CE92" i="5"/>
  <c r="CF92" i="5"/>
  <c r="CG92" i="5"/>
  <c r="CH92" i="5"/>
  <c r="CI92" i="5"/>
  <c r="CJ92" i="5"/>
  <c r="CK92" i="5"/>
  <c r="CL92" i="5"/>
  <c r="CM92" i="5"/>
  <c r="CN92" i="5"/>
  <c r="CO92" i="5"/>
  <c r="CP92" i="5"/>
  <c r="CQ92" i="5"/>
  <c r="CR92" i="5"/>
  <c r="CS92" i="5"/>
  <c r="CT92" i="5"/>
  <c r="CU92" i="5"/>
  <c r="CV92" i="5"/>
  <c r="AK93" i="5"/>
  <c r="AL93" i="5"/>
  <c r="AM93" i="5"/>
  <c r="AN93" i="5"/>
  <c r="AO93" i="5"/>
  <c r="AP93" i="5"/>
  <c r="AQ93" i="5"/>
  <c r="AR93" i="5"/>
  <c r="AS93" i="5"/>
  <c r="AT93" i="5"/>
  <c r="AU93" i="5"/>
  <c r="AV93" i="5"/>
  <c r="AW93" i="5"/>
  <c r="AX93" i="5"/>
  <c r="AY93" i="5"/>
  <c r="AZ93" i="5"/>
  <c r="BA93" i="5"/>
  <c r="BB93" i="5"/>
  <c r="BC93" i="5"/>
  <c r="BD93" i="5"/>
  <c r="BE93" i="5"/>
  <c r="BF93" i="5"/>
  <c r="BG93" i="5"/>
  <c r="BH93" i="5"/>
  <c r="BI93" i="5"/>
  <c r="BJ93" i="5"/>
  <c r="BK93" i="5"/>
  <c r="BL93" i="5"/>
  <c r="BM93" i="5"/>
  <c r="BN93" i="5"/>
  <c r="BO93" i="5"/>
  <c r="BP93" i="5"/>
  <c r="BQ93" i="5"/>
  <c r="BR93" i="5"/>
  <c r="BS93" i="5"/>
  <c r="BT93" i="5"/>
  <c r="BU93" i="5"/>
  <c r="BV93" i="5"/>
  <c r="BW93" i="5"/>
  <c r="BX93" i="5"/>
  <c r="BY93" i="5"/>
  <c r="BZ93" i="5"/>
  <c r="CA93" i="5"/>
  <c r="CB93" i="5"/>
  <c r="CC93" i="5"/>
  <c r="CD93" i="5"/>
  <c r="CE93" i="5"/>
  <c r="CF93" i="5"/>
  <c r="CG93" i="5"/>
  <c r="CH93" i="5"/>
  <c r="CI93" i="5"/>
  <c r="CJ93" i="5"/>
  <c r="CK93" i="5"/>
  <c r="CL93" i="5"/>
  <c r="CM93" i="5"/>
  <c r="CN93" i="5"/>
  <c r="CO93" i="5"/>
  <c r="CP93" i="5"/>
  <c r="CQ93" i="5"/>
  <c r="CR93" i="5"/>
  <c r="CS93" i="5"/>
  <c r="CT93" i="5"/>
  <c r="CU93" i="5"/>
  <c r="CV93" i="5"/>
  <c r="AK94" i="5"/>
  <c r="AL94" i="5"/>
  <c r="AM94" i="5"/>
  <c r="AN94" i="5"/>
  <c r="AO94" i="5"/>
  <c r="AP94" i="5"/>
  <c r="AQ94" i="5"/>
  <c r="AR94" i="5"/>
  <c r="AS94" i="5"/>
  <c r="AT94" i="5"/>
  <c r="AU94" i="5"/>
  <c r="AV94" i="5"/>
  <c r="AW94" i="5"/>
  <c r="AX94" i="5"/>
  <c r="AY94" i="5"/>
  <c r="AZ94" i="5"/>
  <c r="BA94" i="5"/>
  <c r="BB94" i="5"/>
  <c r="BC94" i="5"/>
  <c r="BD94" i="5"/>
  <c r="BE94" i="5"/>
  <c r="BF94" i="5"/>
  <c r="BG94" i="5"/>
  <c r="BH94" i="5"/>
  <c r="BI94" i="5"/>
  <c r="BJ94" i="5"/>
  <c r="BK94" i="5"/>
  <c r="BL94" i="5"/>
  <c r="BM94" i="5"/>
  <c r="BN94" i="5"/>
  <c r="BO94" i="5"/>
  <c r="BP94" i="5"/>
  <c r="BQ94" i="5"/>
  <c r="BR94" i="5"/>
  <c r="BS94" i="5"/>
  <c r="BT94" i="5"/>
  <c r="BU94" i="5"/>
  <c r="BV94" i="5"/>
  <c r="BW94" i="5"/>
  <c r="BX94" i="5"/>
  <c r="BY94" i="5"/>
  <c r="BZ94" i="5"/>
  <c r="CA94" i="5"/>
  <c r="CB94" i="5"/>
  <c r="CC94" i="5"/>
  <c r="CD94" i="5"/>
  <c r="CE94" i="5"/>
  <c r="CF94" i="5"/>
  <c r="CG94" i="5"/>
  <c r="CH94" i="5"/>
  <c r="CI94" i="5"/>
  <c r="CJ94" i="5"/>
  <c r="CK94" i="5"/>
  <c r="CL94" i="5"/>
  <c r="CM94" i="5"/>
  <c r="CN94" i="5"/>
  <c r="CO94" i="5"/>
  <c r="CP94" i="5"/>
  <c r="CQ94" i="5"/>
  <c r="CR94" i="5"/>
  <c r="CS94" i="5"/>
  <c r="CT94" i="5"/>
  <c r="CU94" i="5"/>
  <c r="CV94" i="5"/>
  <c r="Y87" i="5"/>
  <c r="Z87" i="5"/>
  <c r="AA87" i="5"/>
  <c r="AB87" i="5"/>
  <c r="AC87" i="5"/>
  <c r="AD87" i="5"/>
  <c r="AE87" i="5"/>
  <c r="AF87" i="5"/>
  <c r="AG87" i="5"/>
  <c r="AH87" i="5"/>
  <c r="AI87" i="5"/>
  <c r="Y92" i="5"/>
  <c r="Z92" i="5"/>
  <c r="AB92" i="5"/>
  <c r="AC92" i="5"/>
  <c r="AD92" i="5"/>
  <c r="AF92" i="5"/>
  <c r="AG92" i="5"/>
  <c r="AH92" i="5"/>
  <c r="AI92" i="5"/>
  <c r="AJ92" i="5"/>
  <c r="Y93" i="5"/>
  <c r="Z93" i="5"/>
  <c r="AA93" i="5"/>
  <c r="AB93" i="5"/>
  <c r="AC93" i="5"/>
  <c r="AD93" i="5"/>
  <c r="AE93" i="5"/>
  <c r="AF93" i="5"/>
  <c r="AG93" i="5"/>
  <c r="AH93" i="5"/>
  <c r="AI93" i="5"/>
  <c r="AJ93" i="5"/>
  <c r="Y94" i="5"/>
  <c r="AA94" i="5"/>
  <c r="AB94" i="5"/>
  <c r="AC94" i="5"/>
  <c r="AE94" i="5"/>
  <c r="AF94" i="5"/>
  <c r="AG94" i="5"/>
  <c r="AH94" i="5"/>
  <c r="O87" i="5"/>
  <c r="P87" i="5"/>
  <c r="Q87" i="5"/>
  <c r="R87" i="5"/>
  <c r="S87" i="5"/>
  <c r="T87" i="5"/>
  <c r="U87" i="5"/>
  <c r="V87" i="5"/>
  <c r="W87" i="5"/>
  <c r="X87" i="5"/>
  <c r="H92" i="5"/>
  <c r="I92" i="5"/>
  <c r="J92" i="5"/>
  <c r="K92" i="5"/>
  <c r="L92" i="5"/>
  <c r="M92" i="5"/>
  <c r="O92" i="5"/>
  <c r="P92" i="5"/>
  <c r="Q92" i="5"/>
  <c r="R92" i="5"/>
  <c r="T92" i="5"/>
  <c r="U92" i="5"/>
  <c r="W92" i="5"/>
  <c r="X92" i="5"/>
  <c r="H93" i="5"/>
  <c r="I93" i="5"/>
  <c r="J93" i="5"/>
  <c r="K93" i="5"/>
  <c r="L93" i="5"/>
  <c r="M93" i="5"/>
  <c r="O93" i="5"/>
  <c r="P93" i="5"/>
  <c r="Q93" i="5"/>
  <c r="R93" i="5"/>
  <c r="S93" i="5"/>
  <c r="T93" i="5"/>
  <c r="U93" i="5"/>
  <c r="V93" i="5"/>
  <c r="W93" i="5"/>
  <c r="X93" i="5"/>
  <c r="O94" i="5"/>
  <c r="P94" i="5"/>
  <c r="R94" i="5"/>
  <c r="S94" i="5"/>
  <c r="T94" i="5"/>
  <c r="U94" i="5"/>
  <c r="W94" i="5"/>
  <c r="X94" i="5"/>
  <c r="G92" i="5"/>
  <c r="G93" i="5"/>
  <c r="H116" i="5" l="1"/>
  <c r="H117" i="5"/>
  <c r="H115" i="5"/>
  <c r="AE1" i="3"/>
  <c r="AC2" i="3"/>
  <c r="AE92" i="5"/>
  <c r="S12" i="5"/>
  <c r="AF1" i="3" l="1"/>
  <c r="AD2" i="3"/>
  <c r="S92" i="5"/>
  <c r="CS30" i="8"/>
  <c r="CT30" i="8"/>
  <c r="CU30" i="8"/>
  <c r="N30" i="8"/>
  <c r="O30" i="8"/>
  <c r="P30" i="8"/>
  <c r="Q30" i="8"/>
  <c r="R30" i="8"/>
  <c r="S30" i="8"/>
  <c r="T30" i="8"/>
  <c r="U30" i="8"/>
  <c r="V30" i="8"/>
  <c r="W30" i="8"/>
  <c r="X30" i="8"/>
  <c r="Y30" i="8"/>
  <c r="Z30" i="8"/>
  <c r="AA30" i="8"/>
  <c r="AB30" i="8"/>
  <c r="AC30" i="8"/>
  <c r="AD30" i="8"/>
  <c r="AE30" i="8"/>
  <c r="AF30" i="8"/>
  <c r="AG30" i="8"/>
  <c r="AH30" i="8"/>
  <c r="AG1" i="3" l="1"/>
  <c r="AE2" i="3"/>
  <c r="N11" i="14"/>
  <c r="M11" i="14"/>
  <c r="L11" i="14"/>
  <c r="K11" i="14"/>
  <c r="J11" i="14"/>
  <c r="I11" i="14"/>
  <c r="H11" i="14"/>
  <c r="G11" i="14"/>
  <c r="F11" i="14"/>
  <c r="E11" i="14"/>
  <c r="D11" i="14"/>
  <c r="C11" i="14"/>
  <c r="B11" i="14"/>
  <c r="C2" i="14"/>
  <c r="D2" i="14" s="1"/>
  <c r="E2" i="14" s="1"/>
  <c r="F2" i="14" s="1"/>
  <c r="G2" i="14" s="1"/>
  <c r="H2" i="14" s="1"/>
  <c r="I2" i="14" s="1"/>
  <c r="J2" i="14" s="1"/>
  <c r="K2" i="14" s="1"/>
  <c r="L2" i="14" s="1"/>
  <c r="M2" i="14" s="1"/>
  <c r="N2" i="14" s="1"/>
  <c r="W33" i="13"/>
  <c r="V33" i="13"/>
  <c r="U33" i="13"/>
  <c r="T33" i="13"/>
  <c r="S33" i="13"/>
  <c r="O33" i="13"/>
  <c r="N33" i="13"/>
  <c r="M33" i="13"/>
  <c r="K33" i="13"/>
  <c r="J33" i="13"/>
  <c r="I33" i="13"/>
  <c r="H33" i="13"/>
  <c r="F33" i="13"/>
  <c r="G31" i="13"/>
  <c r="G30" i="13"/>
  <c r="G29" i="13"/>
  <c r="G28" i="13"/>
  <c r="G27" i="13"/>
  <c r="G26" i="13"/>
  <c r="G25" i="13"/>
  <c r="G24" i="13"/>
  <c r="G23" i="13"/>
  <c r="G22" i="13"/>
  <c r="G21" i="13"/>
  <c r="G20" i="13"/>
  <c r="AB19" i="13"/>
  <c r="AA19" i="13"/>
  <c r="Z19" i="13"/>
  <c r="Y19" i="13"/>
  <c r="X19" i="13"/>
  <c r="W19" i="13"/>
  <c r="V19" i="13"/>
  <c r="U19" i="13"/>
  <c r="T19" i="13"/>
  <c r="S19" i="13"/>
  <c r="R19" i="13"/>
  <c r="R33" i="13" s="1"/>
  <c r="Q19" i="13"/>
  <c r="Q33" i="13" s="1"/>
  <c r="P19" i="13"/>
  <c r="AB18" i="13"/>
  <c r="Y18" i="13"/>
  <c r="G18" i="13" s="1"/>
  <c r="U18" i="13"/>
  <c r="Q18" i="13"/>
  <c r="L18" i="13"/>
  <c r="L33" i="13" s="1"/>
  <c r="F18" i="13"/>
  <c r="G17" i="13"/>
  <c r="AB16" i="13"/>
  <c r="AA16" i="13"/>
  <c r="AA33" i="13" s="1"/>
  <c r="Z16" i="13"/>
  <c r="Z33" i="13" s="1"/>
  <c r="Y16" i="13"/>
  <c r="Y33" i="13" s="1"/>
  <c r="X16" i="13"/>
  <c r="X33" i="13" s="1"/>
  <c r="W16" i="13"/>
  <c r="V16" i="13"/>
  <c r="G15" i="13"/>
  <c r="G14" i="13"/>
  <c r="G13" i="13"/>
  <c r="G12" i="13"/>
  <c r="G11" i="13"/>
  <c r="G10" i="13"/>
  <c r="G9" i="13"/>
  <c r="G8" i="13"/>
  <c r="G7" i="13"/>
  <c r="G6" i="13"/>
  <c r="G5" i="13"/>
  <c r="G4" i="13"/>
  <c r="G3" i="13"/>
  <c r="H2" i="13"/>
  <c r="I8" i="12"/>
  <c r="F8" i="12"/>
  <c r="AX27" i="11"/>
  <c r="AW27" i="11"/>
  <c r="AV27" i="11"/>
  <c r="AU27" i="11"/>
  <c r="AT27" i="11"/>
  <c r="AS27" i="11"/>
  <c r="AR27" i="11"/>
  <c r="AQ27" i="11"/>
  <c r="AP27" i="11"/>
  <c r="AO27" i="11"/>
  <c r="AN27" i="11"/>
  <c r="AM27" i="11"/>
  <c r="AL27" i="11"/>
  <c r="AK27" i="11"/>
  <c r="AJ27" i="11"/>
  <c r="AI27" i="11"/>
  <c r="AH27" i="11"/>
  <c r="AG27" i="11"/>
  <c r="AF27" i="11"/>
  <c r="AE27" i="11"/>
  <c r="AD27" i="11"/>
  <c r="AC27" i="11"/>
  <c r="AB27" i="11"/>
  <c r="AA27" i="11"/>
  <c r="Z27" i="11"/>
  <c r="Y27" i="11"/>
  <c r="X27" i="11"/>
  <c r="W27" i="11"/>
  <c r="V27" i="11"/>
  <c r="U27" i="11"/>
  <c r="T27" i="11"/>
  <c r="S27" i="11"/>
  <c r="R27" i="11"/>
  <c r="Q27" i="11"/>
  <c r="P27" i="11"/>
  <c r="O27" i="11"/>
  <c r="N27" i="11"/>
  <c r="M27" i="11"/>
  <c r="L27" i="11"/>
  <c r="K27" i="11"/>
  <c r="J27" i="11"/>
  <c r="I27" i="11"/>
  <c r="H27" i="11"/>
  <c r="G27" i="11"/>
  <c r="F27" i="11"/>
  <c r="E27" i="11"/>
  <c r="AX26" i="11"/>
  <c r="AW26" i="11"/>
  <c r="AV26" i="11"/>
  <c r="AU26" i="11"/>
  <c r="AT26" i="11"/>
  <c r="AS26" i="11"/>
  <c r="AR26" i="11"/>
  <c r="AQ26" i="11"/>
  <c r="AP26" i="11"/>
  <c r="AO26" i="11"/>
  <c r="AN26" i="11"/>
  <c r="AM26" i="11"/>
  <c r="AL26" i="11"/>
  <c r="AK26" i="11"/>
  <c r="AJ26" i="11"/>
  <c r="AI26" i="11"/>
  <c r="AH26" i="11"/>
  <c r="AG26" i="11"/>
  <c r="AF26" i="11"/>
  <c r="AE26" i="11"/>
  <c r="AD26" i="11"/>
  <c r="AC26" i="11"/>
  <c r="AB26" i="11"/>
  <c r="AA26" i="11"/>
  <c r="Z26" i="11"/>
  <c r="Y26" i="11"/>
  <c r="X26" i="11"/>
  <c r="W26" i="11"/>
  <c r="V26" i="11"/>
  <c r="U26" i="11"/>
  <c r="T26" i="11"/>
  <c r="S26" i="11"/>
  <c r="R26" i="11"/>
  <c r="Q26" i="11"/>
  <c r="P26" i="11"/>
  <c r="O26" i="11"/>
  <c r="N26" i="11"/>
  <c r="M26" i="11"/>
  <c r="L26" i="11"/>
  <c r="K26" i="11"/>
  <c r="J26" i="11"/>
  <c r="I26" i="11"/>
  <c r="H26" i="11"/>
  <c r="G26" i="11"/>
  <c r="F26" i="11"/>
  <c r="E26" i="11"/>
  <c r="AX25" i="11"/>
  <c r="AW25" i="11"/>
  <c r="AV25" i="11"/>
  <c r="AU25" i="11"/>
  <c r="AT25" i="11"/>
  <c r="AS25" i="11"/>
  <c r="AR25" i="11"/>
  <c r="AQ25" i="11"/>
  <c r="AP25" i="11"/>
  <c r="AO25" i="11"/>
  <c r="AN25" i="11"/>
  <c r="AM25" i="11"/>
  <c r="AL25" i="11"/>
  <c r="AK25" i="11"/>
  <c r="AJ25" i="11"/>
  <c r="AI25" i="11"/>
  <c r="AH25" i="11"/>
  <c r="AG25" i="11"/>
  <c r="AF25" i="11"/>
  <c r="AE25" i="11"/>
  <c r="AD25" i="11"/>
  <c r="AC25" i="11"/>
  <c r="AB25" i="11"/>
  <c r="AA25" i="11"/>
  <c r="Z25" i="11"/>
  <c r="Y25" i="11"/>
  <c r="X25" i="11"/>
  <c r="W25" i="11"/>
  <c r="V25" i="11"/>
  <c r="U25" i="11"/>
  <c r="T25" i="11"/>
  <c r="S25" i="11"/>
  <c r="R25" i="11"/>
  <c r="Q25" i="11"/>
  <c r="P25" i="11"/>
  <c r="O25" i="11"/>
  <c r="N25" i="11"/>
  <c r="M25" i="11"/>
  <c r="L25" i="11"/>
  <c r="K25" i="11"/>
  <c r="J25" i="11"/>
  <c r="I25" i="11"/>
  <c r="H25" i="11"/>
  <c r="G25" i="11"/>
  <c r="F25" i="11"/>
  <c r="E25" i="11"/>
  <c r="AX23" i="11"/>
  <c r="AW23" i="11"/>
  <c r="AV23" i="11"/>
  <c r="AU23" i="11"/>
  <c r="AT23" i="11"/>
  <c r="AS23" i="11"/>
  <c r="AR23" i="11"/>
  <c r="AQ23" i="11"/>
  <c r="AP23" i="11"/>
  <c r="AO23" i="11"/>
  <c r="AN23" i="11"/>
  <c r="AM23" i="11"/>
  <c r="AL23" i="11"/>
  <c r="AK23" i="11"/>
  <c r="AJ23" i="11"/>
  <c r="AI23" i="11"/>
  <c r="AH23" i="11"/>
  <c r="AG23" i="11"/>
  <c r="AF23" i="11"/>
  <c r="AE23" i="11"/>
  <c r="AD23" i="11"/>
  <c r="AC23" i="11"/>
  <c r="AB23" i="11"/>
  <c r="AA23" i="11"/>
  <c r="Z23" i="11"/>
  <c r="Y23" i="11"/>
  <c r="X23" i="11"/>
  <c r="W23" i="11"/>
  <c r="V23" i="11"/>
  <c r="U23" i="11"/>
  <c r="T23" i="11"/>
  <c r="S23" i="11"/>
  <c r="R23" i="11"/>
  <c r="Q23" i="11"/>
  <c r="P23" i="11"/>
  <c r="O23" i="11"/>
  <c r="N23" i="11"/>
  <c r="M23" i="11"/>
  <c r="L23" i="11"/>
  <c r="K23" i="11"/>
  <c r="J23" i="11"/>
  <c r="I23" i="11"/>
  <c r="H23" i="11"/>
  <c r="G23" i="11"/>
  <c r="F23" i="11"/>
  <c r="E23" i="11"/>
  <c r="AX22" i="11"/>
  <c r="AW22" i="11"/>
  <c r="AV22" i="11"/>
  <c r="AU22" i="11"/>
  <c r="AT22" i="11"/>
  <c r="AS22" i="11"/>
  <c r="AR22" i="11"/>
  <c r="AQ22" i="11"/>
  <c r="AP22" i="11"/>
  <c r="AO22" i="11"/>
  <c r="AN22" i="11"/>
  <c r="AM22" i="11"/>
  <c r="AL22" i="11"/>
  <c r="AK22" i="11"/>
  <c r="AJ22" i="11"/>
  <c r="AI22" i="11"/>
  <c r="AH22" i="11"/>
  <c r="AG22" i="11"/>
  <c r="AF22" i="11"/>
  <c r="AE22" i="11"/>
  <c r="AD22" i="11"/>
  <c r="AC22" i="11"/>
  <c r="AB22" i="11"/>
  <c r="AA22" i="11"/>
  <c r="Z22" i="11"/>
  <c r="Y22" i="11"/>
  <c r="X22" i="11"/>
  <c r="W22" i="11"/>
  <c r="V22" i="11"/>
  <c r="U22" i="11"/>
  <c r="T22" i="11"/>
  <c r="S22" i="11"/>
  <c r="R22" i="11"/>
  <c r="Q22" i="11"/>
  <c r="P22" i="11"/>
  <c r="O22" i="11"/>
  <c r="N22" i="11"/>
  <c r="M22" i="11"/>
  <c r="L22" i="11"/>
  <c r="K22" i="11"/>
  <c r="J22" i="11"/>
  <c r="I22" i="11"/>
  <c r="H22" i="11"/>
  <c r="G22" i="11"/>
  <c r="F22" i="11"/>
  <c r="E22" i="11"/>
  <c r="F8" i="11"/>
  <c r="E7" i="11"/>
  <c r="E6" i="11"/>
  <c r="M4" i="11"/>
  <c r="Q4" i="11" s="1"/>
  <c r="U4" i="11" s="1"/>
  <c r="Y4" i="11" s="1"/>
  <c r="AC4" i="11" s="1"/>
  <c r="AG4" i="11" s="1"/>
  <c r="AK4" i="11" s="1"/>
  <c r="AO4" i="11" s="1"/>
  <c r="AS4" i="11" s="1"/>
  <c r="AW4" i="11" s="1"/>
  <c r="L4" i="11"/>
  <c r="P4" i="11" s="1"/>
  <c r="T4" i="11" s="1"/>
  <c r="X4" i="11" s="1"/>
  <c r="AB4" i="11" s="1"/>
  <c r="AF4" i="11" s="1"/>
  <c r="AJ4" i="11" s="1"/>
  <c r="AN4" i="11" s="1"/>
  <c r="AR4" i="11" s="1"/>
  <c r="AV4" i="11" s="1"/>
  <c r="K4" i="11"/>
  <c r="O4" i="11" s="1"/>
  <c r="S4" i="11" s="1"/>
  <c r="W4" i="11" s="1"/>
  <c r="AA4" i="11" s="1"/>
  <c r="AE4" i="11" s="1"/>
  <c r="AI4" i="11" s="1"/>
  <c r="AM4" i="11" s="1"/>
  <c r="AQ4" i="11" s="1"/>
  <c r="AU4" i="11" s="1"/>
  <c r="J4" i="11"/>
  <c r="N4" i="11" s="1"/>
  <c r="R4" i="11" s="1"/>
  <c r="V4" i="11" s="1"/>
  <c r="Z4" i="11" s="1"/>
  <c r="AD4" i="11" s="1"/>
  <c r="AH4" i="11" s="1"/>
  <c r="AL4" i="11" s="1"/>
  <c r="AP4" i="11" s="1"/>
  <c r="AT4" i="11" s="1"/>
  <c r="AX4" i="11" s="1"/>
  <c r="K17" i="10"/>
  <c r="AE1" i="10"/>
  <c r="AD1" i="10"/>
  <c r="AC1" i="10"/>
  <c r="AB1" i="10"/>
  <c r="AA1" i="10"/>
  <c r="Z1" i="10"/>
  <c r="Y1" i="10"/>
  <c r="X1" i="10"/>
  <c r="W1" i="10"/>
  <c r="V1" i="10"/>
  <c r="U1" i="10"/>
  <c r="T1" i="10"/>
  <c r="S1" i="10"/>
  <c r="R1" i="10"/>
  <c r="Q1" i="10"/>
  <c r="P1" i="10"/>
  <c r="O1" i="10"/>
  <c r="N1" i="10"/>
  <c r="M1" i="10"/>
  <c r="L1" i="10"/>
  <c r="K1" i="10"/>
  <c r="J1" i="10"/>
  <c r="I1" i="10"/>
  <c r="H1" i="10"/>
  <c r="G1" i="10"/>
  <c r="F1" i="10"/>
  <c r="E1" i="10"/>
  <c r="D1" i="10"/>
  <c r="C1" i="10"/>
  <c r="B1" i="10"/>
  <c r="H41" i="9"/>
  <c r="G41" i="9"/>
  <c r="D34" i="9"/>
  <c r="J29" i="9"/>
  <c r="J41" i="9" s="1"/>
  <c r="I29" i="9"/>
  <c r="I41" i="9" s="1"/>
  <c r="M27" i="9"/>
  <c r="L27" i="9"/>
  <c r="L29" i="9" s="1"/>
  <c r="L41" i="9" s="1"/>
  <c r="J27" i="9"/>
  <c r="H27" i="9"/>
  <c r="F27" i="9"/>
  <c r="P26" i="9"/>
  <c r="O26" i="9"/>
  <c r="N26" i="9"/>
  <c r="M26" i="9"/>
  <c r="L26" i="9"/>
  <c r="K26" i="9"/>
  <c r="K27" i="9" s="1"/>
  <c r="K29" i="9" s="1"/>
  <c r="K41" i="9" s="1"/>
  <c r="J26" i="9"/>
  <c r="I26" i="9"/>
  <c r="H26" i="9"/>
  <c r="G26" i="9"/>
  <c r="F26" i="9"/>
  <c r="E26" i="9"/>
  <c r="D26" i="9"/>
  <c r="P20" i="9"/>
  <c r="P27" i="9" s="1"/>
  <c r="O20" i="9"/>
  <c r="O27" i="9" s="1"/>
  <c r="N20" i="9"/>
  <c r="N27" i="9" s="1"/>
  <c r="M20" i="9"/>
  <c r="L20" i="9"/>
  <c r="K20" i="9"/>
  <c r="J20" i="9"/>
  <c r="I20" i="9"/>
  <c r="I27" i="9" s="1"/>
  <c r="H20" i="9"/>
  <c r="G20" i="9"/>
  <c r="G27" i="9" s="1"/>
  <c r="G29" i="9" s="1"/>
  <c r="F20" i="9"/>
  <c r="E20" i="9"/>
  <c r="E27" i="9" s="1"/>
  <c r="D20" i="9"/>
  <c r="D27" i="9" s="1"/>
  <c r="P10" i="9"/>
  <c r="P29" i="9" s="1"/>
  <c r="P41" i="9" s="1"/>
  <c r="O10" i="9"/>
  <c r="O29" i="9" s="1"/>
  <c r="O41" i="9" s="1"/>
  <c r="N10" i="9"/>
  <c r="N29" i="9" s="1"/>
  <c r="N41" i="9" s="1"/>
  <c r="M10" i="9"/>
  <c r="L10" i="9"/>
  <c r="K10" i="9"/>
  <c r="J10" i="9"/>
  <c r="I10" i="9"/>
  <c r="H10" i="9"/>
  <c r="H29" i="9" s="1"/>
  <c r="G10" i="9"/>
  <c r="F10" i="9"/>
  <c r="F29" i="9" s="1"/>
  <c r="F41" i="9" s="1"/>
  <c r="E10" i="9"/>
  <c r="D10" i="9"/>
  <c r="D29" i="9" s="1"/>
  <c r="D41" i="9" s="1"/>
  <c r="D46" i="9" s="1"/>
  <c r="E43" i="9" s="1"/>
  <c r="E2" i="9"/>
  <c r="D2" i="9"/>
  <c r="E1" i="9"/>
  <c r="F1" i="9" s="1"/>
  <c r="Y6" i="7"/>
  <c r="Y10" i="7" s="1"/>
  <c r="L6" i="7"/>
  <c r="L10" i="7" s="1"/>
  <c r="M30" i="8"/>
  <c r="L30" i="8"/>
  <c r="K30" i="8"/>
  <c r="J30" i="8"/>
  <c r="I30" i="8"/>
  <c r="T22" i="8"/>
  <c r="T23" i="8" s="1"/>
  <c r="T25" i="8" s="1"/>
  <c r="T21" i="8"/>
  <c r="P18" i="8"/>
  <c r="O18" i="8"/>
  <c r="N18" i="8"/>
  <c r="M18" i="8"/>
  <c r="L15" i="8"/>
  <c r="L14" i="8"/>
  <c r="J14" i="8"/>
  <c r="J15" i="8" s="1"/>
  <c r="T11" i="8"/>
  <c r="K5" i="8"/>
  <c r="J5" i="8"/>
  <c r="I5" i="8"/>
  <c r="H5" i="8"/>
  <c r="I4" i="8"/>
  <c r="I2" i="8" s="1"/>
  <c r="H4" i="8"/>
  <c r="H2" i="8" s="1"/>
  <c r="G4" i="8"/>
  <c r="G2" i="8" s="1"/>
  <c r="I3" i="8"/>
  <c r="H3" i="8"/>
  <c r="G3" i="8"/>
  <c r="AN36" i="7"/>
  <c r="AM36" i="7"/>
  <c r="AL36" i="7"/>
  <c r="AK36" i="7"/>
  <c r="AJ36" i="7"/>
  <c r="AI36" i="7"/>
  <c r="AH36" i="7"/>
  <c r="AG36" i="7"/>
  <c r="AF36" i="7"/>
  <c r="AE36" i="7"/>
  <c r="AD36" i="7"/>
  <c r="AC36" i="7"/>
  <c r="AB36" i="7"/>
  <c r="AA36" i="7"/>
  <c r="Z36" i="7"/>
  <c r="Y36" i="7"/>
  <c r="X36" i="7"/>
  <c r="W36" i="7"/>
  <c r="V36" i="7"/>
  <c r="U36" i="7"/>
  <c r="T36" i="7"/>
  <c r="S36" i="7"/>
  <c r="R36" i="7"/>
  <c r="P36" i="7"/>
  <c r="O36" i="7"/>
  <c r="N36" i="7"/>
  <c r="M36" i="7"/>
  <c r="L36" i="7"/>
  <c r="K36" i="7"/>
  <c r="J36" i="7"/>
  <c r="I36" i="7"/>
  <c r="H36" i="7"/>
  <c r="G36" i="7"/>
  <c r="F36" i="7"/>
  <c r="E36" i="7"/>
  <c r="D36" i="7"/>
  <c r="AN28" i="7"/>
  <c r="AM28" i="7"/>
  <c r="AL28" i="7"/>
  <c r="AK28" i="7"/>
  <c r="AJ28" i="7"/>
  <c r="AI28" i="7"/>
  <c r="AH28" i="7"/>
  <c r="AG28" i="7"/>
  <c r="AF28" i="7"/>
  <c r="AE28" i="7"/>
  <c r="AD28" i="7"/>
  <c r="AC28" i="7"/>
  <c r="AB28" i="7"/>
  <c r="AA28" i="7"/>
  <c r="Z28" i="7"/>
  <c r="Y28" i="7"/>
  <c r="X28" i="7"/>
  <c r="W28" i="7"/>
  <c r="V28" i="7"/>
  <c r="U28" i="7"/>
  <c r="T28" i="7"/>
  <c r="S28" i="7"/>
  <c r="R28" i="7"/>
  <c r="P28" i="7"/>
  <c r="O28" i="7"/>
  <c r="N28" i="7"/>
  <c r="M28" i="7"/>
  <c r="L28" i="7"/>
  <c r="K28" i="7"/>
  <c r="J28" i="7"/>
  <c r="I28" i="7"/>
  <c r="H28" i="7"/>
  <c r="G28" i="7"/>
  <c r="F28" i="7"/>
  <c r="E28" i="7"/>
  <c r="D28" i="7"/>
  <c r="AB10" i="7"/>
  <c r="D10" i="7"/>
  <c r="AB6" i="7"/>
  <c r="AA6" i="7"/>
  <c r="AA10" i="7" s="1"/>
  <c r="Z6" i="7"/>
  <c r="Z10" i="7" s="1"/>
  <c r="X6" i="7"/>
  <c r="X10" i="7" s="1"/>
  <c r="W6" i="7"/>
  <c r="W10" i="7" s="1"/>
  <c r="V6" i="7"/>
  <c r="V10" i="7" s="1"/>
  <c r="U6" i="7"/>
  <c r="U10" i="7" s="1"/>
  <c r="T6" i="7"/>
  <c r="T10" i="7" s="1"/>
  <c r="S6" i="7"/>
  <c r="S10" i="7" s="1"/>
  <c r="R6" i="7"/>
  <c r="R10" i="7" s="1"/>
  <c r="P6" i="7"/>
  <c r="P10" i="7" s="1"/>
  <c r="O6" i="7"/>
  <c r="O10" i="7" s="1"/>
  <c r="N6" i="7"/>
  <c r="N10" i="7" s="1"/>
  <c r="M6" i="7"/>
  <c r="M10" i="7" s="1"/>
  <c r="K6" i="7"/>
  <c r="K10" i="7" s="1"/>
  <c r="J6" i="7"/>
  <c r="J10" i="7" s="1"/>
  <c r="I6" i="7"/>
  <c r="I10" i="7" s="1"/>
  <c r="H6" i="7"/>
  <c r="H10" i="7" s="1"/>
  <c r="G6" i="7"/>
  <c r="G10" i="7" s="1"/>
  <c r="F6" i="7"/>
  <c r="F10" i="7" s="1"/>
  <c r="E6" i="7"/>
  <c r="E10" i="7" s="1"/>
  <c r="D6" i="7"/>
  <c r="D3" i="7"/>
  <c r="E3" i="7" s="1"/>
  <c r="F3" i="7" s="1"/>
  <c r="AN2" i="7"/>
  <c r="AM2" i="7"/>
  <c r="AL2" i="7"/>
  <c r="AK2" i="7"/>
  <c r="AJ2" i="7"/>
  <c r="AI2" i="7"/>
  <c r="AH2" i="7"/>
  <c r="AG2" i="7"/>
  <c r="AF2" i="7"/>
  <c r="AE2" i="7"/>
  <c r="AD2" i="7"/>
  <c r="AC2" i="7"/>
  <c r="AB2" i="7"/>
  <c r="AA2" i="7"/>
  <c r="Z2" i="7"/>
  <c r="Y2" i="7"/>
  <c r="X2" i="7"/>
  <c r="W2" i="7"/>
  <c r="V2" i="7"/>
  <c r="U2" i="7"/>
  <c r="T2" i="7"/>
  <c r="S2" i="7"/>
  <c r="R2" i="7"/>
  <c r="E2" i="7"/>
  <c r="D2" i="7"/>
  <c r="G1" i="7"/>
  <c r="F1" i="7"/>
  <c r="F2" i="7" s="1"/>
  <c r="E1" i="7"/>
  <c r="D51" i="6"/>
  <c r="G45" i="6"/>
  <c r="F45" i="6"/>
  <c r="F48" i="6" s="1"/>
  <c r="F49" i="6" s="1"/>
  <c r="E45" i="6"/>
  <c r="E48" i="6" s="1"/>
  <c r="D45" i="6"/>
  <c r="C45" i="6"/>
  <c r="G36" i="6"/>
  <c r="F36" i="6"/>
  <c r="E36" i="6"/>
  <c r="D36" i="6"/>
  <c r="D48" i="6" s="1"/>
  <c r="C36" i="6"/>
  <c r="I36" i="6" s="1"/>
  <c r="G27" i="6"/>
  <c r="I27" i="6" s="1"/>
  <c r="F27" i="6"/>
  <c r="E27" i="6"/>
  <c r="D27" i="6"/>
  <c r="C27" i="6"/>
  <c r="G18" i="6"/>
  <c r="F18" i="6"/>
  <c r="E18" i="6"/>
  <c r="D18" i="6"/>
  <c r="C18" i="6"/>
  <c r="I18" i="6" s="1"/>
  <c r="G9" i="6"/>
  <c r="F9" i="6"/>
  <c r="E9" i="6"/>
  <c r="D9" i="6"/>
  <c r="C9" i="6"/>
  <c r="G86" i="5"/>
  <c r="R41" i="5"/>
  <c r="M41" i="5"/>
  <c r="AD94" i="5"/>
  <c r="Z94" i="5"/>
  <c r="V94" i="5"/>
  <c r="CV9" i="5"/>
  <c r="CU9" i="5"/>
  <c r="CT9" i="5"/>
  <c r="CS9" i="5"/>
  <c r="CR9" i="5"/>
  <c r="CQ9" i="5"/>
  <c r="CP9" i="5"/>
  <c r="CO9" i="5"/>
  <c r="CN9" i="5"/>
  <c r="CM9" i="5"/>
  <c r="CL9" i="5"/>
  <c r="CK9" i="5"/>
  <c r="CJ9" i="5"/>
  <c r="CI9" i="5"/>
  <c r="CH9" i="5"/>
  <c r="CG9" i="5"/>
  <c r="CF9" i="5"/>
  <c r="CE9" i="5"/>
  <c r="CD9" i="5"/>
  <c r="CC9" i="5"/>
  <c r="CB9" i="5"/>
  <c r="CA9" i="5"/>
  <c r="BZ9" i="5"/>
  <c r="BY9" i="5"/>
  <c r="BX9" i="5"/>
  <c r="BW9" i="5"/>
  <c r="BV9" i="5"/>
  <c r="BU9" i="5"/>
  <c r="BT9" i="5"/>
  <c r="BS9" i="5"/>
  <c r="BR9" i="5"/>
  <c r="BQ9" i="5"/>
  <c r="BP9" i="5"/>
  <c r="BO9" i="5"/>
  <c r="BN9" i="5"/>
  <c r="BM9" i="5"/>
  <c r="BL9" i="5"/>
  <c r="BK9" i="5"/>
  <c r="BJ9" i="5"/>
  <c r="BI9" i="5"/>
  <c r="BH9" i="5"/>
  <c r="BG9" i="5"/>
  <c r="BF9" i="5"/>
  <c r="BE9" i="5"/>
  <c r="BD9" i="5"/>
  <c r="BC9" i="5"/>
  <c r="BB9" i="5"/>
  <c r="BA9" i="5"/>
  <c r="AZ9" i="5"/>
  <c r="AY9" i="5"/>
  <c r="AX9" i="5"/>
  <c r="AW9" i="5"/>
  <c r="AV9" i="5"/>
  <c r="AU9" i="5"/>
  <c r="AT9" i="5"/>
  <c r="AS9" i="5"/>
  <c r="AR9" i="5"/>
  <c r="AQ9" i="5"/>
  <c r="AP9" i="5"/>
  <c r="AO9" i="5"/>
  <c r="AN9" i="5"/>
  <c r="AM9" i="5"/>
  <c r="AL9" i="5"/>
  <c r="AK9" i="5"/>
  <c r="AI9" i="5"/>
  <c r="AH9" i="5"/>
  <c r="AG9" i="5"/>
  <c r="AF9" i="5"/>
  <c r="AE9" i="5"/>
  <c r="AD9" i="5"/>
  <c r="AC9" i="5"/>
  <c r="AB9" i="5"/>
  <c r="AA9" i="5"/>
  <c r="Z9" i="5"/>
  <c r="Y9" i="5"/>
  <c r="X9" i="5"/>
  <c r="W9" i="5"/>
  <c r="V9" i="5"/>
  <c r="U9" i="5"/>
  <c r="T9" i="5"/>
  <c r="S9" i="5"/>
  <c r="R9" i="5"/>
  <c r="Q9" i="5"/>
  <c r="P9" i="5"/>
  <c r="O9" i="5"/>
  <c r="M9" i="5"/>
  <c r="L9" i="5"/>
  <c r="K9" i="5"/>
  <c r="J9" i="5"/>
  <c r="I9" i="5"/>
  <c r="H9" i="5"/>
  <c r="G9" i="5"/>
  <c r="H8" i="5"/>
  <c r="G7" i="5"/>
  <c r="G6" i="5"/>
  <c r="P4" i="5"/>
  <c r="T4" i="5" s="1"/>
  <c r="X4" i="5" s="1"/>
  <c r="AB4" i="5" s="1"/>
  <c r="AF4" i="5" s="1"/>
  <c r="AJ4" i="5" s="1"/>
  <c r="AN4" i="5" s="1"/>
  <c r="AR4" i="5" s="1"/>
  <c r="AV4" i="5" s="1"/>
  <c r="AZ4" i="5" s="1"/>
  <c r="BD4" i="5" s="1"/>
  <c r="BH4" i="5" s="1"/>
  <c r="BL4" i="5" s="1"/>
  <c r="BP4" i="5" s="1"/>
  <c r="BT4" i="5" s="1"/>
  <c r="BX4" i="5" s="1"/>
  <c r="CB4" i="5" s="1"/>
  <c r="CF4" i="5" s="1"/>
  <c r="CJ4" i="5" s="1"/>
  <c r="CN4" i="5" s="1"/>
  <c r="CR4" i="5" s="1"/>
  <c r="CV4" i="5" s="1"/>
  <c r="O4" i="5"/>
  <c r="S4" i="5" s="1"/>
  <c r="W4" i="5" s="1"/>
  <c r="AA4" i="5" s="1"/>
  <c r="AE4" i="5" s="1"/>
  <c r="AI4" i="5" s="1"/>
  <c r="AM4" i="5" s="1"/>
  <c r="AQ4" i="5" s="1"/>
  <c r="AU4" i="5" s="1"/>
  <c r="AY4" i="5" s="1"/>
  <c r="BC4" i="5" s="1"/>
  <c r="BG4" i="5" s="1"/>
  <c r="BK4" i="5" s="1"/>
  <c r="BO4" i="5" s="1"/>
  <c r="BS4" i="5" s="1"/>
  <c r="BW4" i="5" s="1"/>
  <c r="CA4" i="5" s="1"/>
  <c r="CE4" i="5" s="1"/>
  <c r="CI4" i="5" s="1"/>
  <c r="CM4" i="5" s="1"/>
  <c r="CQ4" i="5" s="1"/>
  <c r="CU4" i="5" s="1"/>
  <c r="M4" i="5"/>
  <c r="R4" i="5" s="1"/>
  <c r="V4" i="5" s="1"/>
  <c r="Z4" i="5" s="1"/>
  <c r="AD4" i="5" s="1"/>
  <c r="AH4" i="5" s="1"/>
  <c r="AL4" i="5" s="1"/>
  <c r="AP4" i="5" s="1"/>
  <c r="AT4" i="5" s="1"/>
  <c r="AX4" i="5" s="1"/>
  <c r="BB4" i="5" s="1"/>
  <c r="BF4" i="5" s="1"/>
  <c r="BJ4" i="5" s="1"/>
  <c r="BN4" i="5" s="1"/>
  <c r="BR4" i="5" s="1"/>
  <c r="BV4" i="5" s="1"/>
  <c r="BZ4" i="5" s="1"/>
  <c r="CD4" i="5" s="1"/>
  <c r="CH4" i="5" s="1"/>
  <c r="CL4" i="5" s="1"/>
  <c r="CP4" i="5" s="1"/>
  <c r="CT4" i="5" s="1"/>
  <c r="L4" i="5"/>
  <c r="Q4" i="5" s="1"/>
  <c r="U4" i="5" s="1"/>
  <c r="Y4" i="5" s="1"/>
  <c r="AC4" i="5" s="1"/>
  <c r="AG4" i="5" s="1"/>
  <c r="AK4" i="5" s="1"/>
  <c r="AO4" i="5" s="1"/>
  <c r="AS4" i="5" s="1"/>
  <c r="AW4" i="5" s="1"/>
  <c r="BA4" i="5" s="1"/>
  <c r="BE4" i="5" s="1"/>
  <c r="BI4" i="5" s="1"/>
  <c r="BM4" i="5" s="1"/>
  <c r="BQ4" i="5" s="1"/>
  <c r="BU4" i="5" s="1"/>
  <c r="BY4" i="5" s="1"/>
  <c r="CC4" i="5" s="1"/>
  <c r="CG4" i="5" s="1"/>
  <c r="CK4" i="5" s="1"/>
  <c r="CO4" i="5" s="1"/>
  <c r="CS4" i="5" s="1"/>
  <c r="N55" i="4"/>
  <c r="M55" i="4"/>
  <c r="L55" i="4"/>
  <c r="K55" i="4"/>
  <c r="J55" i="4"/>
  <c r="I55" i="4"/>
  <c r="H55" i="4"/>
  <c r="G55" i="4"/>
  <c r="F55" i="4"/>
  <c r="E55" i="4"/>
  <c r="D55" i="4"/>
  <c r="C55" i="4"/>
  <c r="N47" i="4"/>
  <c r="M47" i="4"/>
  <c r="L47" i="4"/>
  <c r="K47" i="4"/>
  <c r="J47" i="4"/>
  <c r="I47" i="4"/>
  <c r="H47" i="4"/>
  <c r="G47" i="4"/>
  <c r="F47" i="4"/>
  <c r="E47" i="4"/>
  <c r="D47" i="4"/>
  <c r="C47" i="4"/>
  <c r="N44" i="4"/>
  <c r="M44" i="4"/>
  <c r="L44" i="4"/>
  <c r="K44" i="4"/>
  <c r="J44" i="4"/>
  <c r="I44" i="4"/>
  <c r="H44" i="4"/>
  <c r="G44" i="4"/>
  <c r="F44" i="4"/>
  <c r="E44" i="4"/>
  <c r="D44" i="4"/>
  <c r="C44" i="4"/>
  <c r="N41" i="4"/>
  <c r="M41" i="4"/>
  <c r="L41" i="4"/>
  <c r="K41" i="4"/>
  <c r="J41" i="4"/>
  <c r="I41" i="4"/>
  <c r="H41" i="4"/>
  <c r="G41" i="4"/>
  <c r="F41" i="4"/>
  <c r="E41" i="4"/>
  <c r="D41" i="4"/>
  <c r="C41" i="4"/>
  <c r="N40" i="4"/>
  <c r="M40" i="4"/>
  <c r="L40" i="4"/>
  <c r="K40" i="4"/>
  <c r="J40" i="4"/>
  <c r="I40" i="4"/>
  <c r="H40" i="4"/>
  <c r="G40" i="4"/>
  <c r="F40" i="4"/>
  <c r="E40" i="4"/>
  <c r="D40" i="4"/>
  <c r="C40" i="4"/>
  <c r="C32" i="4"/>
  <c r="D32" i="4" s="1"/>
  <c r="E32" i="4" s="1"/>
  <c r="F32" i="4" s="1"/>
  <c r="G32" i="4" s="1"/>
  <c r="H32" i="4" s="1"/>
  <c r="I32" i="4" s="1"/>
  <c r="J32" i="4" s="1"/>
  <c r="K32" i="4" s="1"/>
  <c r="L32" i="4" s="1"/>
  <c r="M32" i="4" s="1"/>
  <c r="N32" i="4" s="1"/>
  <c r="O32" i="4" s="1"/>
  <c r="C31" i="4"/>
  <c r="D30" i="4"/>
  <c r="AN36" i="3"/>
  <c r="AM36" i="3"/>
  <c r="AL36" i="3"/>
  <c r="AK36" i="3"/>
  <c r="AJ36" i="3"/>
  <c r="AI36" i="3"/>
  <c r="AH36" i="3"/>
  <c r="AG36" i="3"/>
  <c r="AF36" i="3"/>
  <c r="AE36" i="3"/>
  <c r="AD36" i="3"/>
  <c r="AC36" i="3"/>
  <c r="AB36" i="3"/>
  <c r="Y36" i="3"/>
  <c r="X36" i="3"/>
  <c r="W36" i="3"/>
  <c r="V36" i="3"/>
  <c r="R36" i="3"/>
  <c r="I36" i="3"/>
  <c r="G36" i="3"/>
  <c r="F36" i="3"/>
  <c r="F52" i="3" s="1"/>
  <c r="D36" i="3"/>
  <c r="AN28" i="3"/>
  <c r="AM28" i="3"/>
  <c r="AL28" i="3"/>
  <c r="AK28" i="3"/>
  <c r="AJ28" i="3"/>
  <c r="AI28" i="3"/>
  <c r="AH28" i="3"/>
  <c r="AG28" i="3"/>
  <c r="AF28" i="3"/>
  <c r="AE28" i="3"/>
  <c r="AD28" i="3"/>
  <c r="AC28" i="3"/>
  <c r="AB28" i="3"/>
  <c r="AA28" i="3"/>
  <c r="Z28" i="3"/>
  <c r="Y28" i="3"/>
  <c r="X28" i="3"/>
  <c r="W28" i="3"/>
  <c r="V28" i="3"/>
  <c r="U28" i="3"/>
  <c r="T28" i="3"/>
  <c r="S28" i="3"/>
  <c r="R28" i="3"/>
  <c r="P28" i="3"/>
  <c r="O28" i="3"/>
  <c r="N28" i="3"/>
  <c r="M28" i="3"/>
  <c r="L28" i="3"/>
  <c r="K28" i="3"/>
  <c r="J28" i="3"/>
  <c r="I28" i="3"/>
  <c r="H28" i="3"/>
  <c r="G28" i="3"/>
  <c r="F28" i="3"/>
  <c r="E28" i="3"/>
  <c r="D28" i="3"/>
  <c r="AN10" i="3"/>
  <c r="L112" i="5" s="1"/>
  <c r="X10" i="3"/>
  <c r="R10" i="3"/>
  <c r="M10" i="3"/>
  <c r="L10" i="3"/>
  <c r="K10" i="3"/>
  <c r="J10" i="3"/>
  <c r="D10" i="3"/>
  <c r="D3" i="3"/>
  <c r="R2" i="3"/>
  <c r="D2" i="3"/>
  <c r="E2" i="3"/>
  <c r="G5" i="5" l="1"/>
  <c r="L111" i="5"/>
  <c r="G52" i="3"/>
  <c r="H52" i="3" s="1"/>
  <c r="I52" i="3" s="1"/>
  <c r="J52" i="3" s="1"/>
  <c r="K52" i="3" s="1"/>
  <c r="L52" i="3" s="1"/>
  <c r="M52" i="3" s="1"/>
  <c r="N52" i="3" s="1"/>
  <c r="O52" i="3" s="1"/>
  <c r="P52" i="3" s="1"/>
  <c r="R52" i="3" s="1"/>
  <c r="L115" i="5"/>
  <c r="F64" i="3"/>
  <c r="AH1" i="3"/>
  <c r="AF2" i="3"/>
  <c r="F2" i="3"/>
  <c r="E3" i="3"/>
  <c r="F3" i="3" s="1"/>
  <c r="H71" i="5" a="1"/>
  <c r="H71" i="5" s="1"/>
  <c r="D31" i="4"/>
  <c r="E30" i="4"/>
  <c r="H86" i="5"/>
  <c r="H6" i="5"/>
  <c r="H7" i="5"/>
  <c r="I8" i="5"/>
  <c r="G3" i="7"/>
  <c r="G48" i="6"/>
  <c r="G49" i="6" s="1"/>
  <c r="I45" i="6"/>
  <c r="G2" i="7"/>
  <c r="H1" i="7"/>
  <c r="C48" i="6"/>
  <c r="F2" i="9"/>
  <c r="G1" i="9"/>
  <c r="J3" i="8"/>
  <c r="J4" i="8"/>
  <c r="J2" i="8" s="1"/>
  <c r="K3" i="8"/>
  <c r="K4" i="8"/>
  <c r="K2" i="8" s="1"/>
  <c r="M29" i="9"/>
  <c r="M41" i="9" s="1"/>
  <c r="L5" i="8"/>
  <c r="E29" i="9"/>
  <c r="E41" i="9" s="1"/>
  <c r="E46" i="9" s="1"/>
  <c r="P33" i="13"/>
  <c r="G19" i="13"/>
  <c r="F7" i="11"/>
  <c r="F6" i="11"/>
  <c r="AB33" i="13"/>
  <c r="I2" i="13"/>
  <c r="E5" i="11"/>
  <c r="G16" i="13"/>
  <c r="F65" i="3" l="1"/>
  <c r="G57" i="3" s="1"/>
  <c r="AI1" i="3"/>
  <c r="AH2" i="3" s="1"/>
  <c r="AG2" i="3"/>
  <c r="AI94" i="5"/>
  <c r="H89" i="5"/>
  <c r="F43" i="9"/>
  <c r="F46" i="9" s="1"/>
  <c r="C34" i="4"/>
  <c r="H5" i="5"/>
  <c r="H2" i="7"/>
  <c r="I1" i="7"/>
  <c r="H3" i="7"/>
  <c r="G7" i="11"/>
  <c r="G6" i="11"/>
  <c r="L3" i="8"/>
  <c r="L4" i="8"/>
  <c r="L2" i="8" s="1"/>
  <c r="M5" i="8"/>
  <c r="F30" i="4"/>
  <c r="E31" i="4"/>
  <c r="G2" i="9"/>
  <c r="H1" i="9"/>
  <c r="J2" i="13"/>
  <c r="F5" i="11"/>
  <c r="G3" i="3"/>
  <c r="I86" i="5"/>
  <c r="I7" i="5"/>
  <c r="J8" i="5"/>
  <c r="I6" i="5"/>
  <c r="I48" i="6"/>
  <c r="Q94" i="5"/>
  <c r="G2" i="3"/>
  <c r="AJ1" i="3" l="1"/>
  <c r="K2" i="13"/>
  <c r="I5" i="5"/>
  <c r="I2" i="7"/>
  <c r="J1" i="7"/>
  <c r="F31" i="4"/>
  <c r="G30" i="4"/>
  <c r="M4" i="8"/>
  <c r="M2" i="8" s="1"/>
  <c r="N5" i="8"/>
  <c r="M3" i="8"/>
  <c r="G5" i="11"/>
  <c r="H2" i="3"/>
  <c r="H6" i="11"/>
  <c r="H7" i="11"/>
  <c r="I3" i="7"/>
  <c r="J86" i="5"/>
  <c r="J71" i="5" a="1"/>
  <c r="J71" i="5" s="1"/>
  <c r="J7" i="5"/>
  <c r="K8" i="5"/>
  <c r="J6" i="5"/>
  <c r="H2" i="9"/>
  <c r="I1" i="9"/>
  <c r="H3" i="3"/>
  <c r="G43" i="9"/>
  <c r="G46" i="9" s="1"/>
  <c r="D34" i="4"/>
  <c r="AK1" i="3" l="1"/>
  <c r="AI2" i="3"/>
  <c r="I2" i="9"/>
  <c r="J1" i="9"/>
  <c r="I3" i="3"/>
  <c r="N4" i="8"/>
  <c r="N2" i="8" s="1"/>
  <c r="O5" i="8"/>
  <c r="N3" i="8"/>
  <c r="J5" i="5"/>
  <c r="J3" i="7"/>
  <c r="I2" i="3"/>
  <c r="G31" i="4"/>
  <c r="H30" i="4"/>
  <c r="H43" i="9"/>
  <c r="H46" i="9" s="1"/>
  <c r="E34" i="4"/>
  <c r="K86" i="5"/>
  <c r="K7" i="5"/>
  <c r="L8" i="5"/>
  <c r="K6" i="5"/>
  <c r="I6" i="11"/>
  <c r="I7" i="11"/>
  <c r="L2" i="13"/>
  <c r="J2" i="7"/>
  <c r="K1" i="7"/>
  <c r="H5" i="11"/>
  <c r="AL1" i="3" l="1"/>
  <c r="AJ2" i="3"/>
  <c r="I5" i="11"/>
  <c r="K3" i="7"/>
  <c r="K2" i="7"/>
  <c r="L1" i="7"/>
  <c r="H31" i="4"/>
  <c r="I30" i="4"/>
  <c r="L86" i="5"/>
  <c r="L71" i="5" a="1"/>
  <c r="L71" i="5" s="1"/>
  <c r="M8" i="5"/>
  <c r="L7" i="5"/>
  <c r="L6" i="5"/>
  <c r="J6" i="11"/>
  <c r="J7" i="11"/>
  <c r="J2" i="9"/>
  <c r="K1" i="9"/>
  <c r="J3" i="3"/>
  <c r="O4" i="8"/>
  <c r="O2" i="8" s="1"/>
  <c r="P5" i="8"/>
  <c r="O3" i="8"/>
  <c r="K5" i="5"/>
  <c r="J2" i="3"/>
  <c r="M2" i="13"/>
  <c r="I43" i="9"/>
  <c r="I46" i="9" s="1"/>
  <c r="F34" i="4"/>
  <c r="AM1" i="3" l="1"/>
  <c r="AK2" i="3"/>
  <c r="J5" i="11"/>
  <c r="K2" i="3"/>
  <c r="K3" i="3"/>
  <c r="M86" i="5"/>
  <c r="O8" i="5"/>
  <c r="M7" i="5"/>
  <c r="M6" i="5"/>
  <c r="Q5" i="8"/>
  <c r="P4" i="8"/>
  <c r="P2" i="8" s="1"/>
  <c r="P3" i="8"/>
  <c r="K6" i="11"/>
  <c r="K7" i="11"/>
  <c r="L3" i="7"/>
  <c r="J43" i="9"/>
  <c r="J46" i="9" s="1"/>
  <c r="G34" i="4"/>
  <c r="J30" i="4"/>
  <c r="I31" i="4"/>
  <c r="K2" i="9"/>
  <c r="L1" i="9"/>
  <c r="L2" i="7"/>
  <c r="M1" i="7"/>
  <c r="N2" i="13"/>
  <c r="L5" i="5"/>
  <c r="AN1" i="3" l="1"/>
  <c r="AM2" i="3" s="1"/>
  <c r="AL2" i="3"/>
  <c r="O3" i="5"/>
  <c r="K30" i="4"/>
  <c r="J31" i="4"/>
  <c r="M5" i="5"/>
  <c r="M2" i="7"/>
  <c r="N1" i="7"/>
  <c r="L3" i="3"/>
  <c r="O86" i="5"/>
  <c r="P8" i="5"/>
  <c r="O71" i="5" a="1"/>
  <c r="O71" i="5" s="1"/>
  <c r="O6" i="5"/>
  <c r="O7" i="5"/>
  <c r="K5" i="11"/>
  <c r="O2" i="13"/>
  <c r="L2" i="9"/>
  <c r="M1" i="9"/>
  <c r="K43" i="9"/>
  <c r="K46" i="9" s="1"/>
  <c r="H34" i="4"/>
  <c r="L6" i="11"/>
  <c r="L7" i="11"/>
  <c r="M3" i="7"/>
  <c r="R5" i="8"/>
  <c r="Q4" i="8"/>
  <c r="Q2" i="8" s="1"/>
  <c r="Q3" i="8"/>
  <c r="L2" i="3"/>
  <c r="P3" i="5" l="1"/>
  <c r="P86" i="5"/>
  <c r="P6" i="5"/>
  <c r="Q8" i="5"/>
  <c r="P7" i="5"/>
  <c r="M2" i="3"/>
  <c r="L5" i="11"/>
  <c r="M7" i="11"/>
  <c r="M6" i="11"/>
  <c r="N2" i="7"/>
  <c r="O1" i="7"/>
  <c r="O5" i="5"/>
  <c r="L43" i="9"/>
  <c r="L46" i="9" s="1"/>
  <c r="I34" i="4"/>
  <c r="M2" i="9"/>
  <c r="N1" i="9"/>
  <c r="S5" i="8"/>
  <c r="R4" i="8"/>
  <c r="R2" i="8" s="1"/>
  <c r="R3" i="8"/>
  <c r="M3" i="3"/>
  <c r="N3" i="7"/>
  <c r="P2" i="13"/>
  <c r="K31" i="4"/>
  <c r="L30" i="4"/>
  <c r="Q3" i="5" l="1"/>
  <c r="O1" i="9"/>
  <c r="N2" i="9"/>
  <c r="Q2" i="13"/>
  <c r="N2" i="3"/>
  <c r="M43" i="9"/>
  <c r="M46" i="9" s="1"/>
  <c r="J34" i="4"/>
  <c r="N7" i="11"/>
  <c r="N6" i="11"/>
  <c r="P5" i="5"/>
  <c r="L31" i="4"/>
  <c r="M30" i="4"/>
  <c r="O3" i="7"/>
  <c r="O2" i="7"/>
  <c r="P1" i="7"/>
  <c r="P2" i="7" s="1"/>
  <c r="N3" i="3"/>
  <c r="Q86" i="5"/>
  <c r="Q71" i="5" a="1"/>
  <c r="Q71" i="5" s="1"/>
  <c r="Q6" i="5"/>
  <c r="R8" i="5"/>
  <c r="Q7" i="5"/>
  <c r="S3" i="8"/>
  <c r="T5" i="8"/>
  <c r="S4" i="8"/>
  <c r="S2" i="8" s="1"/>
  <c r="M5" i="11"/>
  <c r="R3" i="5" l="1"/>
  <c r="M31" i="4"/>
  <c r="N30" i="4"/>
  <c r="P1" i="9"/>
  <c r="P2" i="9" s="1"/>
  <c r="O2" i="9"/>
  <c r="N43" i="9"/>
  <c r="N46" i="9" s="1"/>
  <c r="K34" i="4"/>
  <c r="T3" i="8"/>
  <c r="U5" i="8"/>
  <c r="T4" i="8"/>
  <c r="T2" i="8" s="1"/>
  <c r="O3" i="3"/>
  <c r="O7" i="11"/>
  <c r="O6" i="11"/>
  <c r="R2" i="13"/>
  <c r="N5" i="11"/>
  <c r="O2" i="3"/>
  <c r="P2" i="3"/>
  <c r="Q5" i="5"/>
  <c r="P3" i="7"/>
  <c r="R86" i="5"/>
  <c r="R6" i="5"/>
  <c r="R7" i="5"/>
  <c r="S8" i="5"/>
  <c r="S3" i="5" l="1"/>
  <c r="O5" i="11"/>
  <c r="R3" i="7"/>
  <c r="P6" i="11"/>
  <c r="P7" i="11"/>
  <c r="P3" i="3"/>
  <c r="S86" i="5"/>
  <c r="S6" i="5"/>
  <c r="S7" i="5"/>
  <c r="T8" i="5"/>
  <c r="U3" i="8"/>
  <c r="V5" i="8"/>
  <c r="U4" i="8"/>
  <c r="U2" i="8" s="1"/>
  <c r="N31" i="4"/>
  <c r="O30" i="4"/>
  <c r="O31" i="4" s="1"/>
  <c r="R5" i="5"/>
  <c r="S2" i="13"/>
  <c r="O43" i="9"/>
  <c r="O46" i="9" s="1"/>
  <c r="L34" i="4"/>
  <c r="T3" i="5" l="1"/>
  <c r="P43" i="9"/>
  <c r="P46" i="9" s="1"/>
  <c r="N34" i="4" s="1"/>
  <c r="M34" i="4"/>
  <c r="Q7" i="11"/>
  <c r="Q6" i="11"/>
  <c r="V3" i="8"/>
  <c r="V4" i="8"/>
  <c r="V2" i="8" s="1"/>
  <c r="W5" i="8"/>
  <c r="P5" i="11"/>
  <c r="T86" i="5"/>
  <c r="T6" i="5"/>
  <c r="T7" i="5"/>
  <c r="U8" i="5"/>
  <c r="S5" i="5"/>
  <c r="S3" i="7"/>
  <c r="T2" i="13"/>
  <c r="R3" i="3"/>
  <c r="U3" i="5" l="1"/>
  <c r="R7" i="11"/>
  <c r="R6" i="11"/>
  <c r="W3" i="8"/>
  <c r="W4" i="8"/>
  <c r="W2" i="8" s="1"/>
  <c r="X5" i="8"/>
  <c r="Q5" i="11"/>
  <c r="U86" i="5"/>
  <c r="U6" i="5"/>
  <c r="U7" i="5"/>
  <c r="V8" i="5"/>
  <c r="S3" i="3"/>
  <c r="T3" i="7"/>
  <c r="T5" i="5"/>
  <c r="U2" i="13"/>
  <c r="V71" i="5" l="1"/>
  <c r="V3" i="5"/>
  <c r="V2" i="13"/>
  <c r="U3" i="7"/>
  <c r="R5" i="11"/>
  <c r="T3" i="3"/>
  <c r="X3" i="8"/>
  <c r="X4" i="8"/>
  <c r="X2" i="8" s="1"/>
  <c r="Y5" i="8"/>
  <c r="V86" i="5"/>
  <c r="V7" i="5"/>
  <c r="W8" i="5"/>
  <c r="V6" i="5"/>
  <c r="S7" i="11"/>
  <c r="S6" i="11"/>
  <c r="U5" i="5"/>
  <c r="W3" i="5" l="1"/>
  <c r="W2" i="13"/>
  <c r="T6" i="11"/>
  <c r="T7" i="11"/>
  <c r="S5" i="11"/>
  <c r="V5" i="5"/>
  <c r="V3" i="7"/>
  <c r="W86" i="5"/>
  <c r="W7" i="5"/>
  <c r="X8" i="5"/>
  <c r="W6" i="5"/>
  <c r="U3" i="3"/>
  <c r="Y4" i="8"/>
  <c r="Y2" i="8" s="1"/>
  <c r="Z5" i="8"/>
  <c r="Y3" i="8"/>
  <c r="X71" i="5" l="1"/>
  <c r="X3" i="5"/>
  <c r="Z4" i="8"/>
  <c r="Z2" i="8" s="1"/>
  <c r="AA5" i="8"/>
  <c r="Z3" i="8"/>
  <c r="V3" i="3"/>
  <c r="W3" i="7"/>
  <c r="T5" i="11"/>
  <c r="W5" i="5"/>
  <c r="U6" i="11"/>
  <c r="U7" i="11"/>
  <c r="X86" i="5"/>
  <c r="X7" i="5"/>
  <c r="Y8" i="5"/>
  <c r="X6" i="5"/>
  <c r="X2" i="13"/>
  <c r="Y3" i="5" l="1"/>
  <c r="U5" i="11"/>
  <c r="X3" i="7"/>
  <c r="X5" i="5"/>
  <c r="W3" i="3"/>
  <c r="Y2" i="13"/>
  <c r="AA4" i="8"/>
  <c r="AA2" i="8" s="1"/>
  <c r="AB5" i="8"/>
  <c r="AA3" i="8"/>
  <c r="V6" i="11"/>
  <c r="V7" i="11"/>
  <c r="Y86" i="5"/>
  <c r="Z8" i="5"/>
  <c r="Y7" i="5"/>
  <c r="Y6" i="5"/>
  <c r="Z71" i="5" l="1"/>
  <c r="Z3" i="5"/>
  <c r="Y5" i="5"/>
  <c r="AC5" i="8"/>
  <c r="AB4" i="8"/>
  <c r="AB2" i="8" s="1"/>
  <c r="AB3" i="8"/>
  <c r="X3" i="3"/>
  <c r="Z86" i="5"/>
  <c r="AA8" i="5"/>
  <c r="Z7" i="5"/>
  <c r="Z6" i="5"/>
  <c r="Y3" i="7"/>
  <c r="V5" i="11"/>
  <c r="W6" i="11"/>
  <c r="W7" i="11"/>
  <c r="Z2" i="13"/>
  <c r="AA3" i="5" l="1"/>
  <c r="AA86" i="5"/>
  <c r="AB8" i="5"/>
  <c r="AA6" i="5"/>
  <c r="AA7" i="5"/>
  <c r="Y3" i="3"/>
  <c r="AD5" i="8"/>
  <c r="AC4" i="8"/>
  <c r="AC2" i="8" s="1"/>
  <c r="AC3" i="8"/>
  <c r="X6" i="11"/>
  <c r="X7" i="11"/>
  <c r="W5" i="11"/>
  <c r="AA2" i="13"/>
  <c r="Z5" i="5"/>
  <c r="Z3" i="7"/>
  <c r="AB71" i="5" l="1"/>
  <c r="AB3" i="5"/>
  <c r="AE5" i="8"/>
  <c r="AD3" i="8"/>
  <c r="AD4" i="8"/>
  <c r="AD2" i="8" s="1"/>
  <c r="AB86" i="5"/>
  <c r="AB6" i="5"/>
  <c r="AC8" i="5"/>
  <c r="AB7" i="5"/>
  <c r="Z3" i="3"/>
  <c r="AA3" i="7"/>
  <c r="AB2" i="13"/>
  <c r="AA5" i="5"/>
  <c r="X5" i="11"/>
  <c r="Y6" i="11"/>
  <c r="Y7" i="11"/>
  <c r="AC3" i="5" l="1"/>
  <c r="Y5" i="11"/>
  <c r="AC86" i="5"/>
  <c r="AC6" i="5"/>
  <c r="AC7" i="5"/>
  <c r="AD8" i="5"/>
  <c r="Z6" i="11"/>
  <c r="Z7" i="11"/>
  <c r="AB3" i="7"/>
  <c r="AA3" i="3"/>
  <c r="AB5" i="5"/>
  <c r="AE3" i="8"/>
  <c r="AF5" i="8"/>
  <c r="AE4" i="8"/>
  <c r="AE2" i="8" s="1"/>
  <c r="AD71" i="5" l="1"/>
  <c r="AD3" i="5"/>
  <c r="AC5" i="5"/>
  <c r="AF3" i="8"/>
  <c r="AG5" i="8"/>
  <c r="AF4" i="8"/>
  <c r="AF2" i="8" s="1"/>
  <c r="AB3" i="3"/>
  <c r="AC3" i="7"/>
  <c r="AC6" i="7" s="1"/>
  <c r="AC10" i="7" s="1"/>
  <c r="Z5" i="11"/>
  <c r="AA7" i="11"/>
  <c r="AA6" i="11"/>
  <c r="AD86" i="5"/>
  <c r="AD6" i="5"/>
  <c r="AD7" i="5"/>
  <c r="AE8" i="5"/>
  <c r="AE3" i="5" l="1"/>
  <c r="AB6" i="11"/>
  <c r="AB7" i="11"/>
  <c r="AC3" i="3"/>
  <c r="AD3" i="7"/>
  <c r="AD6" i="7" s="1"/>
  <c r="AD10" i="7" s="1"/>
  <c r="AA5" i="11"/>
  <c r="AE86" i="5"/>
  <c r="AE6" i="5"/>
  <c r="AE7" i="5"/>
  <c r="AF8" i="5"/>
  <c r="AG3" i="8"/>
  <c r="AG4" i="8"/>
  <c r="AG2" i="8" s="1"/>
  <c r="AH5" i="8"/>
  <c r="AD5" i="5"/>
  <c r="AF3" i="5" l="1"/>
  <c r="AD3" i="3"/>
  <c r="AB5" i="11"/>
  <c r="AC7" i="11"/>
  <c r="AC6" i="11"/>
  <c r="AH3" i="8"/>
  <c r="AH4" i="8"/>
  <c r="AH2" i="8" s="1"/>
  <c r="AI5" i="8"/>
  <c r="AF86" i="5"/>
  <c r="AF6" i="5"/>
  <c r="AF7" i="5"/>
  <c r="AG8" i="5"/>
  <c r="AE3" i="7"/>
  <c r="AE6" i="7" s="1"/>
  <c r="AE10" i="7" s="1"/>
  <c r="AE5" i="5"/>
  <c r="AG3" i="5" l="1"/>
  <c r="AE3" i="3"/>
  <c r="AD7" i="11"/>
  <c r="AD6" i="11"/>
  <c r="AF3" i="7"/>
  <c r="AF6" i="7" s="1"/>
  <c r="AF10" i="7" s="1"/>
  <c r="AI3" i="8"/>
  <c r="AI4" i="8"/>
  <c r="AI2" i="8" s="1"/>
  <c r="AJ5" i="8"/>
  <c r="AC5" i="11"/>
  <c r="AG86" i="5"/>
  <c r="AG6" i="5"/>
  <c r="AG7" i="5"/>
  <c r="AH8" i="5"/>
  <c r="AF5" i="5"/>
  <c r="AH3" i="5" l="1"/>
  <c r="AD5" i="11"/>
  <c r="AG5" i="5"/>
  <c r="AJ3" i="8"/>
  <c r="AJ4" i="8"/>
  <c r="AJ2" i="8" s="1"/>
  <c r="AK5" i="8"/>
  <c r="AH86" i="5"/>
  <c r="AH7" i="5"/>
  <c r="AI8" i="5"/>
  <c r="AH6" i="5"/>
  <c r="AG3" i="7"/>
  <c r="AG6" i="7" s="1"/>
  <c r="AG10" i="7" s="1"/>
  <c r="AE7" i="11"/>
  <c r="AE6" i="11"/>
  <c r="AF3" i="3"/>
  <c r="AI3" i="5" l="1"/>
  <c r="AG3" i="3"/>
  <c r="AH3" i="3" s="1"/>
  <c r="AH3" i="7"/>
  <c r="AH6" i="7" s="1"/>
  <c r="AH10" i="7" s="1"/>
  <c r="AI86" i="5"/>
  <c r="AI7" i="5"/>
  <c r="AJ8" i="5"/>
  <c r="AI6" i="5"/>
  <c r="AF7" i="11"/>
  <c r="AF6" i="11"/>
  <c r="AE5" i="11"/>
  <c r="AH5" i="5"/>
  <c r="AK4" i="8"/>
  <c r="AK2" i="8" s="1"/>
  <c r="AL5" i="8"/>
  <c r="AK3" i="8"/>
  <c r="AJ3" i="5" l="1"/>
  <c r="AL4" i="8"/>
  <c r="AL2" i="8" s="1"/>
  <c r="AM5" i="8"/>
  <c r="AL3" i="8"/>
  <c r="AF5" i="11"/>
  <c r="AG6" i="11"/>
  <c r="AG7" i="11"/>
  <c r="AJ86" i="5"/>
  <c r="AJ7" i="5"/>
  <c r="AK8" i="5"/>
  <c r="AJ6" i="5"/>
  <c r="AI5" i="5"/>
  <c r="AI3" i="7"/>
  <c r="AI6" i="7" s="1"/>
  <c r="AI10" i="7" s="1"/>
  <c r="AJ94" i="5" l="1"/>
  <c r="AK3" i="5"/>
  <c r="AJ5" i="5"/>
  <c r="AI3" i="3"/>
  <c r="AG5" i="11"/>
  <c r="AK86" i="5"/>
  <c r="AL8" i="5"/>
  <c r="AK7" i="5"/>
  <c r="AK6" i="5"/>
  <c r="AH6" i="11"/>
  <c r="AH7" i="11"/>
  <c r="AM4" i="8"/>
  <c r="AM2" i="8" s="1"/>
  <c r="AN5" i="8"/>
  <c r="AM3" i="8"/>
  <c r="AJ3" i="7"/>
  <c r="AJ6" i="7" s="1"/>
  <c r="AJ10" i="7" s="1"/>
  <c r="AL3" i="5" l="1"/>
  <c r="AL86" i="5"/>
  <c r="AM8" i="5"/>
  <c r="AL7" i="5"/>
  <c r="AL6" i="5"/>
  <c r="AK3" i="7"/>
  <c r="AK6" i="7" s="1"/>
  <c r="AK10" i="7" s="1"/>
  <c r="AH5" i="11"/>
  <c r="AI6" i="11"/>
  <c r="AI7" i="11"/>
  <c r="AK5" i="5"/>
  <c r="AJ3" i="3"/>
  <c r="AO5" i="8"/>
  <c r="AN4" i="8"/>
  <c r="AN2" i="8" s="1"/>
  <c r="AN3" i="8"/>
  <c r="AM3" i="5" l="1"/>
  <c r="AL3" i="7"/>
  <c r="AL6" i="7" s="1"/>
  <c r="AL10" i="7" s="1"/>
  <c r="AI5" i="11"/>
  <c r="AJ6" i="11"/>
  <c r="AJ7" i="11"/>
  <c r="AM86" i="5"/>
  <c r="AN8" i="5"/>
  <c r="AM6" i="5"/>
  <c r="AM7" i="5"/>
  <c r="AP5" i="8"/>
  <c r="AO4" i="8"/>
  <c r="AO2" i="8" s="1"/>
  <c r="AO3" i="8"/>
  <c r="AK3" i="3"/>
  <c r="AL5" i="5"/>
  <c r="AN3" i="5" l="1"/>
  <c r="AM3" i="7"/>
  <c r="AM6" i="7" s="1"/>
  <c r="AM10" i="7" s="1"/>
  <c r="AM5" i="5"/>
  <c r="AL3" i="3"/>
  <c r="AK6" i="11"/>
  <c r="AK7" i="11"/>
  <c r="AJ5" i="11"/>
  <c r="AQ5" i="8"/>
  <c r="AP4" i="8"/>
  <c r="AP2" i="8" s="1"/>
  <c r="AP3" i="8"/>
  <c r="AN86" i="5"/>
  <c r="AN6" i="5"/>
  <c r="AO8" i="5"/>
  <c r="AN7" i="5"/>
  <c r="AO3" i="5" l="1"/>
  <c r="AN5" i="5"/>
  <c r="AN3" i="7"/>
  <c r="AN6" i="7" s="1"/>
  <c r="AN10" i="7" s="1"/>
  <c r="AQ3" i="8"/>
  <c r="AR5" i="8"/>
  <c r="AQ4" i="8"/>
  <c r="AQ2" i="8" s="1"/>
  <c r="AO86" i="5"/>
  <c r="AO6" i="5"/>
  <c r="AP8" i="5"/>
  <c r="AO7" i="5"/>
  <c r="AK5" i="11"/>
  <c r="AL6" i="11"/>
  <c r="AL7" i="11"/>
  <c r="AM3" i="3"/>
  <c r="AP3" i="5" l="1"/>
  <c r="AO5" i="5"/>
  <c r="AP86" i="5"/>
  <c r="AP6" i="5"/>
  <c r="AP7" i="5"/>
  <c r="AQ8" i="5"/>
  <c r="AL5" i="11"/>
  <c r="AR3" i="8"/>
  <c r="AS5" i="8"/>
  <c r="AR4" i="8"/>
  <c r="AR2" i="8" s="1"/>
  <c r="AM7" i="11"/>
  <c r="AM6" i="11"/>
  <c r="AN3" i="3"/>
  <c r="AQ3" i="5" l="1"/>
  <c r="AQ86" i="5"/>
  <c r="F20" i="3" s="1"/>
  <c r="AQ6" i="5"/>
  <c r="AQ7" i="5"/>
  <c r="AR8" i="5"/>
  <c r="AN6" i="11"/>
  <c r="AN7" i="11"/>
  <c r="AM5" i="11"/>
  <c r="AS3" i="8"/>
  <c r="AS4" i="8"/>
  <c r="AS2" i="8" s="1"/>
  <c r="AT5" i="8"/>
  <c r="AP5" i="5"/>
  <c r="AR3" i="5" l="1"/>
  <c r="AN5" i="11"/>
  <c r="AR86" i="5"/>
  <c r="AR6" i="5"/>
  <c r="AR7" i="5"/>
  <c r="AS8" i="5"/>
  <c r="AT3" i="8"/>
  <c r="AT4" i="8"/>
  <c r="AT2" i="8" s="1"/>
  <c r="AU5" i="8"/>
  <c r="AO7" i="11"/>
  <c r="AO6" i="11"/>
  <c r="AQ5" i="5"/>
  <c r="AS3" i="5" l="1"/>
  <c r="AU3" i="8"/>
  <c r="AU4" i="8"/>
  <c r="AU2" i="8" s="1"/>
  <c r="AV5" i="8"/>
  <c r="AR5" i="5"/>
  <c r="AP7" i="11"/>
  <c r="AP6" i="11"/>
  <c r="AO5" i="11"/>
  <c r="AS86" i="5"/>
  <c r="H19" i="3" s="1"/>
  <c r="AS6" i="5"/>
  <c r="AS7" i="5"/>
  <c r="AT8" i="5"/>
  <c r="AT3" i="5" l="1"/>
  <c r="AP5" i="11"/>
  <c r="AT86" i="5"/>
  <c r="AT7" i="5"/>
  <c r="AU8" i="5"/>
  <c r="AT6" i="5"/>
  <c r="AS5" i="5"/>
  <c r="AV3" i="8"/>
  <c r="AV4" i="8"/>
  <c r="AV2" i="8" s="1"/>
  <c r="AW5" i="8"/>
  <c r="AQ7" i="11"/>
  <c r="AQ6" i="11"/>
  <c r="AU3" i="5" l="1"/>
  <c r="AT5" i="5"/>
  <c r="AR7" i="11"/>
  <c r="AR6" i="11"/>
  <c r="AQ5" i="11"/>
  <c r="AW4" i="8"/>
  <c r="AW2" i="8" s="1"/>
  <c r="AX5" i="8"/>
  <c r="AW3" i="8"/>
  <c r="AU86" i="5"/>
  <c r="AU7" i="5"/>
  <c r="AV8" i="5"/>
  <c r="AU6" i="5"/>
  <c r="N45" i="5" l="1"/>
  <c r="N53" i="5"/>
  <c r="N37" i="5"/>
  <c r="N44" i="5"/>
  <c r="N43" i="5"/>
  <c r="N35" i="5"/>
  <c r="N36" i="5"/>
  <c r="N67" i="5"/>
  <c r="N69" i="5"/>
  <c r="N74" i="5"/>
  <c r="N77" i="5"/>
  <c r="N58" i="5"/>
  <c r="N57" i="5"/>
  <c r="N65" i="5"/>
  <c r="N76" i="5"/>
  <c r="N24" i="5"/>
  <c r="N63" i="5"/>
  <c r="N66" i="5"/>
  <c r="N64" i="5"/>
  <c r="N16" i="5"/>
  <c r="N62" i="5"/>
  <c r="N18" i="5"/>
  <c r="N29" i="5"/>
  <c r="N79" i="5"/>
  <c r="N72" i="5"/>
  <c r="N59" i="5"/>
  <c r="N60" i="5"/>
  <c r="N11" i="5"/>
  <c r="N33" i="5"/>
  <c r="N31" i="5"/>
  <c r="N56" i="5"/>
  <c r="N15" i="5"/>
  <c r="N27" i="5"/>
  <c r="N20" i="5"/>
  <c r="N52" i="5"/>
  <c r="N30" i="5"/>
  <c r="N28" i="5"/>
  <c r="N61" i="5"/>
  <c r="N19" i="5"/>
  <c r="N54" i="5"/>
  <c r="N22" i="5"/>
  <c r="N34" i="5"/>
  <c r="N21" i="5"/>
  <c r="N50" i="5"/>
  <c r="N40" i="5"/>
  <c r="N55" i="5"/>
  <c r="N75" i="5"/>
  <c r="N93" i="5" s="1"/>
  <c r="G116" i="5" s="1"/>
  <c r="N32" i="5"/>
  <c r="N17" i="5"/>
  <c r="N23" i="5"/>
  <c r="N25" i="5"/>
  <c r="N12" i="5"/>
  <c r="N26" i="5"/>
  <c r="N14" i="5"/>
  <c r="N39" i="5"/>
  <c r="N13" i="5"/>
  <c r="N41" i="5"/>
  <c r="AV3" i="5"/>
  <c r="N10" i="5"/>
  <c r="N95" i="5"/>
  <c r="AU5" i="5"/>
  <c r="AX4" i="8"/>
  <c r="AX2" i="8" s="1"/>
  <c r="AY5" i="8"/>
  <c r="AX3" i="8"/>
  <c r="AR5" i="11"/>
  <c r="AS7" i="11"/>
  <c r="AS6" i="11"/>
  <c r="AV86" i="5"/>
  <c r="AV7" i="5"/>
  <c r="AW8" i="5"/>
  <c r="AV6" i="5"/>
  <c r="I116" i="5" l="1"/>
  <c r="AW3" i="5"/>
  <c r="J40" i="3"/>
  <c r="I40" i="3"/>
  <c r="H40" i="3"/>
  <c r="K40" i="3"/>
  <c r="D20" i="7" a="1"/>
  <c r="D20" i="7" s="1"/>
  <c r="F20" i="7" a="1"/>
  <c r="F20" i="7" s="1"/>
  <c r="AT6" i="11"/>
  <c r="AT7" i="11"/>
  <c r="AW86" i="5"/>
  <c r="L40" i="3" s="1"/>
  <c r="AX8" i="5"/>
  <c r="AW7" i="5"/>
  <c r="AW6" i="5"/>
  <c r="AV5" i="5"/>
  <c r="AY4" i="8"/>
  <c r="AY2" i="8" s="1"/>
  <c r="AZ5" i="8"/>
  <c r="AY3" i="8"/>
  <c r="AS5" i="11"/>
  <c r="AX3" i="5" l="1"/>
  <c r="AU6" i="11"/>
  <c r="AU7" i="11"/>
  <c r="BA5" i="8"/>
  <c r="AZ4" i="8"/>
  <c r="AZ2" i="8" s="1"/>
  <c r="AZ3" i="8"/>
  <c r="AW5" i="5"/>
  <c r="AT5" i="11"/>
  <c r="AX86" i="5"/>
  <c r="M40" i="3" s="1"/>
  <c r="AY8" i="5"/>
  <c r="AX7" i="5"/>
  <c r="AX6" i="5"/>
  <c r="AY3" i="5" l="1"/>
  <c r="AX5" i="5"/>
  <c r="AU5" i="11"/>
  <c r="BB5" i="8"/>
  <c r="BA4" i="8"/>
  <c r="BA2" i="8" s="1"/>
  <c r="BA3" i="8"/>
  <c r="AV6" i="11"/>
  <c r="AV7" i="11"/>
  <c r="AY86" i="5"/>
  <c r="AZ8" i="5"/>
  <c r="AY6" i="5"/>
  <c r="AY7" i="5"/>
  <c r="N40" i="3" l="1"/>
  <c r="AZ3" i="5"/>
  <c r="AV5" i="11"/>
  <c r="AW6" i="11"/>
  <c r="AW7" i="11"/>
  <c r="AY5" i="5"/>
  <c r="BC5" i="8"/>
  <c r="BB4" i="8"/>
  <c r="BB2" i="8" s="1"/>
  <c r="BB3" i="8"/>
  <c r="AZ86" i="5"/>
  <c r="AZ6" i="5"/>
  <c r="AZ7" i="5"/>
  <c r="BA8" i="5"/>
  <c r="O40" i="3" l="1"/>
  <c r="BA3" i="5"/>
  <c r="AW5" i="11"/>
  <c r="AX6" i="11"/>
  <c r="AX7" i="11"/>
  <c r="G71" i="5" a="1"/>
  <c r="G71" i="5" s="1"/>
  <c r="I71" i="5" a="1"/>
  <c r="I71" i="5" s="1"/>
  <c r="K71" i="5" a="1"/>
  <c r="K71" i="5" s="1"/>
  <c r="M71" i="5" a="1"/>
  <c r="M71" i="5" s="1"/>
  <c r="P71" i="5" a="1"/>
  <c r="P71" i="5" s="1"/>
  <c r="R71" i="5" a="1"/>
  <c r="R71" i="5" s="1"/>
  <c r="BA86" i="5"/>
  <c r="BA6" i="5"/>
  <c r="BB8" i="5"/>
  <c r="BA7" i="5"/>
  <c r="AZ5" i="5"/>
  <c r="BC3" i="8"/>
  <c r="BD5" i="8"/>
  <c r="BC4" i="8"/>
  <c r="BC2" i="8" s="1"/>
  <c r="P40" i="3" l="1"/>
  <c r="H13" i="11" a="1"/>
  <c r="H13" i="11" s="1"/>
  <c r="I13" i="11" a="1"/>
  <c r="I13" i="11" s="1"/>
  <c r="J13" i="11" a="1"/>
  <c r="J13" i="11" s="1"/>
  <c r="K13" i="11" a="1"/>
  <c r="K13" i="11" s="1"/>
  <c r="L13" i="11" a="1"/>
  <c r="L13" i="11" s="1"/>
  <c r="L24" i="11" s="1"/>
  <c r="M13" i="11" a="1"/>
  <c r="M13" i="11" s="1"/>
  <c r="M24" i="11" s="1"/>
  <c r="M29" i="11" s="1"/>
  <c r="AC71" i="5" s="1"/>
  <c r="AC89" i="5" s="1"/>
  <c r="R24" i="11"/>
  <c r="R29" i="11" s="1"/>
  <c r="G89" i="5"/>
  <c r="M89" i="5"/>
  <c r="I89" i="5"/>
  <c r="Z89" i="5"/>
  <c r="R89" i="5"/>
  <c r="AD89" i="5"/>
  <c r="AB89" i="5"/>
  <c r="X89" i="5"/>
  <c r="P89" i="5"/>
  <c r="K89" i="5"/>
  <c r="BB3" i="5"/>
  <c r="AX5" i="11"/>
  <c r="E13" i="11" a="1"/>
  <c r="E13" i="11" s="1"/>
  <c r="G9" i="11" a="1"/>
  <c r="G9" i="11" s="1"/>
  <c r="E12" i="11" a="1"/>
  <c r="E12" i="11" s="1"/>
  <c r="F14" i="11" a="1"/>
  <c r="F14" i="11" s="1"/>
  <c r="G12" i="11" a="1"/>
  <c r="G12" i="11" s="1"/>
  <c r="F12" i="11" a="1"/>
  <c r="F12" i="11" s="1"/>
  <c r="F9" i="11" a="1"/>
  <c r="F9" i="11" s="1"/>
  <c r="E10" i="11" a="1"/>
  <c r="E10" i="11" s="1"/>
  <c r="F13" i="11" a="1"/>
  <c r="F13" i="11" s="1"/>
  <c r="F15" i="11" a="1"/>
  <c r="F15" i="11" s="1"/>
  <c r="F10" i="11" a="1"/>
  <c r="F10" i="11" s="1"/>
  <c r="F11" i="11" a="1"/>
  <c r="F11" i="11" s="1"/>
  <c r="J89" i="5" s="1"/>
  <c r="G14" i="11" a="1"/>
  <c r="G14" i="11" s="1"/>
  <c r="G10" i="11" a="1"/>
  <c r="G10" i="11" s="1"/>
  <c r="H10" i="11" a="1"/>
  <c r="H10" i="11" s="1"/>
  <c r="G13" i="11" a="1"/>
  <c r="G13" i="11" s="1"/>
  <c r="G15" i="11" a="1"/>
  <c r="G15" i="11" s="1"/>
  <c r="O89" i="5"/>
  <c r="G11" i="11" a="1"/>
  <c r="G11" i="11" s="1"/>
  <c r="L89" i="5" s="1"/>
  <c r="I12" i="11" a="1"/>
  <c r="I12" i="11" s="1"/>
  <c r="I10" i="11" a="1"/>
  <c r="I10" i="11" s="1"/>
  <c r="H12" i="11" a="1"/>
  <c r="H12" i="11" s="1"/>
  <c r="Q89" i="5"/>
  <c r="J12" i="11" a="1"/>
  <c r="J12" i="11" s="1"/>
  <c r="O24" i="11"/>
  <c r="O29" i="11" s="1"/>
  <c r="AG24" i="11"/>
  <c r="AG29" i="11" s="1"/>
  <c r="AM24" i="11"/>
  <c r="AM29" i="11" s="1"/>
  <c r="AU24" i="11"/>
  <c r="AU29" i="11" s="1"/>
  <c r="BA5" i="5"/>
  <c r="BD3" i="8"/>
  <c r="BE5" i="8"/>
  <c r="BD4" i="8"/>
  <c r="BD2" i="8" s="1"/>
  <c r="AQ24" i="11"/>
  <c r="AQ29" i="11" s="1"/>
  <c r="BB86" i="5"/>
  <c r="BB6" i="5"/>
  <c r="BB7" i="5"/>
  <c r="BC8" i="5"/>
  <c r="AS24" i="11"/>
  <c r="AS29" i="11" s="1"/>
  <c r="R40" i="3" l="1"/>
  <c r="AG71" i="5"/>
  <c r="AG89" i="5" s="1"/>
  <c r="AH71" i="5"/>
  <c r="AH89" i="5" s="1"/>
  <c r="AM71" i="5"/>
  <c r="AM89" i="5" s="1"/>
  <c r="AN71" i="5"/>
  <c r="AN89" i="5" s="1"/>
  <c r="S89" i="5"/>
  <c r="BC3" i="5"/>
  <c r="BC86" i="5"/>
  <c r="BC6" i="5"/>
  <c r="BC7" i="5"/>
  <c r="BD8" i="5"/>
  <c r="AP24" i="11"/>
  <c r="AP29" i="11" s="1"/>
  <c r="AT24" i="11"/>
  <c r="AT29" i="11" s="1"/>
  <c r="AH24" i="11"/>
  <c r="AH29" i="11" s="1"/>
  <c r="W24" i="11"/>
  <c r="W29" i="11" s="1"/>
  <c r="AX71" i="5" s="1"/>
  <c r="AX89" i="5" s="1"/>
  <c r="P24" i="11"/>
  <c r="P29" i="11" s="1"/>
  <c r="E24" i="11"/>
  <c r="E29" i="11" s="1"/>
  <c r="H24" i="11"/>
  <c r="H29" i="11" s="1"/>
  <c r="AN24" i="11"/>
  <c r="AN29" i="11" s="1"/>
  <c r="AO24" i="11"/>
  <c r="AO29" i="11" s="1"/>
  <c r="AF24" i="11"/>
  <c r="AF29" i="11" s="1"/>
  <c r="AA24" i="11"/>
  <c r="AA29" i="11" s="1"/>
  <c r="F24" i="11"/>
  <c r="F29" i="11" s="1"/>
  <c r="AX24" i="11"/>
  <c r="AX29" i="11" s="1"/>
  <c r="AK24" i="11"/>
  <c r="AK29" i="11" s="1"/>
  <c r="N24" i="11"/>
  <c r="N29" i="11" s="1"/>
  <c r="AB24" i="11"/>
  <c r="AB29" i="11" s="1"/>
  <c r="K24" i="11"/>
  <c r="K29" i="11" s="1"/>
  <c r="Y71" i="5" s="1"/>
  <c r="Y89" i="5" s="1"/>
  <c r="G24" i="11"/>
  <c r="G29" i="11" s="1"/>
  <c r="BB5" i="5"/>
  <c r="U24" i="11"/>
  <c r="U29" i="11" s="1"/>
  <c r="AD24" i="11"/>
  <c r="AD29" i="11" s="1"/>
  <c r="AC24" i="11"/>
  <c r="AC29" i="11" s="1"/>
  <c r="X24" i="11"/>
  <c r="X29" i="11" s="1"/>
  <c r="T24" i="11"/>
  <c r="T29" i="11" s="1"/>
  <c r="V24" i="11"/>
  <c r="V29" i="11" s="1"/>
  <c r="J29" i="11"/>
  <c r="BE3" i="8"/>
  <c r="BF5" i="8"/>
  <c r="BE4" i="8"/>
  <c r="BE2" i="8" s="1"/>
  <c r="AR24" i="11"/>
  <c r="AR29" i="11" s="1"/>
  <c r="AJ24" i="11"/>
  <c r="AJ29" i="11" s="1"/>
  <c r="S24" i="11"/>
  <c r="S29" i="11" s="1"/>
  <c r="AL24" i="11"/>
  <c r="AL29" i="11" s="1"/>
  <c r="AE24" i="11"/>
  <c r="AE29" i="11" s="1"/>
  <c r="L29" i="11"/>
  <c r="AA71" i="5" s="1"/>
  <c r="AA89" i="5" s="1"/>
  <c r="I24" i="11"/>
  <c r="I29" i="11" s="1"/>
  <c r="AV24" i="11"/>
  <c r="AV29" i="11" s="1"/>
  <c r="AI24" i="11"/>
  <c r="AI29" i="11" s="1"/>
  <c r="Z24" i="11"/>
  <c r="Z29" i="11" s="1"/>
  <c r="BC71" i="5" s="1"/>
  <c r="AW24" i="11"/>
  <c r="AW29" i="11" s="1"/>
  <c r="Q24" i="11"/>
  <c r="Q29" i="11" s="1"/>
  <c r="Y24" i="11"/>
  <c r="Y29" i="11" s="1"/>
  <c r="S40" i="3" l="1"/>
  <c r="AE71" i="5"/>
  <c r="AE89" i="5" s="1"/>
  <c r="AF71" i="5"/>
  <c r="AF89" i="5" s="1"/>
  <c r="BA71" i="5"/>
  <c r="BA89" i="5" s="1"/>
  <c r="BB71" i="5"/>
  <c r="BB89" i="5" s="1"/>
  <c r="AO71" i="5"/>
  <c r="AO89" i="5" s="1"/>
  <c r="AP71" i="5"/>
  <c r="AP89" i="5" s="1"/>
  <c r="AU71" i="5"/>
  <c r="AU89" i="5" s="1"/>
  <c r="AV71" i="5"/>
  <c r="AV89" i="5" s="1"/>
  <c r="AQ71" i="5"/>
  <c r="AQ89" i="5" s="1"/>
  <c r="AR71" i="5"/>
  <c r="AR89" i="5" s="1"/>
  <c r="AY71" i="5"/>
  <c r="AY89" i="5" s="1"/>
  <c r="AZ71" i="5"/>
  <c r="AZ89" i="5" s="1"/>
  <c r="AS71" i="5"/>
  <c r="AS89" i="5" s="1"/>
  <c r="AT71" i="5"/>
  <c r="AT89" i="5" s="1"/>
  <c r="BD71" i="5"/>
  <c r="AK71" i="5"/>
  <c r="AK89" i="5" s="1"/>
  <c r="AL71" i="5"/>
  <c r="AL89" i="5" s="1"/>
  <c r="AI71" i="5"/>
  <c r="AI89" i="5" s="1"/>
  <c r="AJ71" i="5"/>
  <c r="AJ89" i="5" s="1"/>
  <c r="AW71" i="5"/>
  <c r="AW89" i="5" s="1"/>
  <c r="V89" i="5"/>
  <c r="W71" i="5"/>
  <c r="W89" i="5" s="1"/>
  <c r="T71" i="5"/>
  <c r="U89" i="5"/>
  <c r="BC89" i="5"/>
  <c r="BD3" i="5"/>
  <c r="BD86" i="5"/>
  <c r="T40" i="3" s="1"/>
  <c r="BD6" i="5"/>
  <c r="BD7" i="5"/>
  <c r="BE8" i="5"/>
  <c r="BE71" i="5" s="1"/>
  <c r="BF3" i="8"/>
  <c r="BF4" i="8"/>
  <c r="BF2" i="8" s="1"/>
  <c r="BG5" i="8"/>
  <c r="BC5" i="5"/>
  <c r="T20" i="3" l="1" a="1"/>
  <c r="T20" i="3" s="1"/>
  <c r="H14" i="3" a="1"/>
  <c r="H14" i="3" s="1"/>
  <c r="D14" i="3" a="1"/>
  <c r="D14" i="3" s="1"/>
  <c r="G14" i="3" a="1"/>
  <c r="G14" i="3" s="1"/>
  <c r="F14" i="3" a="1"/>
  <c r="F14" i="3" s="1"/>
  <c r="I14" i="3" a="1"/>
  <c r="I14" i="3" s="1"/>
  <c r="N71" i="5"/>
  <c r="N89" i="5" s="1"/>
  <c r="T89" i="5"/>
  <c r="BD89" i="5"/>
  <c r="BE3" i="5"/>
  <c r="BD5" i="5"/>
  <c r="BE86" i="5"/>
  <c r="U40" i="3" s="1"/>
  <c r="BE6" i="5"/>
  <c r="BE7" i="5"/>
  <c r="BF8" i="5"/>
  <c r="BF71" i="5" s="1"/>
  <c r="BG3" i="8"/>
  <c r="BG4" i="8"/>
  <c r="BG2" i="8" s="1"/>
  <c r="BH5" i="8"/>
  <c r="G112" i="5" l="1"/>
  <c r="C42" i="4"/>
  <c r="BE89" i="5"/>
  <c r="BF3" i="5"/>
  <c r="BH3" i="8"/>
  <c r="BH4" i="8"/>
  <c r="BH2" i="8" s="1"/>
  <c r="BI5" i="8"/>
  <c r="BF86" i="5"/>
  <c r="BF7" i="5"/>
  <c r="BG8" i="5"/>
  <c r="BG71" i="5" s="1"/>
  <c r="BF6" i="5"/>
  <c r="BE5" i="5"/>
  <c r="V40" i="3" l="1"/>
  <c r="BF89" i="5"/>
  <c r="BG3" i="5"/>
  <c r="BG86" i="5"/>
  <c r="W40" i="3" s="1"/>
  <c r="BG7" i="5"/>
  <c r="BH8" i="5"/>
  <c r="BH71" i="5" s="1"/>
  <c r="BG6" i="5"/>
  <c r="BI4" i="8"/>
  <c r="BI2" i="8" s="1"/>
  <c r="BJ5" i="8"/>
  <c r="BI3" i="8"/>
  <c r="BF5" i="5"/>
  <c r="BG89" i="5" l="1"/>
  <c r="BH3" i="5"/>
  <c r="BJ4" i="8"/>
  <c r="BJ2" i="8" s="1"/>
  <c r="BK5" i="8"/>
  <c r="BJ3" i="8"/>
  <c r="BH86" i="5"/>
  <c r="X40" i="3" s="1"/>
  <c r="BH7" i="5"/>
  <c r="BI8" i="5"/>
  <c r="BI71" i="5" s="1"/>
  <c r="BH6" i="5"/>
  <c r="BG5" i="5"/>
  <c r="BH89" i="5" l="1"/>
  <c r="BI3" i="5"/>
  <c r="BI86" i="5"/>
  <c r="BJ8" i="5"/>
  <c r="BJ71" i="5" s="1"/>
  <c r="BI7" i="5"/>
  <c r="BI6" i="5"/>
  <c r="BH5" i="5"/>
  <c r="BK4" i="8"/>
  <c r="BK2" i="8" s="1"/>
  <c r="BL5" i="8"/>
  <c r="BK3" i="8"/>
  <c r="Y40" i="3" l="1"/>
  <c r="BI89" i="5"/>
  <c r="BJ3" i="5"/>
  <c r="BM5" i="8"/>
  <c r="BL4" i="8"/>
  <c r="BL2" i="8" s="1"/>
  <c r="BL3" i="8"/>
  <c r="BI5" i="5"/>
  <c r="BJ86" i="5"/>
  <c r="BK8" i="5"/>
  <c r="BK71" i="5" s="1"/>
  <c r="BJ7" i="5"/>
  <c r="BJ6" i="5"/>
  <c r="Z40" i="3" l="1"/>
  <c r="BJ89" i="5"/>
  <c r="BK3" i="5"/>
  <c r="BJ5" i="5"/>
  <c r="BK86" i="5"/>
  <c r="BL8" i="5"/>
  <c r="BL71" i="5" s="1"/>
  <c r="BK7" i="5"/>
  <c r="BK6" i="5"/>
  <c r="BN5" i="8"/>
  <c r="BM4" i="8"/>
  <c r="BM2" i="8" s="1"/>
  <c r="BM3" i="8"/>
  <c r="AA40" i="3" l="1"/>
  <c r="BK89" i="5"/>
  <c r="BL3" i="5"/>
  <c r="BO5" i="8"/>
  <c r="BN3" i="8"/>
  <c r="BN4" i="8"/>
  <c r="BN2" i="8" s="1"/>
  <c r="BK5" i="5"/>
  <c r="BL86" i="5"/>
  <c r="BL6" i="5"/>
  <c r="BM8" i="5"/>
  <c r="BM71" i="5" s="1"/>
  <c r="BL7" i="5"/>
  <c r="AB40" i="3" l="1"/>
  <c r="BL89" i="5"/>
  <c r="BM3" i="5"/>
  <c r="BL5" i="5"/>
  <c r="BO3" i="8"/>
  <c r="BP5" i="8"/>
  <c r="BO4" i="8"/>
  <c r="BO2" i="8" s="1"/>
  <c r="BM86" i="5"/>
  <c r="BM6" i="5"/>
  <c r="BN8" i="5"/>
  <c r="BN71" i="5" s="1"/>
  <c r="BM7" i="5"/>
  <c r="AC40" i="3" l="1"/>
  <c r="BM89" i="5"/>
  <c r="BN3" i="5"/>
  <c r="BM5" i="5"/>
  <c r="BN86" i="5"/>
  <c r="BN6" i="5"/>
  <c r="BN7" i="5"/>
  <c r="BO8" i="5"/>
  <c r="BO71" i="5" s="1"/>
  <c r="BP3" i="8"/>
  <c r="BQ5" i="8"/>
  <c r="BP4" i="8"/>
  <c r="BP2" i="8" s="1"/>
  <c r="AD40" i="3" l="1"/>
  <c r="BN89" i="5"/>
  <c r="BO3" i="5"/>
  <c r="BQ3" i="8"/>
  <c r="BQ4" i="8"/>
  <c r="BQ2" i="8" s="1"/>
  <c r="BR5" i="8"/>
  <c r="BO86" i="5"/>
  <c r="BO6" i="5"/>
  <c r="BO7" i="5"/>
  <c r="BP8" i="5"/>
  <c r="BP71" i="5" s="1"/>
  <c r="BN5" i="5"/>
  <c r="AE40" i="3" l="1"/>
  <c r="BO89" i="5"/>
  <c r="BP3" i="5"/>
  <c r="BP86" i="5"/>
  <c r="BP6" i="5"/>
  <c r="BP7" i="5"/>
  <c r="BQ8" i="5"/>
  <c r="BQ71" i="5" s="1"/>
  <c r="BR3" i="8"/>
  <c r="BR4" i="8"/>
  <c r="BR2" i="8" s="1"/>
  <c r="BS5" i="8"/>
  <c r="BO5" i="5"/>
  <c r="AF40" i="3" l="1"/>
  <c r="BP89" i="5"/>
  <c r="BQ3" i="5"/>
  <c r="BS3" i="8"/>
  <c r="BS4" i="8"/>
  <c r="BS2" i="8" s="1"/>
  <c r="BT5" i="8"/>
  <c r="BP5" i="5"/>
  <c r="BQ86" i="5"/>
  <c r="BQ6" i="5"/>
  <c r="BQ7" i="5"/>
  <c r="BR8" i="5"/>
  <c r="BR71" i="5" s="1"/>
  <c r="AG40" i="3" l="1"/>
  <c r="BQ89" i="5"/>
  <c r="BR3" i="5"/>
  <c r="BT3" i="8"/>
  <c r="BT4" i="8"/>
  <c r="BT2" i="8" s="1"/>
  <c r="BU5" i="8"/>
  <c r="BQ5" i="5"/>
  <c r="BR86" i="5"/>
  <c r="AH40" i="3" s="1"/>
  <c r="BR7" i="5"/>
  <c r="BS8" i="5"/>
  <c r="BS71" i="5" s="1"/>
  <c r="BR6" i="5"/>
  <c r="AH19" i="7" l="1" a="1"/>
  <c r="AH19" i="7" s="1"/>
  <c r="BR89" i="5"/>
  <c r="BS3" i="5"/>
  <c r="BS86" i="5"/>
  <c r="BS7" i="5"/>
  <c r="BT8" i="5"/>
  <c r="BT71" i="5" s="1"/>
  <c r="BS6" i="5"/>
  <c r="BU4" i="8"/>
  <c r="BU2" i="8" s="1"/>
  <c r="BV5" i="8"/>
  <c r="BU3" i="8"/>
  <c r="BR5" i="5"/>
  <c r="AI40" i="3" l="1"/>
  <c r="BS89" i="5"/>
  <c r="BT3" i="5"/>
  <c r="BT86" i="5"/>
  <c r="AJ40" i="3" s="1"/>
  <c r="BT7" i="5"/>
  <c r="BU8" i="5"/>
  <c r="BU71" i="5" s="1"/>
  <c r="BT6" i="5"/>
  <c r="BV4" i="8"/>
  <c r="BV2" i="8" s="1"/>
  <c r="BW5" i="8"/>
  <c r="BV3" i="8"/>
  <c r="BS5" i="5"/>
  <c r="BT89" i="5" l="1"/>
  <c r="H112" i="5" s="1"/>
  <c r="I112" i="5" s="1"/>
  <c r="BU3" i="5"/>
  <c r="BU86" i="5"/>
  <c r="AK40" i="3" s="1"/>
  <c r="BV8" i="5"/>
  <c r="BV71" i="5" s="1"/>
  <c r="BU6" i="5"/>
  <c r="BU7" i="5"/>
  <c r="BT5" i="5"/>
  <c r="BW4" i="8"/>
  <c r="BW2" i="8" s="1"/>
  <c r="BX5" i="8"/>
  <c r="BW3" i="8"/>
  <c r="BU89" i="5" l="1"/>
  <c r="BV3" i="5"/>
  <c r="BY5" i="8"/>
  <c r="BX4" i="8"/>
  <c r="BX2" i="8" s="1"/>
  <c r="BX3" i="8"/>
  <c r="BV86" i="5"/>
  <c r="BW8" i="5"/>
  <c r="BW71" i="5" s="1"/>
  <c r="BV6" i="5"/>
  <c r="BV7" i="5"/>
  <c r="BU5" i="5"/>
  <c r="BV89" i="5" l="1"/>
  <c r="BW3" i="5"/>
  <c r="BV5" i="5"/>
  <c r="BW86" i="5"/>
  <c r="AM40" i="3" s="1"/>
  <c r="BX8" i="5"/>
  <c r="BX71" i="5" s="1"/>
  <c r="BW6" i="5"/>
  <c r="BW7" i="5"/>
  <c r="BZ5" i="8"/>
  <c r="BY4" i="8"/>
  <c r="BY2" i="8" s="1"/>
  <c r="BY3" i="8"/>
  <c r="BW89" i="5" l="1"/>
  <c r="BX3" i="5"/>
  <c r="BW5" i="5"/>
  <c r="BX86" i="5"/>
  <c r="BX6" i="5"/>
  <c r="BY8" i="5"/>
  <c r="BY71" i="5" s="1"/>
  <c r="BX7" i="5"/>
  <c r="CA5" i="8"/>
  <c r="BZ4" i="8"/>
  <c r="BZ2" i="8" s="1"/>
  <c r="BZ3" i="8"/>
  <c r="BX89" i="5" l="1"/>
  <c r="BY3" i="5"/>
  <c r="BX5" i="5"/>
  <c r="BY86" i="5"/>
  <c r="BY6" i="5"/>
  <c r="BZ8" i="5"/>
  <c r="BZ71" i="5" s="1"/>
  <c r="BY7" i="5"/>
  <c r="CA3" i="8"/>
  <c r="CB5" i="8"/>
  <c r="CA4" i="8"/>
  <c r="CA2" i="8" s="1"/>
  <c r="BY89" i="5" l="1"/>
  <c r="BZ3" i="5"/>
  <c r="CB3" i="8"/>
  <c r="CC5" i="8"/>
  <c r="CB4" i="8"/>
  <c r="CB2" i="8" s="1"/>
  <c r="BY5" i="5"/>
  <c r="BZ86" i="5"/>
  <c r="BZ6" i="5"/>
  <c r="BZ7" i="5"/>
  <c r="CA8" i="5"/>
  <c r="CA71" i="5" s="1"/>
  <c r="BZ89" i="5" l="1"/>
  <c r="CA3" i="5"/>
  <c r="BZ5" i="5"/>
  <c r="CA86" i="5"/>
  <c r="CA6" i="5"/>
  <c r="CA7" i="5"/>
  <c r="CB8" i="5"/>
  <c r="CB71" i="5" s="1"/>
  <c r="CC3" i="8"/>
  <c r="CC4" i="8"/>
  <c r="CC2" i="8" s="1"/>
  <c r="CD5" i="8"/>
  <c r="CA89" i="5" l="1"/>
  <c r="CB3" i="5"/>
  <c r="CB86" i="5"/>
  <c r="CB6" i="5"/>
  <c r="CB7" i="5"/>
  <c r="CC8" i="5"/>
  <c r="CC71" i="5" s="1"/>
  <c r="CA5" i="5"/>
  <c r="CD3" i="8"/>
  <c r="CD4" i="8"/>
  <c r="CD2" i="8" s="1"/>
  <c r="CE5" i="8"/>
  <c r="CB89" i="5" l="1"/>
  <c r="CC3" i="5"/>
  <c r="CE3" i="8"/>
  <c r="CE4" i="8"/>
  <c r="CE2" i="8" s="1"/>
  <c r="CF5" i="8"/>
  <c r="CC86" i="5"/>
  <c r="CC6" i="5"/>
  <c r="CC7" i="5"/>
  <c r="CD8" i="5"/>
  <c r="CD71" i="5" s="1"/>
  <c r="CB5" i="5"/>
  <c r="CC89" i="5" l="1"/>
  <c r="CD3" i="5"/>
  <c r="CD86" i="5"/>
  <c r="CD7" i="5"/>
  <c r="CE8" i="5"/>
  <c r="CE71" i="5" s="1"/>
  <c r="CD6" i="5"/>
  <c r="CC5" i="5"/>
  <c r="CF3" i="8"/>
  <c r="CF4" i="8"/>
  <c r="CF2" i="8" s="1"/>
  <c r="CG5" i="8"/>
  <c r="CD89" i="5" l="1"/>
  <c r="CE3" i="5"/>
  <c r="CD5" i="5"/>
  <c r="CE86" i="5"/>
  <c r="CE7" i="5"/>
  <c r="CF8" i="5"/>
  <c r="CF71" i="5" s="1"/>
  <c r="CE6" i="5"/>
  <c r="CG4" i="8"/>
  <c r="CG2" i="8" s="1"/>
  <c r="CH5" i="8"/>
  <c r="CG3" i="8"/>
  <c r="CE89" i="5" l="1"/>
  <c r="CF3" i="5"/>
  <c r="CH4" i="8"/>
  <c r="CH2" i="8" s="1"/>
  <c r="CI5" i="8"/>
  <c r="CH3" i="8"/>
  <c r="CF86" i="5"/>
  <c r="CF7" i="5"/>
  <c r="CG8" i="5"/>
  <c r="CG71" i="5" s="1"/>
  <c r="CF6" i="5"/>
  <c r="CE5" i="5"/>
  <c r="CF89" i="5" l="1"/>
  <c r="CG3" i="5"/>
  <c r="CG86" i="5"/>
  <c r="CH8" i="5"/>
  <c r="CH71" i="5" s="1"/>
  <c r="CG7" i="5"/>
  <c r="CG6" i="5"/>
  <c r="CI4" i="8"/>
  <c r="CI2" i="8" s="1"/>
  <c r="CJ5" i="8"/>
  <c r="CI3" i="8"/>
  <c r="CF5" i="5"/>
  <c r="CG89" i="5" l="1"/>
  <c r="CH3" i="5"/>
  <c r="CG5" i="5"/>
  <c r="CK5" i="8"/>
  <c r="CJ4" i="8"/>
  <c r="CJ2" i="8" s="1"/>
  <c r="CJ3" i="8"/>
  <c r="CH86" i="5"/>
  <c r="CI8" i="5"/>
  <c r="CI71" i="5" s="1"/>
  <c r="CH7" i="5"/>
  <c r="CH6" i="5"/>
  <c r="CH89" i="5" l="1"/>
  <c r="CI3" i="5"/>
  <c r="CI86" i="5"/>
  <c r="CJ8" i="5"/>
  <c r="CJ71" i="5" s="1"/>
  <c r="CI6" i="5"/>
  <c r="CI7" i="5"/>
  <c r="CH5" i="5"/>
  <c r="CL5" i="8"/>
  <c r="CK4" i="8"/>
  <c r="CK2" i="8" s="1"/>
  <c r="CK3" i="8"/>
  <c r="CI89" i="5" l="1"/>
  <c r="CJ3" i="5"/>
  <c r="CJ86" i="5"/>
  <c r="CJ6" i="5"/>
  <c r="CK8" i="5"/>
  <c r="CK71" i="5" s="1"/>
  <c r="CJ7" i="5"/>
  <c r="CM5" i="8"/>
  <c r="CL4" i="8"/>
  <c r="CL2" i="8" s="1"/>
  <c r="CL3" i="8"/>
  <c r="CI5" i="5"/>
  <c r="CJ89" i="5" l="1"/>
  <c r="CK3" i="5"/>
  <c r="CM3" i="8"/>
  <c r="CN5" i="8"/>
  <c r="CM4" i="8"/>
  <c r="CM2" i="8" s="1"/>
  <c r="CJ5" i="5"/>
  <c r="CK86" i="5"/>
  <c r="CK6" i="5"/>
  <c r="CL8" i="5"/>
  <c r="CL71" i="5" s="1"/>
  <c r="CK7" i="5"/>
  <c r="CK89" i="5" l="1"/>
  <c r="CL3" i="5"/>
  <c r="CK5" i="5"/>
  <c r="CL86" i="5"/>
  <c r="CL6" i="5"/>
  <c r="CL7" i="5"/>
  <c r="CM8" i="5"/>
  <c r="CM71" i="5" s="1"/>
  <c r="CN3" i="8"/>
  <c r="CO5" i="8"/>
  <c r="CN4" i="8"/>
  <c r="CN2" i="8" s="1"/>
  <c r="CL89" i="5" l="1"/>
  <c r="CM3" i="5"/>
  <c r="CM86" i="5"/>
  <c r="CM6" i="5"/>
  <c r="CM7" i="5"/>
  <c r="CN8" i="5"/>
  <c r="CN71" i="5" s="1"/>
  <c r="CO3" i="8"/>
  <c r="CP5" i="8"/>
  <c r="CO4" i="8"/>
  <c r="CO2" i="8" s="1"/>
  <c r="CL5" i="5"/>
  <c r="CM89" i="5" l="1"/>
  <c r="CN3" i="5"/>
  <c r="CN86" i="5"/>
  <c r="CN6" i="5"/>
  <c r="CN7" i="5"/>
  <c r="CO8" i="5"/>
  <c r="CO71" i="5" s="1"/>
  <c r="CP3" i="8"/>
  <c r="CP4" i="8"/>
  <c r="CP2" i="8" s="1"/>
  <c r="CQ5" i="8"/>
  <c r="CM5" i="5"/>
  <c r="CN89" i="5" l="1"/>
  <c r="CO3" i="5"/>
  <c r="CN5" i="5"/>
  <c r="CQ3" i="8"/>
  <c r="CQ4" i="8"/>
  <c r="CQ2" i="8" s="1"/>
  <c r="CR5" i="8"/>
  <c r="CO86" i="5"/>
  <c r="CO6" i="5"/>
  <c r="CO7" i="5"/>
  <c r="CP8" i="5"/>
  <c r="CP71" i="5" s="1"/>
  <c r="CO89" i="5" l="1"/>
  <c r="CP3" i="5"/>
  <c r="CO5" i="5"/>
  <c r="CP86" i="5"/>
  <c r="CP7" i="5"/>
  <c r="CQ8" i="5"/>
  <c r="CQ71" i="5" s="1"/>
  <c r="CP6" i="5"/>
  <c r="CR3" i="8"/>
  <c r="CR4" i="8"/>
  <c r="CR2" i="8" s="1"/>
  <c r="CS5" i="8"/>
  <c r="CP89" i="5" l="1"/>
  <c r="CQ3" i="5"/>
  <c r="CQ86" i="5"/>
  <c r="CQ7" i="5"/>
  <c r="CR8" i="5"/>
  <c r="CR71" i="5" s="1"/>
  <c r="CQ6" i="5"/>
  <c r="CS4" i="8"/>
  <c r="CS2" i="8" s="1"/>
  <c r="CT5" i="8"/>
  <c r="CS3" i="8"/>
  <c r="CP5" i="5"/>
  <c r="CQ89" i="5" l="1"/>
  <c r="CR3" i="5"/>
  <c r="CT4" i="8"/>
  <c r="CT2" i="8" s="1"/>
  <c r="CU5" i="8"/>
  <c r="CT3" i="8"/>
  <c r="CR86" i="5"/>
  <c r="CR7" i="5"/>
  <c r="CS8" i="5"/>
  <c r="CS71" i="5" s="1"/>
  <c r="CR6" i="5"/>
  <c r="CQ5" i="5"/>
  <c r="CR89" i="5" l="1"/>
  <c r="CS3" i="5"/>
  <c r="CR5" i="5"/>
  <c r="CU4" i="8"/>
  <c r="CU2" i="8" s="1"/>
  <c r="CU3" i="8"/>
  <c r="CS86" i="5"/>
  <c r="CT8" i="5"/>
  <c r="CT71" i="5" s="1"/>
  <c r="CS7" i="5"/>
  <c r="CS6" i="5"/>
  <c r="CS89" i="5" l="1"/>
  <c r="CT3" i="5"/>
  <c r="CT86" i="5"/>
  <c r="CU8" i="5"/>
  <c r="CU71" i="5" s="1"/>
  <c r="CT7" i="5"/>
  <c r="CT6" i="5"/>
  <c r="CS5" i="5"/>
  <c r="CT89" i="5" l="1"/>
  <c r="CU3" i="5"/>
  <c r="CU86" i="5"/>
  <c r="CV8" i="5"/>
  <c r="CV71" i="5" s="1"/>
  <c r="CU6" i="5"/>
  <c r="CU7" i="5"/>
  <c r="CT5" i="5"/>
  <c r="CU89" i="5" l="1"/>
  <c r="CV3" i="5"/>
  <c r="CV86" i="5"/>
  <c r="CV6" i="5"/>
  <c r="CV7" i="5"/>
  <c r="AR42" i="5" s="1" a="1"/>
  <c r="AR42" i="5" s="1"/>
  <c r="CU5" i="5"/>
  <c r="CS49" i="5" a="1"/>
  <c r="CS49" i="5" s="1"/>
  <c r="CO42" i="5" l="1" a="1"/>
  <c r="CO42" i="5" s="1"/>
  <c r="G36" i="13"/>
  <c r="E40" i="3"/>
  <c r="L19" i="3" a="1"/>
  <c r="L19" i="3" s="1"/>
  <c r="M19" i="3" a="1"/>
  <c r="M19" i="3" s="1"/>
  <c r="J19" i="3" a="1"/>
  <c r="J19" i="3" s="1"/>
  <c r="O19" i="3" a="1"/>
  <c r="O19" i="3" s="1"/>
  <c r="P19" i="3" a="1"/>
  <c r="P19" i="3" s="1"/>
  <c r="I19" i="3" a="1"/>
  <c r="I19" i="3" s="1"/>
  <c r="N19" i="3" a="1"/>
  <c r="N19" i="3" s="1"/>
  <c r="K19" i="3" a="1"/>
  <c r="K19" i="3" s="1"/>
  <c r="AE20" i="3" a="1"/>
  <c r="AE20" i="3" s="1"/>
  <c r="W20" i="3" a="1"/>
  <c r="W20" i="3" s="1"/>
  <c r="AL20" i="3" a="1"/>
  <c r="AL20" i="3" s="1"/>
  <c r="AK20" i="3" a="1"/>
  <c r="AK20" i="3" s="1"/>
  <c r="AH20" i="3" a="1"/>
  <c r="AH20" i="3" s="1"/>
  <c r="AM20" i="3" a="1"/>
  <c r="AM20" i="3" s="1"/>
  <c r="AG20" i="3" a="1"/>
  <c r="AG20" i="3" s="1"/>
  <c r="AB20" i="3" a="1"/>
  <c r="AB20" i="3" s="1"/>
  <c r="AN20" i="3" a="1"/>
  <c r="AN20" i="3" s="1"/>
  <c r="AI20" i="3" a="1"/>
  <c r="AI20" i="3" s="1"/>
  <c r="X20" i="3" a="1"/>
  <c r="X20" i="3" s="1"/>
  <c r="Y20" i="3" a="1"/>
  <c r="Y20" i="3" s="1"/>
  <c r="U20" i="3" a="1"/>
  <c r="U20" i="3" s="1"/>
  <c r="AF20" i="3" a="1"/>
  <c r="AF20" i="3" s="1"/>
  <c r="G20" i="3" a="1"/>
  <c r="G20" i="3" s="1"/>
  <c r="R20" i="3" a="1"/>
  <c r="R20" i="3" s="1"/>
  <c r="AC20" i="3" a="1"/>
  <c r="AC20" i="3" s="1"/>
  <c r="D20" i="3" a="1"/>
  <c r="D20" i="3" s="1"/>
  <c r="AA20" i="3" a="1"/>
  <c r="AA20" i="3" s="1"/>
  <c r="AJ20" i="3" a="1"/>
  <c r="AJ20" i="3" s="1"/>
  <c r="V20" i="3" a="1"/>
  <c r="V20" i="3" s="1"/>
  <c r="Z20" i="3" a="1"/>
  <c r="Z20" i="3" s="1"/>
  <c r="AD20" i="3" a="1"/>
  <c r="AD20" i="3" s="1"/>
  <c r="S20" i="3" a="1"/>
  <c r="S20" i="3" s="1"/>
  <c r="AN19" i="3" a="1"/>
  <c r="AN19" i="3" s="1"/>
  <c r="I20" i="3" a="1"/>
  <c r="I20" i="3" s="1"/>
  <c r="W19" i="3" a="1"/>
  <c r="W19" i="3" s="1"/>
  <c r="AM19" i="3" a="1"/>
  <c r="AM19" i="3" s="1"/>
  <c r="S19" i="3" a="1"/>
  <c r="S19" i="3" s="1"/>
  <c r="AC19" i="3" a="1"/>
  <c r="AC19" i="3" s="1"/>
  <c r="U19" i="3" a="1"/>
  <c r="U19" i="3" s="1"/>
  <c r="AI19" i="3" a="1"/>
  <c r="AI19" i="3" s="1"/>
  <c r="R19" i="3" a="1"/>
  <c r="R19" i="3" s="1"/>
  <c r="AA19" i="3" a="1"/>
  <c r="AA19" i="3" s="1"/>
  <c r="V19" i="3" a="1"/>
  <c r="V19" i="3" s="1"/>
  <c r="AK19" i="3" a="1"/>
  <c r="AK19" i="3" s="1"/>
  <c r="Y19" i="3" a="1"/>
  <c r="Y19" i="3" s="1"/>
  <c r="AJ19" i="3" a="1"/>
  <c r="AJ19" i="3" s="1"/>
  <c r="AH19" i="3" a="1"/>
  <c r="AH19" i="3" s="1"/>
  <c r="AG19" i="3" a="1"/>
  <c r="AG19" i="3" s="1"/>
  <c r="AE19" i="3" a="1"/>
  <c r="AE19" i="3" s="1"/>
  <c r="AD19" i="3" a="1"/>
  <c r="AD19" i="3" s="1"/>
  <c r="X19" i="3" a="1"/>
  <c r="X19" i="3" s="1"/>
  <c r="AF19" i="3" a="1"/>
  <c r="AF19" i="3" s="1"/>
  <c r="AL19" i="3" a="1"/>
  <c r="AL19" i="3" s="1"/>
  <c r="Z19" i="3" a="1"/>
  <c r="Z19" i="3" s="1"/>
  <c r="T19" i="3" a="1"/>
  <c r="T19" i="3" s="1"/>
  <c r="AB19" i="3" a="1"/>
  <c r="AB19" i="3" s="1"/>
  <c r="CV89" i="5"/>
  <c r="CS42" i="5" a="1"/>
  <c r="CS42" i="5" s="1"/>
  <c r="CQ73" i="5" a="1"/>
  <c r="CQ73" i="5" s="1"/>
  <c r="F40" i="3"/>
  <c r="G40" i="3"/>
  <c r="AL40" i="3"/>
  <c r="AN40" i="3"/>
  <c r="CP48" i="5" a="1"/>
  <c r="CP48" i="5" s="1"/>
  <c r="CS70" i="5" a="1"/>
  <c r="CS70" i="5" s="1"/>
  <c r="CS90" i="5" s="1"/>
  <c r="CP49" i="5" a="1"/>
  <c r="CP49" i="5" s="1"/>
  <c r="CR46" i="5" a="1"/>
  <c r="CR46" i="5" s="1"/>
  <c r="CU46" i="5" a="1"/>
  <c r="CU46" i="5" s="1"/>
  <c r="D40" i="3"/>
  <c r="CQ48" i="5" a="1"/>
  <c r="CQ48" i="5" s="1"/>
  <c r="CU48" i="5" a="1"/>
  <c r="CU48" i="5" s="1"/>
  <c r="CU87" i="5"/>
  <c r="CQ70" i="5" a="1"/>
  <c r="CQ70" i="5" s="1"/>
  <c r="CQ90" i="5" s="1"/>
  <c r="CO47" i="5" a="1"/>
  <c r="CO47" i="5" s="1"/>
  <c r="CS46" i="5" a="1"/>
  <c r="CS46" i="5" s="1"/>
  <c r="CR51" i="5" a="1"/>
  <c r="CR51" i="5" s="1"/>
  <c r="CS51" i="5" a="1"/>
  <c r="CS51" i="5" s="1"/>
  <c r="CU51" i="5" a="1"/>
  <c r="CU51" i="5" s="1"/>
  <c r="CQ87" i="5"/>
  <c r="CR47" i="5" a="1"/>
  <c r="CR47" i="5" s="1"/>
  <c r="CS48" i="5" a="1"/>
  <c r="CS48" i="5" s="1"/>
  <c r="CU73" i="5" a="1"/>
  <c r="CU73" i="5" s="1"/>
  <c r="CS73" i="5" a="1"/>
  <c r="CS73" i="5" s="1"/>
  <c r="CQ51" i="5" a="1"/>
  <c r="CQ51" i="5" s="1"/>
  <c r="CU42" i="5" a="1"/>
  <c r="CU42" i="5" s="1"/>
  <c r="CV48" i="5" a="1"/>
  <c r="CV48" i="5" s="1"/>
  <c r="CV49" i="5" a="1"/>
  <c r="CV49" i="5" s="1"/>
  <c r="CV73" i="5" a="1"/>
  <c r="CV73" i="5" s="1"/>
  <c r="CV42" i="5" a="1"/>
  <c r="CV42" i="5" s="1"/>
  <c r="CV47" i="5" a="1"/>
  <c r="CV47" i="5" s="1"/>
  <c r="CV51" i="5" a="1"/>
  <c r="CV51" i="5" s="1"/>
  <c r="CV5" i="5"/>
  <c r="CV46" i="5" a="1"/>
  <c r="CV46" i="5" s="1"/>
  <c r="CV87" i="5"/>
  <c r="CV70" i="5" a="1"/>
  <c r="CV70" i="5" s="1"/>
  <c r="CV90" i="5" s="1"/>
  <c r="G73" i="5" a="1"/>
  <c r="G73" i="5" s="1"/>
  <c r="G47" i="5" a="1"/>
  <c r="G47" i="5" s="1"/>
  <c r="G51" i="5" a="1"/>
  <c r="G51" i="5" s="1"/>
  <c r="H48" i="5" a="1"/>
  <c r="H48" i="5" s="1"/>
  <c r="J73" i="5" a="1"/>
  <c r="J73" i="5" s="1"/>
  <c r="G49" i="5" a="1"/>
  <c r="G49" i="5" s="1"/>
  <c r="H70" i="5" a="1"/>
  <c r="H70" i="5" s="1"/>
  <c r="H90" i="5" s="1"/>
  <c r="G46" i="5" a="1"/>
  <c r="G46" i="5" s="1"/>
  <c r="I38" i="5" a="1"/>
  <c r="I38" i="5" s="1"/>
  <c r="I94" i="5" s="1"/>
  <c r="G48" i="5" a="1"/>
  <c r="G48" i="5" s="1"/>
  <c r="G38" i="5" a="1"/>
  <c r="G38" i="5" s="1"/>
  <c r="G94" i="5" s="1"/>
  <c r="H51" i="5" a="1"/>
  <c r="H51" i="5" s="1"/>
  <c r="H49" i="5" a="1"/>
  <c r="H49" i="5" s="1"/>
  <c r="I47" i="5" a="1"/>
  <c r="I47" i="5" s="1"/>
  <c r="H42" i="5" a="1"/>
  <c r="H42" i="5" s="1"/>
  <c r="J70" i="5" a="1"/>
  <c r="J70" i="5" s="1"/>
  <c r="J90" i="5" s="1"/>
  <c r="G70" i="5" a="1"/>
  <c r="G70" i="5" s="1"/>
  <c r="G90" i="5" s="1"/>
  <c r="H50" i="5" a="1"/>
  <c r="H50" i="5" s="1"/>
  <c r="H73" i="5" a="1"/>
  <c r="H73" i="5" s="1"/>
  <c r="H47" i="5" a="1"/>
  <c r="H47" i="5" s="1"/>
  <c r="I46" i="5" a="1"/>
  <c r="I46" i="5" s="1"/>
  <c r="H38" i="5" a="1"/>
  <c r="H38" i="5" s="1"/>
  <c r="H94" i="5" s="1"/>
  <c r="H46" i="5" a="1"/>
  <c r="H46" i="5" s="1"/>
  <c r="G42" i="5" a="1"/>
  <c r="G42" i="5" s="1"/>
  <c r="I73" i="5" a="1"/>
  <c r="I73" i="5" s="1"/>
  <c r="G50" i="5" a="1"/>
  <c r="G50" i="5" s="1"/>
  <c r="J42" i="5" a="1"/>
  <c r="J42" i="5" s="1"/>
  <c r="J38" i="5" a="1"/>
  <c r="J38" i="5" s="1"/>
  <c r="J94" i="5" s="1"/>
  <c r="J50" i="5" a="1"/>
  <c r="J50" i="5" s="1"/>
  <c r="J48" i="5" a="1"/>
  <c r="J48" i="5" s="1"/>
  <c r="J47" i="5" a="1"/>
  <c r="J47" i="5" s="1"/>
  <c r="I70" i="5" a="1"/>
  <c r="I70" i="5" s="1"/>
  <c r="I90" i="5" s="1"/>
  <c r="I50" i="5" a="1"/>
  <c r="I50" i="5" s="1"/>
  <c r="I48" i="5" a="1"/>
  <c r="I48" i="5" s="1"/>
  <c r="I42" i="5" a="1"/>
  <c r="I42" i="5" s="1"/>
  <c r="K47" i="5" a="1"/>
  <c r="K47" i="5" s="1"/>
  <c r="K51" i="5" a="1"/>
  <c r="K51" i="5" s="1"/>
  <c r="I51" i="5" a="1"/>
  <c r="I51" i="5" s="1"/>
  <c r="J51" i="5" a="1"/>
  <c r="J51" i="5" s="1"/>
  <c r="I49" i="5" a="1"/>
  <c r="I49" i="5" s="1"/>
  <c r="K42" i="5" a="1"/>
  <c r="K42" i="5" s="1"/>
  <c r="L42" i="5" a="1"/>
  <c r="L42" i="5" s="1"/>
  <c r="M46" i="5" a="1"/>
  <c r="M46" i="5" s="1"/>
  <c r="J46" i="5" a="1"/>
  <c r="J46" i="5" s="1"/>
  <c r="K48" i="5" a="1"/>
  <c r="K48" i="5" s="1"/>
  <c r="K38" i="5" a="1"/>
  <c r="K38" i="5" s="1"/>
  <c r="K94" i="5" s="1"/>
  <c r="K73" i="5" a="1"/>
  <c r="K73" i="5" s="1"/>
  <c r="K70" i="5" a="1"/>
  <c r="K70" i="5" s="1"/>
  <c r="K90" i="5" s="1"/>
  <c r="J49" i="5" a="1"/>
  <c r="J49" i="5" s="1"/>
  <c r="L49" i="5" a="1"/>
  <c r="L49" i="5" s="1"/>
  <c r="L47" i="5" a="1"/>
  <c r="L47" i="5" s="1"/>
  <c r="M38" i="5" a="1"/>
  <c r="M38" i="5" s="1"/>
  <c r="M94" i="5" s="1"/>
  <c r="K50" i="5" a="1"/>
  <c r="K50" i="5" s="1"/>
  <c r="L73" i="5" a="1"/>
  <c r="L73" i="5" s="1"/>
  <c r="M47" i="5" a="1"/>
  <c r="M47" i="5" s="1"/>
  <c r="K49" i="5" a="1"/>
  <c r="K49" i="5" s="1"/>
  <c r="P49" i="5" a="1"/>
  <c r="P49" i="5" s="1"/>
  <c r="K46" i="5" a="1"/>
  <c r="K46" i="5" s="1"/>
  <c r="L51" i="5" a="1"/>
  <c r="L51" i="5" s="1"/>
  <c r="L70" i="5" a="1"/>
  <c r="L70" i="5" s="1"/>
  <c r="L90" i="5" s="1"/>
  <c r="M49" i="5" a="1"/>
  <c r="M49" i="5" s="1"/>
  <c r="M50" i="5" a="1"/>
  <c r="M50" i="5" s="1"/>
  <c r="M48" i="5" a="1"/>
  <c r="M48" i="5" s="1"/>
  <c r="M51" i="5" a="1"/>
  <c r="M51" i="5" s="1"/>
  <c r="L46" i="5" a="1"/>
  <c r="L46" i="5" s="1"/>
  <c r="L50" i="5" a="1"/>
  <c r="L50" i="5" s="1"/>
  <c r="M42" i="5" a="1"/>
  <c r="M42" i="5" s="1"/>
  <c r="L48" i="5" a="1"/>
  <c r="L48" i="5" s="1"/>
  <c r="L38" i="5" a="1"/>
  <c r="L38" i="5" s="1"/>
  <c r="L94" i="5" s="1"/>
  <c r="M70" i="5" a="1"/>
  <c r="M70" i="5" s="1"/>
  <c r="M90" i="5" s="1"/>
  <c r="P73" i="5" a="1"/>
  <c r="P73" i="5" s="1"/>
  <c r="O70" i="5" a="1"/>
  <c r="O70" i="5" s="1"/>
  <c r="P42" i="5" a="1"/>
  <c r="P42" i="5" s="1"/>
  <c r="M73" i="5" a="1"/>
  <c r="M73" i="5" s="1"/>
  <c r="O48" i="5" a="1"/>
  <c r="O48" i="5" s="1"/>
  <c r="Q70" i="5" a="1"/>
  <c r="Q70" i="5" s="1"/>
  <c r="O51" i="5" a="1"/>
  <c r="O51" i="5" s="1"/>
  <c r="P47" i="5" a="1"/>
  <c r="P47" i="5" s="1"/>
  <c r="P70" i="5" a="1"/>
  <c r="P70" i="5" s="1"/>
  <c r="O49" i="5" a="1"/>
  <c r="O49" i="5" s="1"/>
  <c r="O42" i="5" a="1"/>
  <c r="O42" i="5" s="1"/>
  <c r="O73" i="5" a="1"/>
  <c r="O73" i="5" s="1"/>
  <c r="O46" i="5" a="1"/>
  <c r="O46" i="5" s="1"/>
  <c r="O47" i="5" a="1"/>
  <c r="O47" i="5" s="1"/>
  <c r="P51" i="5" a="1"/>
  <c r="P51" i="5" s="1"/>
  <c r="Q48" i="5" a="1"/>
  <c r="Q48" i="5" s="1"/>
  <c r="Q46" i="5" a="1"/>
  <c r="Q46" i="5" s="1"/>
  <c r="Q47" i="5" a="1"/>
  <c r="Q47" i="5" s="1"/>
  <c r="R48" i="5" a="1"/>
  <c r="R48" i="5" s="1"/>
  <c r="T46" i="5" a="1"/>
  <c r="T46" i="5" s="1"/>
  <c r="Q42" i="5" a="1"/>
  <c r="Q42" i="5" s="1"/>
  <c r="R49" i="5" a="1"/>
  <c r="R49" i="5" s="1"/>
  <c r="P48" i="5" a="1"/>
  <c r="P48" i="5" s="1"/>
  <c r="Q49" i="5" a="1"/>
  <c r="Q49" i="5" s="1"/>
  <c r="Q51" i="5" a="1"/>
  <c r="Q51" i="5" s="1"/>
  <c r="Q73" i="5" a="1"/>
  <c r="Q73" i="5" s="1"/>
  <c r="P46" i="5" a="1"/>
  <c r="P46" i="5" s="1"/>
  <c r="R51" i="5" a="1"/>
  <c r="R51" i="5" s="1"/>
  <c r="R73" i="5" a="1"/>
  <c r="R73" i="5" s="1"/>
  <c r="T51" i="5" a="1"/>
  <c r="T51" i="5" s="1"/>
  <c r="R70" i="5" a="1"/>
  <c r="R70" i="5" s="1"/>
  <c r="S70" i="5" a="1"/>
  <c r="S70" i="5" s="1"/>
  <c r="S48" i="5" a="1"/>
  <c r="S48" i="5" s="1"/>
  <c r="R42" i="5" a="1"/>
  <c r="R42" i="5" s="1"/>
  <c r="R46" i="5" a="1"/>
  <c r="R46" i="5" s="1"/>
  <c r="R47" i="5" a="1"/>
  <c r="R47" i="5" s="1"/>
  <c r="S47" i="5" a="1"/>
  <c r="S47" i="5" s="1"/>
  <c r="T47" i="5" a="1"/>
  <c r="T47" i="5" s="1"/>
  <c r="S46" i="5" a="1"/>
  <c r="S46" i="5" s="1"/>
  <c r="S42" i="5" a="1"/>
  <c r="S42" i="5" s="1"/>
  <c r="T49" i="5" a="1"/>
  <c r="T49" i="5" s="1"/>
  <c r="S73" i="5" a="1"/>
  <c r="S73" i="5" s="1"/>
  <c r="S49" i="5" a="1"/>
  <c r="S49" i="5" s="1"/>
  <c r="U48" i="5" a="1"/>
  <c r="U48" i="5" s="1"/>
  <c r="U46" i="5" a="1"/>
  <c r="U46" i="5" s="1"/>
  <c r="T73" i="5" a="1"/>
  <c r="T73" i="5" s="1"/>
  <c r="S51" i="5" a="1"/>
  <c r="S51" i="5" s="1"/>
  <c r="U42" i="5" a="1"/>
  <c r="U42" i="5" s="1"/>
  <c r="T70" i="5" a="1"/>
  <c r="T70" i="5" s="1"/>
  <c r="U47" i="5" a="1"/>
  <c r="U47" i="5" s="1"/>
  <c r="U73" i="5" a="1"/>
  <c r="U73" i="5" s="1"/>
  <c r="U49" i="5" a="1"/>
  <c r="U49" i="5" s="1"/>
  <c r="V51" i="5" a="1"/>
  <c r="V51" i="5" s="1"/>
  <c r="T42" i="5" a="1"/>
  <c r="T42" i="5" s="1"/>
  <c r="V47" i="5" a="1"/>
  <c r="V47" i="5" s="1"/>
  <c r="U51" i="5" a="1"/>
  <c r="U51" i="5" s="1"/>
  <c r="T48" i="5" a="1"/>
  <c r="T48" i="5" s="1"/>
  <c r="U70" i="5" a="1"/>
  <c r="U70" i="5" s="1"/>
  <c r="W70" i="5" a="1"/>
  <c r="W70" i="5" s="1"/>
  <c r="V70" i="5" a="1"/>
  <c r="V70" i="5" s="1"/>
  <c r="X47" i="5" a="1"/>
  <c r="X47" i="5" s="1"/>
  <c r="V49" i="5" a="1"/>
  <c r="V49" i="5" s="1"/>
  <c r="W42" i="5" a="1"/>
  <c r="W42" i="5" s="1"/>
  <c r="V42" i="5" a="1"/>
  <c r="V42" i="5" s="1"/>
  <c r="X70" i="5" a="1"/>
  <c r="X70" i="5" s="1"/>
  <c r="X42" i="5" a="1"/>
  <c r="X42" i="5" s="1"/>
  <c r="Y46" i="5" a="1"/>
  <c r="Y46" i="5" s="1"/>
  <c r="Y47" i="5" a="1"/>
  <c r="Y47" i="5" s="1"/>
  <c r="W51" i="5" a="1"/>
  <c r="W51" i="5" s="1"/>
  <c r="V73" i="5" a="1"/>
  <c r="V73" i="5" s="1"/>
  <c r="X51" i="5" a="1"/>
  <c r="X51" i="5" s="1"/>
  <c r="Y51" i="5" a="1"/>
  <c r="Y51" i="5" s="1"/>
  <c r="Y42" i="5" a="1"/>
  <c r="Y42" i="5" s="1"/>
  <c r="Y48" i="5" a="1"/>
  <c r="Y48" i="5" s="1"/>
  <c r="X48" i="5" a="1"/>
  <c r="X48" i="5" s="1"/>
  <c r="X46" i="5" a="1"/>
  <c r="X46" i="5" s="1"/>
  <c r="Y70" i="5" a="1"/>
  <c r="Y70" i="5" s="1"/>
  <c r="Z46" i="5" a="1"/>
  <c r="Z46" i="5" s="1"/>
  <c r="AA42" i="5" a="1"/>
  <c r="AA42" i="5" s="1"/>
  <c r="Z48" i="5" a="1"/>
  <c r="Z48" i="5" s="1"/>
  <c r="Z51" i="5" a="1"/>
  <c r="Z51" i="5" s="1"/>
  <c r="Z70" i="5" a="1"/>
  <c r="Z70" i="5" s="1"/>
  <c r="Z42" i="5" a="1"/>
  <c r="Z42" i="5" s="1"/>
  <c r="AA70" i="5" a="1"/>
  <c r="AA70" i="5" s="1"/>
  <c r="AA46" i="5" a="1"/>
  <c r="AA46" i="5" s="1"/>
  <c r="Z47" i="5" a="1"/>
  <c r="Z47" i="5" s="1"/>
  <c r="AD51" i="5" a="1"/>
  <c r="AD51" i="5" s="1"/>
  <c r="AC51" i="5" a="1"/>
  <c r="AC51" i="5" s="1"/>
  <c r="AC73" i="5" a="1"/>
  <c r="AC73" i="5" s="1"/>
  <c r="AB49" i="5" a="1"/>
  <c r="AB49" i="5" s="1"/>
  <c r="AC48" i="5" a="1"/>
  <c r="AC48" i="5" s="1"/>
  <c r="AB70" i="5" a="1"/>
  <c r="AB70" i="5" s="1"/>
  <c r="AA48" i="5" a="1"/>
  <c r="AA48" i="5" s="1"/>
  <c r="AA49" i="5" a="1"/>
  <c r="AA49" i="5" s="1"/>
  <c r="AB42" i="5" a="1"/>
  <c r="AB42" i="5" s="1"/>
  <c r="AA73" i="5" a="1"/>
  <c r="AA73" i="5" s="1"/>
  <c r="AC49" i="5" a="1"/>
  <c r="AC49" i="5" s="1"/>
  <c r="AB47" i="5" a="1"/>
  <c r="AB47" i="5" s="1"/>
  <c r="AB51" i="5" a="1"/>
  <c r="AB51" i="5" s="1"/>
  <c r="AB73" i="5" a="1"/>
  <c r="AB73" i="5" s="1"/>
  <c r="AC42" i="5" a="1"/>
  <c r="AC42" i="5" s="1"/>
  <c r="AB48" i="5" a="1"/>
  <c r="AB48" i="5" s="1"/>
  <c r="AD42" i="5" a="1"/>
  <c r="AD42" i="5" s="1"/>
  <c r="AA51" i="5" a="1"/>
  <c r="AA51" i="5" s="1"/>
  <c r="AE70" i="5" a="1"/>
  <c r="AE70" i="5" s="1"/>
  <c r="AD49" i="5" a="1"/>
  <c r="AD49" i="5" s="1"/>
  <c r="AD70" i="5" a="1"/>
  <c r="AD70" i="5" s="1"/>
  <c r="AD48" i="5" a="1"/>
  <c r="AD48" i="5" s="1"/>
  <c r="AC47" i="5" a="1"/>
  <c r="AC47" i="5" s="1"/>
  <c r="AD73" i="5" a="1"/>
  <c r="AD73" i="5" s="1"/>
  <c r="AE73" i="5" a="1"/>
  <c r="AE73" i="5" s="1"/>
  <c r="AF42" i="5" a="1"/>
  <c r="AF42" i="5" s="1"/>
  <c r="AF51" i="5" a="1"/>
  <c r="AF51" i="5" s="1"/>
  <c r="AE47" i="5" a="1"/>
  <c r="AE47" i="5" s="1"/>
  <c r="AD47" i="5" a="1"/>
  <c r="AD47" i="5" s="1"/>
  <c r="AF48" i="5" a="1"/>
  <c r="AF48" i="5" s="1"/>
  <c r="AF70" i="5" a="1"/>
  <c r="AF70" i="5" s="1"/>
  <c r="AC70" i="5" a="1"/>
  <c r="AC70" i="5" s="1"/>
  <c r="AE49" i="5" a="1"/>
  <c r="AE49" i="5" s="1"/>
  <c r="AE51" i="5" a="1"/>
  <c r="AE51" i="5" s="1"/>
  <c r="AG47" i="5" a="1"/>
  <c r="AG47" i="5" s="1"/>
  <c r="AF49" i="5" a="1"/>
  <c r="AF49" i="5" s="1"/>
  <c r="AF47" i="5" a="1"/>
  <c r="AF47" i="5" s="1"/>
  <c r="AG51" i="5" a="1"/>
  <c r="AG51" i="5" s="1"/>
  <c r="AG49" i="5" a="1"/>
  <c r="AG49" i="5" s="1"/>
  <c r="AG70" i="5" a="1"/>
  <c r="AG70" i="5" s="1"/>
  <c r="AE48" i="5" a="1"/>
  <c r="AE48" i="5" s="1"/>
  <c r="AG73" i="5" a="1"/>
  <c r="AG73" i="5" s="1"/>
  <c r="AG42" i="5" a="1"/>
  <c r="AG42" i="5" s="1"/>
  <c r="AH47" i="5" a="1"/>
  <c r="AH47" i="5" s="1"/>
  <c r="AH51" i="5" a="1"/>
  <c r="AH51" i="5" s="1"/>
  <c r="AH49" i="5" a="1"/>
  <c r="AH49" i="5" s="1"/>
  <c r="AG48" i="5" a="1"/>
  <c r="AG48" i="5" s="1"/>
  <c r="AH42" i="5" a="1"/>
  <c r="AH42" i="5" s="1"/>
  <c r="AI48" i="5" a="1"/>
  <c r="AI48" i="5" s="1"/>
  <c r="AF73" i="5" a="1"/>
  <c r="AF73" i="5" s="1"/>
  <c r="AH73" i="5" a="1"/>
  <c r="AH73" i="5" s="1"/>
  <c r="AH70" i="5" a="1"/>
  <c r="AH70" i="5" s="1"/>
  <c r="AH48" i="5" a="1"/>
  <c r="AH48" i="5" s="1"/>
  <c r="AI73" i="5" a="1"/>
  <c r="AI73" i="5" s="1"/>
  <c r="AK47" i="5" a="1"/>
  <c r="AK47" i="5" s="1"/>
  <c r="AJ51" i="5" a="1"/>
  <c r="AJ51" i="5" s="1"/>
  <c r="AI70" i="5" a="1"/>
  <c r="AI70" i="5" s="1"/>
  <c r="AJ42" i="5" a="1"/>
  <c r="AJ42" i="5" s="1"/>
  <c r="AI51" i="5" a="1"/>
  <c r="AI51" i="5" s="1"/>
  <c r="AI42" i="5" a="1"/>
  <c r="AI42" i="5" s="1"/>
  <c r="AI47" i="5" a="1"/>
  <c r="AI47" i="5" s="1"/>
  <c r="AJ73" i="5" a="1"/>
  <c r="AJ73" i="5" s="1"/>
  <c r="AJ49" i="5" a="1"/>
  <c r="AJ49" i="5" s="1"/>
  <c r="AK49" i="5" a="1"/>
  <c r="AK49" i="5" s="1"/>
  <c r="AJ47" i="5" a="1"/>
  <c r="AJ47" i="5" s="1"/>
  <c r="AL73" i="5" a="1"/>
  <c r="AL73" i="5" s="1"/>
  <c r="AJ70" i="5" a="1"/>
  <c r="AJ70" i="5" s="1"/>
  <c r="AJ90" i="5" s="1"/>
  <c r="AK70" i="5" a="1"/>
  <c r="AK70" i="5" s="1"/>
  <c r="AK90" i="5" s="1"/>
  <c r="AK48" i="5" a="1"/>
  <c r="AK48" i="5" s="1"/>
  <c r="AL70" i="5" a="1"/>
  <c r="AL70" i="5" s="1"/>
  <c r="AL90" i="5" s="1"/>
  <c r="AI49" i="5" a="1"/>
  <c r="AI49" i="5" s="1"/>
  <c r="AK73" i="5" a="1"/>
  <c r="AK73" i="5" s="1"/>
  <c r="AM47" i="5" a="1"/>
  <c r="AM47" i="5" s="1"/>
  <c r="AL49" i="5" a="1"/>
  <c r="AL49" i="5" s="1"/>
  <c r="AK51" i="5" a="1"/>
  <c r="AK51" i="5" s="1"/>
  <c r="AJ48" i="5" a="1"/>
  <c r="AJ48" i="5" s="1"/>
  <c r="AL51" i="5" a="1"/>
  <c r="AL51" i="5" s="1"/>
  <c r="AM70" i="5" a="1"/>
  <c r="AM70" i="5" s="1"/>
  <c r="AM90" i="5" s="1"/>
  <c r="AM42" i="5" a="1"/>
  <c r="AM42" i="5" s="1"/>
  <c r="AM48" i="5" a="1"/>
  <c r="AM48" i="5" s="1"/>
  <c r="AL48" i="5" a="1"/>
  <c r="AL48" i="5" s="1"/>
  <c r="AL47" i="5" a="1"/>
  <c r="AL47" i="5" s="1"/>
  <c r="AM51" i="5" a="1"/>
  <c r="AM51" i="5" s="1"/>
  <c r="AO51" i="5" a="1"/>
  <c r="AO51" i="5" s="1"/>
  <c r="AN51" i="5" a="1"/>
  <c r="AN51" i="5" s="1"/>
  <c r="AN47" i="5" a="1"/>
  <c r="AN47" i="5" s="1"/>
  <c r="AO73" i="5" a="1"/>
  <c r="AO73" i="5" s="1"/>
  <c r="AN49" i="5" a="1"/>
  <c r="AN49" i="5" s="1"/>
  <c r="AN48" i="5" a="1"/>
  <c r="AN48" i="5" s="1"/>
  <c r="AM49" i="5" a="1"/>
  <c r="AM49" i="5" s="1"/>
  <c r="AP73" i="5" a="1"/>
  <c r="AP73" i="5" s="1"/>
  <c r="AN90" i="5"/>
  <c r="AN73" i="5" a="1"/>
  <c r="AN73" i="5" s="1"/>
  <c r="AO49" i="5" a="1"/>
  <c r="AO49" i="5" s="1"/>
  <c r="AM73" i="5" a="1"/>
  <c r="AM73" i="5" s="1"/>
  <c r="AP48" i="5" a="1"/>
  <c r="AP48" i="5" s="1"/>
  <c r="AQ51" i="5" a="1"/>
  <c r="AQ51" i="5" s="1"/>
  <c r="AQ73" i="5" a="1"/>
  <c r="AQ73" i="5" s="1"/>
  <c r="AO47" i="5" a="1"/>
  <c r="AO47" i="5" s="1"/>
  <c r="AP47" i="5" a="1"/>
  <c r="AP47" i="5" s="1"/>
  <c r="AP49" i="5" a="1"/>
  <c r="AP49" i="5" s="1"/>
  <c r="AP90" i="5"/>
  <c r="AO48" i="5" a="1"/>
  <c r="AO48" i="5" s="1"/>
  <c r="AP51" i="5" a="1"/>
  <c r="AP51" i="5" s="1"/>
  <c r="AQ47" i="5" a="1"/>
  <c r="AQ47" i="5" s="1"/>
  <c r="AQ48" i="5" a="1"/>
  <c r="AQ48" i="5" s="1"/>
  <c r="AO90" i="5"/>
  <c r="AR90" i="5"/>
  <c r="AR51" i="5" a="1"/>
  <c r="AR51" i="5" s="1"/>
  <c r="AR49" i="5" a="1"/>
  <c r="AR49" i="5" s="1"/>
  <c r="AQ49" i="5" a="1"/>
  <c r="AQ49" i="5" s="1"/>
  <c r="AR48" i="5" a="1"/>
  <c r="AR48" i="5" s="1"/>
  <c r="AS42" i="5" a="1"/>
  <c r="AS42" i="5" s="1"/>
  <c r="AT51" i="5" a="1"/>
  <c r="AT51" i="5" s="1"/>
  <c r="AT47" i="5" a="1"/>
  <c r="AT47" i="5" s="1"/>
  <c r="AT48" i="5" a="1"/>
  <c r="AT48" i="5" s="1"/>
  <c r="AT49" i="5" a="1"/>
  <c r="AT49" i="5" s="1"/>
  <c r="AS49" i="5" a="1"/>
  <c r="AS49" i="5" s="1"/>
  <c r="AR47" i="5" a="1"/>
  <c r="AR47" i="5" s="1"/>
  <c r="AS48" i="5" a="1"/>
  <c r="AS48" i="5" s="1"/>
  <c r="AT42" i="5" a="1"/>
  <c r="AT42" i="5" s="1"/>
  <c r="AS90" i="5"/>
  <c r="AS46" i="5" a="1"/>
  <c r="AS46" i="5" s="1"/>
  <c r="AS51" i="5" a="1"/>
  <c r="AS51" i="5" s="1"/>
  <c r="AS47" i="5" a="1"/>
  <c r="AS47" i="5" s="1"/>
  <c r="AT73" i="5" a="1"/>
  <c r="AT73" i="5" s="1"/>
  <c r="AS73" i="5" a="1"/>
  <c r="AS73" i="5" s="1"/>
  <c r="AR73" i="5" a="1"/>
  <c r="AR73" i="5" s="1"/>
  <c r="AV90" i="5"/>
  <c r="AU51" i="5" a="1"/>
  <c r="AU51" i="5" s="1"/>
  <c r="AU46" i="5" a="1"/>
  <c r="AU46" i="5" s="1"/>
  <c r="AU47" i="5" a="1"/>
  <c r="AU47" i="5" s="1"/>
  <c r="AT46" i="5" a="1"/>
  <c r="AT46" i="5" s="1"/>
  <c r="AU48" i="5" a="1"/>
  <c r="AU48" i="5" s="1"/>
  <c r="AW87" i="5"/>
  <c r="AU73" i="5" a="1"/>
  <c r="AU73" i="5" s="1"/>
  <c r="AU87" i="5"/>
  <c r="AU49" i="5" a="1"/>
  <c r="AU49" i="5" s="1"/>
  <c r="AV73" i="5" a="1"/>
  <c r="AV73" i="5" s="1"/>
  <c r="AV47" i="5" a="1"/>
  <c r="AV47" i="5" s="1"/>
  <c r="AV42" i="5" a="1"/>
  <c r="AV42" i="5" s="1"/>
  <c r="AW73" i="5" a="1"/>
  <c r="AW73" i="5" s="1"/>
  <c r="AY87" i="5"/>
  <c r="AU90" i="5"/>
  <c r="AW48" i="5" a="1"/>
  <c r="AW48" i="5" s="1"/>
  <c r="AV87" i="5"/>
  <c r="AV49" i="5" a="1"/>
  <c r="AV49" i="5" s="1"/>
  <c r="AX73" i="5" a="1"/>
  <c r="AX73" i="5" s="1"/>
  <c r="AW49" i="5" a="1"/>
  <c r="AW49" i="5" s="1"/>
  <c r="AV51" i="5" a="1"/>
  <c r="AV51" i="5" s="1"/>
  <c r="AX46" i="5" a="1"/>
  <c r="AX46" i="5" s="1"/>
  <c r="AX70" i="5" a="1"/>
  <c r="AX70" i="5" s="1"/>
  <c r="AX90" i="5" s="1"/>
  <c r="AV48" i="5" a="1"/>
  <c r="AV48" i="5" s="1"/>
  <c r="AW42" i="5" a="1"/>
  <c r="AW42" i="5" s="1"/>
  <c r="AW46" i="5" a="1"/>
  <c r="AW46" i="5" s="1"/>
  <c r="AW70" i="5" a="1"/>
  <c r="AW70" i="5" s="1"/>
  <c r="AW90" i="5" s="1"/>
  <c r="AV46" i="5" a="1"/>
  <c r="AV46" i="5" s="1"/>
  <c r="AW51" i="5" a="1"/>
  <c r="AW51" i="5" s="1"/>
  <c r="AY49" i="5" a="1"/>
  <c r="AY49" i="5" s="1"/>
  <c r="AX48" i="5" a="1"/>
  <c r="AX48" i="5" s="1"/>
  <c r="AX87" i="5"/>
  <c r="AW47" i="5" a="1"/>
  <c r="AW47" i="5" s="1"/>
  <c r="AX49" i="5" a="1"/>
  <c r="AX49" i="5" s="1"/>
  <c r="AX51" i="5" a="1"/>
  <c r="AX51" i="5" s="1"/>
  <c r="AY73" i="5" a="1"/>
  <c r="AY73" i="5" s="1"/>
  <c r="AY46" i="5" a="1"/>
  <c r="AY46" i="5" s="1"/>
  <c r="AX42" i="5" a="1"/>
  <c r="AX42" i="5" s="1"/>
  <c r="AX47" i="5" a="1"/>
  <c r="AX47" i="5" s="1"/>
  <c r="AY47" i="5" a="1"/>
  <c r="AY47" i="5" s="1"/>
  <c r="AZ42" i="5" a="1"/>
  <c r="AZ42" i="5" s="1"/>
  <c r="AZ46" i="5" a="1"/>
  <c r="AZ46" i="5" s="1"/>
  <c r="AZ73" i="5" a="1"/>
  <c r="AZ73" i="5" s="1"/>
  <c r="AZ47" i="5" a="1"/>
  <c r="AZ47" i="5" s="1"/>
  <c r="AY51" i="5" a="1"/>
  <c r="AY51" i="5" s="1"/>
  <c r="AZ87" i="5"/>
  <c r="AY70" i="5" a="1"/>
  <c r="AY70" i="5" s="1"/>
  <c r="AZ49" i="5" a="1"/>
  <c r="AZ49" i="5" s="1"/>
  <c r="AY42" i="5" a="1"/>
  <c r="AY42" i="5" s="1"/>
  <c r="AY48" i="5" a="1"/>
  <c r="AY48" i="5" s="1"/>
  <c r="BA46" i="5" a="1"/>
  <c r="BA46" i="5" s="1"/>
  <c r="BA49" i="5" a="1"/>
  <c r="BA49" i="5" s="1"/>
  <c r="AZ70" i="5" a="1"/>
  <c r="AZ70" i="5" s="1"/>
  <c r="AZ90" i="5" s="1"/>
  <c r="BA48" i="5" a="1"/>
  <c r="BA48" i="5" s="1"/>
  <c r="BA70" i="5" a="1"/>
  <c r="BA70" i="5" s="1"/>
  <c r="BA90" i="5" s="1"/>
  <c r="AZ51" i="5" a="1"/>
  <c r="AZ51" i="5" s="1"/>
  <c r="AZ48" i="5" a="1"/>
  <c r="AZ48" i="5" s="1"/>
  <c r="BA73" i="5" a="1"/>
  <c r="BA73" i="5" s="1"/>
  <c r="BA42" i="5" a="1"/>
  <c r="BA42" i="5" s="1"/>
  <c r="BB48" i="5" a="1"/>
  <c r="BB48" i="5" s="1"/>
  <c r="BA51" i="5" a="1"/>
  <c r="BA51" i="5" s="1"/>
  <c r="BA87" i="5"/>
  <c r="BB42" i="5" a="1"/>
  <c r="BB42" i="5" s="1"/>
  <c r="BB51" i="5" a="1"/>
  <c r="BB51" i="5" s="1"/>
  <c r="BA47" i="5" a="1"/>
  <c r="BA47" i="5" s="1"/>
  <c r="BB46" i="5" a="1"/>
  <c r="BB46" i="5" s="1"/>
  <c r="BB87" i="5"/>
  <c r="BB70" i="5" a="1"/>
  <c r="BB70" i="5" s="1"/>
  <c r="BB90" i="5" s="1"/>
  <c r="BB73" i="5" a="1"/>
  <c r="BB73" i="5" s="1"/>
  <c r="BE47" i="5" a="1"/>
  <c r="BE47" i="5" s="1"/>
  <c r="BD42" i="5" a="1"/>
  <c r="BD42" i="5" s="1"/>
  <c r="BC49" i="5" a="1"/>
  <c r="BC49" i="5" s="1"/>
  <c r="BC70" i="5" a="1"/>
  <c r="BC70" i="5" s="1"/>
  <c r="BC90" i="5" s="1"/>
  <c r="BC48" i="5" a="1"/>
  <c r="BC48" i="5" s="1"/>
  <c r="BC46" i="5" a="1"/>
  <c r="BC46" i="5" s="1"/>
  <c r="BG70" i="5" a="1"/>
  <c r="BG70" i="5" s="1"/>
  <c r="BG90" i="5" s="1"/>
  <c r="BD73" i="5" a="1"/>
  <c r="BD73" i="5" s="1"/>
  <c r="BB47" i="5" a="1"/>
  <c r="BB47" i="5" s="1"/>
  <c r="BD49" i="5" a="1"/>
  <c r="BD49" i="5" s="1"/>
  <c r="BD70" i="5" a="1"/>
  <c r="BD70" i="5" s="1"/>
  <c r="BD90" i="5" s="1"/>
  <c r="BC47" i="5" a="1"/>
  <c r="BC47" i="5" s="1"/>
  <c r="BD46" i="5" a="1"/>
  <c r="BD46" i="5" s="1"/>
  <c r="BB49" i="5" a="1"/>
  <c r="BB49" i="5" s="1"/>
  <c r="BD51" i="5" a="1"/>
  <c r="BD51" i="5" s="1"/>
  <c r="BC73" i="5" a="1"/>
  <c r="BC73" i="5" s="1"/>
  <c r="BC51" i="5" a="1"/>
  <c r="BC51" i="5" s="1"/>
  <c r="BD48" i="5" a="1"/>
  <c r="BD48" i="5" s="1"/>
  <c r="BC87" i="5"/>
  <c r="BE46" i="5" a="1"/>
  <c r="BE46" i="5" s="1"/>
  <c r="BE42" i="5" a="1"/>
  <c r="BE42" i="5" s="1"/>
  <c r="BC42" i="5" a="1"/>
  <c r="BC42" i="5" s="1"/>
  <c r="BE51" i="5" a="1"/>
  <c r="BE51" i="5" s="1"/>
  <c r="BD87" i="5"/>
  <c r="BE48" i="5" a="1"/>
  <c r="BE48" i="5" s="1"/>
  <c r="BE49" i="5" a="1"/>
  <c r="BE49" i="5" s="1"/>
  <c r="BE70" i="5" a="1"/>
  <c r="BE70" i="5" s="1"/>
  <c r="BE90" i="5" s="1"/>
  <c r="BE73" i="5" a="1"/>
  <c r="BE73" i="5" s="1"/>
  <c r="BH51" i="5" a="1"/>
  <c r="BH51" i="5" s="1"/>
  <c r="BG87" i="5"/>
  <c r="BG47" i="5" a="1"/>
  <c r="BG47" i="5" s="1"/>
  <c r="BH48" i="5" a="1"/>
  <c r="BH48" i="5" s="1"/>
  <c r="BF47" i="5" a="1"/>
  <c r="BF47" i="5" s="1"/>
  <c r="BF49" i="5" a="1"/>
  <c r="BF49" i="5" s="1"/>
  <c r="BE87" i="5"/>
  <c r="BD47" i="5" a="1"/>
  <c r="BD47" i="5" s="1"/>
  <c r="BG73" i="5" a="1"/>
  <c r="BG73" i="5" s="1"/>
  <c r="BF87" i="5"/>
  <c r="BF42" i="5" a="1"/>
  <c r="BF42" i="5" s="1"/>
  <c r="BF48" i="5" a="1"/>
  <c r="BF48" i="5" s="1"/>
  <c r="BF73" i="5" a="1"/>
  <c r="BF73" i="5" s="1"/>
  <c r="BH73" i="5" a="1"/>
  <c r="BH73" i="5" s="1"/>
  <c r="BH42" i="5" a="1"/>
  <c r="BH42" i="5" s="1"/>
  <c r="BH49" i="5" a="1"/>
  <c r="BH49" i="5" s="1"/>
  <c r="BG49" i="5" a="1"/>
  <c r="BG49" i="5" s="1"/>
  <c r="BH46" i="5" a="1"/>
  <c r="BH46" i="5" s="1"/>
  <c r="BF51" i="5" a="1"/>
  <c r="BF51" i="5" s="1"/>
  <c r="BJ42" i="5" a="1"/>
  <c r="BJ42" i="5" s="1"/>
  <c r="BF70" i="5" a="1"/>
  <c r="BF70" i="5" s="1"/>
  <c r="BF90" i="5" s="1"/>
  <c r="BG46" i="5" a="1"/>
  <c r="BG46" i="5" s="1"/>
  <c r="BG42" i="5" a="1"/>
  <c r="BG42" i="5" s="1"/>
  <c r="BG48" i="5" a="1"/>
  <c r="BG48" i="5" s="1"/>
  <c r="BJ47" i="5" a="1"/>
  <c r="BJ47" i="5" s="1"/>
  <c r="BJ49" i="5" a="1"/>
  <c r="BJ49" i="5" s="1"/>
  <c r="BF46" i="5" a="1"/>
  <c r="BF46" i="5" s="1"/>
  <c r="BH70" i="5" a="1"/>
  <c r="BH70" i="5" s="1"/>
  <c r="BH90" i="5" s="1"/>
  <c r="BH47" i="5" a="1"/>
  <c r="BH47" i="5" s="1"/>
  <c r="BI46" i="5" a="1"/>
  <c r="BI46" i="5" s="1"/>
  <c r="BI47" i="5" a="1"/>
  <c r="BI47" i="5" s="1"/>
  <c r="BI49" i="5" a="1"/>
  <c r="BI49" i="5" s="1"/>
  <c r="BG51" i="5" a="1"/>
  <c r="BG51" i="5" s="1"/>
  <c r="BH87" i="5"/>
  <c r="BI87" i="5"/>
  <c r="BJ48" i="5" a="1"/>
  <c r="BJ48" i="5" s="1"/>
  <c r="BJ70" i="5" a="1"/>
  <c r="BJ70" i="5" s="1"/>
  <c r="BJ90" i="5" s="1"/>
  <c r="BJ87" i="5"/>
  <c r="BK90" i="5"/>
  <c r="BK87" i="5"/>
  <c r="BI48" i="5" a="1"/>
  <c r="BI48" i="5" s="1"/>
  <c r="BK47" i="5" a="1"/>
  <c r="BK47" i="5" s="1"/>
  <c r="BI73" i="5" a="1"/>
  <c r="BI73" i="5" s="1"/>
  <c r="BI70" i="5" a="1"/>
  <c r="BI70" i="5" s="1"/>
  <c r="BI90" i="5" s="1"/>
  <c r="BJ51" i="5" a="1"/>
  <c r="BJ51" i="5" s="1"/>
  <c r="BL51" i="5" a="1"/>
  <c r="BL51" i="5" s="1"/>
  <c r="BK73" i="5" a="1"/>
  <c r="BK73" i="5" s="1"/>
  <c r="BK42" i="5" a="1"/>
  <c r="BK42" i="5" s="1"/>
  <c r="BK49" i="5" a="1"/>
  <c r="BK49" i="5" s="1"/>
  <c r="BI51" i="5" a="1"/>
  <c r="BI51" i="5" s="1"/>
  <c r="BJ46" i="5" a="1"/>
  <c r="BJ46" i="5" s="1"/>
  <c r="BI42" i="5" a="1"/>
  <c r="BI42" i="5" s="1"/>
  <c r="BJ73" i="5" a="1"/>
  <c r="BJ73" i="5" s="1"/>
  <c r="BM49" i="5" a="1"/>
  <c r="BM49" i="5" s="1"/>
  <c r="BN49" i="5" a="1"/>
  <c r="BN49" i="5" s="1"/>
  <c r="BL49" i="5" a="1"/>
  <c r="BL49" i="5" s="1"/>
  <c r="BK46" i="5" a="1"/>
  <c r="BK46" i="5" s="1"/>
  <c r="BN51" i="5" a="1"/>
  <c r="BN51" i="5" s="1"/>
  <c r="BL90" i="5"/>
  <c r="BL87" i="5"/>
  <c r="BK48" i="5" a="1"/>
  <c r="BK48" i="5" s="1"/>
  <c r="BL73" i="5" a="1"/>
  <c r="BL73" i="5" s="1"/>
  <c r="BL48" i="5" a="1"/>
  <c r="BL48" i="5" s="1"/>
  <c r="BM48" i="5" a="1"/>
  <c r="BM48" i="5" s="1"/>
  <c r="BM87" i="5"/>
  <c r="BM51" i="5" a="1"/>
  <c r="BM51" i="5" s="1"/>
  <c r="BM73" i="5" a="1"/>
  <c r="BM73" i="5" s="1"/>
  <c r="BL46" i="5" a="1"/>
  <c r="BL46" i="5" s="1"/>
  <c r="BN87" i="5"/>
  <c r="BK51" i="5" a="1"/>
  <c r="BK51" i="5" s="1"/>
  <c r="BM42" i="5" a="1"/>
  <c r="BM42" i="5" s="1"/>
  <c r="BM90" i="5"/>
  <c r="BM46" i="5" a="1"/>
  <c r="BM46" i="5" s="1"/>
  <c r="BO49" i="5" a="1"/>
  <c r="BO49" i="5" s="1"/>
  <c r="BN90" i="5"/>
  <c r="BN48" i="5" a="1"/>
  <c r="BN48" i="5" s="1"/>
  <c r="BN73" i="5" a="1"/>
  <c r="BN73" i="5" s="1"/>
  <c r="BM47" i="5" a="1"/>
  <c r="BM47" i="5" s="1"/>
  <c r="BN47" i="5" a="1"/>
  <c r="BN47" i="5" s="1"/>
  <c r="BN42" i="5" a="1"/>
  <c r="BN42" i="5" s="1"/>
  <c r="BO47" i="5" a="1"/>
  <c r="BO47" i="5" s="1"/>
  <c r="BL42" i="5" a="1"/>
  <c r="BL42" i="5" s="1"/>
  <c r="BL47" i="5" a="1"/>
  <c r="BL47" i="5" s="1"/>
  <c r="BN46" i="5" a="1"/>
  <c r="BN46" i="5" s="1"/>
  <c r="BO46" i="5" a="1"/>
  <c r="BO46" i="5" s="1"/>
  <c r="BO51" i="5" a="1"/>
  <c r="BO51" i="5" s="1"/>
  <c r="BO73" i="5" a="1"/>
  <c r="BO73" i="5" s="1"/>
  <c r="BO42" i="5" a="1"/>
  <c r="BO42" i="5" s="1"/>
  <c r="BP73" i="5" a="1"/>
  <c r="BP73" i="5" s="1"/>
  <c r="BO48" i="5" a="1"/>
  <c r="BO48" i="5" s="1"/>
  <c r="BO87" i="5"/>
  <c r="BP70" i="5" a="1"/>
  <c r="BP70" i="5" s="1"/>
  <c r="BP90" i="5" s="1"/>
  <c r="BR51" i="5" a="1"/>
  <c r="BR51" i="5" s="1"/>
  <c r="BQ70" i="5" a="1"/>
  <c r="BQ70" i="5" s="1"/>
  <c r="BQ90" i="5" s="1"/>
  <c r="BQ73" i="5" a="1"/>
  <c r="BQ73" i="5" s="1"/>
  <c r="BP48" i="5" a="1"/>
  <c r="BP48" i="5" s="1"/>
  <c r="BP87" i="5"/>
  <c r="BQ42" i="5" a="1"/>
  <c r="BQ42" i="5" s="1"/>
  <c r="BQ47" i="5" a="1"/>
  <c r="BQ47" i="5" s="1"/>
  <c r="BP42" i="5" a="1"/>
  <c r="BP42" i="5" s="1"/>
  <c r="BP47" i="5" a="1"/>
  <c r="BP47" i="5" s="1"/>
  <c r="BP49" i="5" a="1"/>
  <c r="BP49" i="5" s="1"/>
  <c r="BQ51" i="5" a="1"/>
  <c r="BQ51" i="5" s="1"/>
  <c r="BP51" i="5" a="1"/>
  <c r="BP51" i="5" s="1"/>
  <c r="BQ46" i="5" a="1"/>
  <c r="BQ46" i="5" s="1"/>
  <c r="BQ49" i="5" a="1"/>
  <c r="BQ49" i="5" s="1"/>
  <c r="BO90" i="5"/>
  <c r="BQ48" i="5" a="1"/>
  <c r="BQ48" i="5" s="1"/>
  <c r="BR73" i="5" a="1"/>
  <c r="BR73" i="5" s="1"/>
  <c r="BR46" i="5" a="1"/>
  <c r="BR46" i="5" s="1"/>
  <c r="BQ87" i="5"/>
  <c r="BR47" i="5" a="1"/>
  <c r="BR47" i="5" s="1"/>
  <c r="BP46" i="5" a="1"/>
  <c r="BP46" i="5" s="1"/>
  <c r="BR87" i="5"/>
  <c r="BR70" i="5" a="1"/>
  <c r="BR70" i="5" s="1"/>
  <c r="BR90" i="5" s="1"/>
  <c r="BR49" i="5" a="1"/>
  <c r="BR49" i="5" s="1"/>
  <c r="BT49" i="5" a="1"/>
  <c r="BT49" i="5" s="1"/>
  <c r="BT42" i="5" a="1"/>
  <c r="BT42" i="5" s="1"/>
  <c r="BS51" i="5" a="1"/>
  <c r="BS51" i="5" s="1"/>
  <c r="BS48" i="5" a="1"/>
  <c r="BS48" i="5" s="1"/>
  <c r="BS87" i="5"/>
  <c r="BR48" i="5" a="1"/>
  <c r="BR48" i="5" s="1"/>
  <c r="BT87" i="5"/>
  <c r="BT73" i="5" a="1"/>
  <c r="BT73" i="5" s="1"/>
  <c r="BS70" i="5" a="1"/>
  <c r="BS70" i="5" s="1"/>
  <c r="BS90" i="5" s="1"/>
  <c r="BS47" i="5" a="1"/>
  <c r="BS47" i="5" s="1"/>
  <c r="BS49" i="5" a="1"/>
  <c r="BS49" i="5" s="1"/>
  <c r="BS73" i="5" a="1"/>
  <c r="BS73" i="5" s="1"/>
  <c r="BS42" i="5" a="1"/>
  <c r="BS42" i="5" s="1"/>
  <c r="BR42" i="5" a="1"/>
  <c r="BR42" i="5" s="1"/>
  <c r="BT51" i="5" a="1"/>
  <c r="BT51" i="5" s="1"/>
  <c r="BV46" i="5" a="1"/>
  <c r="BV46" i="5" s="1"/>
  <c r="BU47" i="5" a="1"/>
  <c r="BU47" i="5" s="1"/>
  <c r="BV48" i="5" a="1"/>
  <c r="BV48" i="5" s="1"/>
  <c r="BU49" i="5" a="1"/>
  <c r="BU49" i="5" s="1"/>
  <c r="BV87" i="5"/>
  <c r="BT46" i="5" a="1"/>
  <c r="BT46" i="5" s="1"/>
  <c r="BU73" i="5" a="1"/>
  <c r="BU73" i="5" s="1"/>
  <c r="BU46" i="5" a="1"/>
  <c r="BU46" i="5" s="1"/>
  <c r="BT48" i="5" a="1"/>
  <c r="BT48" i="5" s="1"/>
  <c r="BT70" i="5" a="1"/>
  <c r="BT70" i="5" s="1"/>
  <c r="BT90" i="5" s="1"/>
  <c r="BV51" i="5" a="1"/>
  <c r="BV51" i="5" s="1"/>
  <c r="BW46" i="5" a="1"/>
  <c r="BW46" i="5" s="1"/>
  <c r="BV70" i="5" a="1"/>
  <c r="BV70" i="5" s="1"/>
  <c r="BV90" i="5" s="1"/>
  <c r="BS46" i="5" a="1"/>
  <c r="BS46" i="5" s="1"/>
  <c r="BT47" i="5" a="1"/>
  <c r="BT47" i="5" s="1"/>
  <c r="BV73" i="5" a="1"/>
  <c r="BV73" i="5" s="1"/>
  <c r="BU51" i="5" a="1"/>
  <c r="BU51" i="5" s="1"/>
  <c r="BU48" i="5" a="1"/>
  <c r="BU48" i="5" s="1"/>
  <c r="BW47" i="5" a="1"/>
  <c r="BW47" i="5" s="1"/>
  <c r="BW87" i="5"/>
  <c r="BU70" i="5" a="1"/>
  <c r="BU70" i="5" s="1"/>
  <c r="BU90" i="5" s="1"/>
  <c r="BV42" i="5" a="1"/>
  <c r="BV42" i="5" s="1"/>
  <c r="BU42" i="5" a="1"/>
  <c r="BU42" i="5" s="1"/>
  <c r="BU87" i="5"/>
  <c r="BV49" i="5" a="1"/>
  <c r="BV49" i="5" s="1"/>
  <c r="BW73" i="5" a="1"/>
  <c r="BW73" i="5" s="1"/>
  <c r="BX87" i="5"/>
  <c r="BX73" i="5" a="1"/>
  <c r="BX73" i="5" s="1"/>
  <c r="BX42" i="5" a="1"/>
  <c r="BX42" i="5" s="1"/>
  <c r="BW70" i="5" a="1"/>
  <c r="BW70" i="5" s="1"/>
  <c r="BW90" i="5" s="1"/>
  <c r="BW49" i="5" a="1"/>
  <c r="BW49" i="5" s="1"/>
  <c r="BZ87" i="5"/>
  <c r="BW51" i="5" a="1"/>
  <c r="BW51" i="5" s="1"/>
  <c r="BX47" i="5" a="1"/>
  <c r="BX47" i="5" s="1"/>
  <c r="BV47" i="5" a="1"/>
  <c r="BV47" i="5" s="1"/>
  <c r="BX51" i="5" a="1"/>
  <c r="BX51" i="5" s="1"/>
  <c r="BX46" i="5" a="1"/>
  <c r="BX46" i="5" s="1"/>
  <c r="BX48" i="5" a="1"/>
  <c r="BX48" i="5" s="1"/>
  <c r="BW42" i="5" a="1"/>
  <c r="BW42" i="5" s="1"/>
  <c r="BX49" i="5" a="1"/>
  <c r="BX49" i="5" s="1"/>
  <c r="BY46" i="5" a="1"/>
  <c r="BY46" i="5" s="1"/>
  <c r="BY70" i="5" a="1"/>
  <c r="BY70" i="5" s="1"/>
  <c r="BY90" i="5" s="1"/>
  <c r="BY49" i="5" a="1"/>
  <c r="BY49" i="5" s="1"/>
  <c r="BY42" i="5" a="1"/>
  <c r="BY42" i="5" s="1"/>
  <c r="BW48" i="5" a="1"/>
  <c r="BW48" i="5" s="1"/>
  <c r="BY87" i="5"/>
  <c r="BX70" i="5" a="1"/>
  <c r="BX70" i="5" s="1"/>
  <c r="BX90" i="5" s="1"/>
  <c r="BZ70" i="5" a="1"/>
  <c r="BZ70" i="5" s="1"/>
  <c r="BZ90" i="5" s="1"/>
  <c r="CC47" i="5" a="1"/>
  <c r="CC47" i="5" s="1"/>
  <c r="BY51" i="5" a="1"/>
  <c r="BY51" i="5" s="1"/>
  <c r="BY73" i="5" a="1"/>
  <c r="BY73" i="5" s="1"/>
  <c r="BZ42" i="5" a="1"/>
  <c r="BZ42" i="5" s="1"/>
  <c r="BY47" i="5" a="1"/>
  <c r="BY47" i="5" s="1"/>
  <c r="CB70" i="5" a="1"/>
  <c r="CB70" i="5" s="1"/>
  <c r="CB90" i="5" s="1"/>
  <c r="CA70" i="5" a="1"/>
  <c r="CA70" i="5" s="1"/>
  <c r="CA90" i="5" s="1"/>
  <c r="BZ73" i="5" a="1"/>
  <c r="BZ73" i="5" s="1"/>
  <c r="BZ51" i="5" a="1"/>
  <c r="BZ51" i="5" s="1"/>
  <c r="CA87" i="5"/>
  <c r="CA46" i="5" a="1"/>
  <c r="CA46" i="5" s="1"/>
  <c r="BY48" i="5" a="1"/>
  <c r="BY48" i="5" s="1"/>
  <c r="BZ47" i="5" a="1"/>
  <c r="BZ47" i="5" s="1"/>
  <c r="BZ46" i="5" a="1"/>
  <c r="BZ46" i="5" s="1"/>
  <c r="CA49" i="5" a="1"/>
  <c r="CA49" i="5" s="1"/>
  <c r="BZ48" i="5" a="1"/>
  <c r="BZ48" i="5" s="1"/>
  <c r="BZ49" i="5" a="1"/>
  <c r="BZ49" i="5" s="1"/>
  <c r="CA51" i="5" a="1"/>
  <c r="CA51" i="5" s="1"/>
  <c r="CA42" i="5" a="1"/>
  <c r="CA42" i="5" s="1"/>
  <c r="CA73" i="5" a="1"/>
  <c r="CA73" i="5" s="1"/>
  <c r="CB49" i="5" a="1"/>
  <c r="CB49" i="5" s="1"/>
  <c r="CB42" i="5" a="1"/>
  <c r="CB42" i="5" s="1"/>
  <c r="CB47" i="5" a="1"/>
  <c r="CB47" i="5" s="1"/>
  <c r="CB73" i="5" a="1"/>
  <c r="CB73" i="5" s="1"/>
  <c r="CB51" i="5" a="1"/>
  <c r="CB51" i="5" s="1"/>
  <c r="CC48" i="5" a="1"/>
  <c r="CC48" i="5" s="1"/>
  <c r="CA47" i="5" a="1"/>
  <c r="CA47" i="5" s="1"/>
  <c r="CA48" i="5" a="1"/>
  <c r="CA48" i="5" s="1"/>
  <c r="CB87" i="5"/>
  <c r="CC70" i="5" a="1"/>
  <c r="CC70" i="5" s="1"/>
  <c r="CC90" i="5" s="1"/>
  <c r="CB48" i="5" a="1"/>
  <c r="CB48" i="5" s="1"/>
  <c r="CC46" i="5" a="1"/>
  <c r="CC46" i="5" s="1"/>
  <c r="CE46" i="5" a="1"/>
  <c r="CE46" i="5" s="1"/>
  <c r="CD51" i="5" a="1"/>
  <c r="CD51" i="5" s="1"/>
  <c r="CB46" i="5" a="1"/>
  <c r="CB46" i="5" s="1"/>
  <c r="CC42" i="5" a="1"/>
  <c r="CC42" i="5" s="1"/>
  <c r="CC73" i="5" a="1"/>
  <c r="CC73" i="5" s="1"/>
  <c r="CD47" i="5" a="1"/>
  <c r="CD47" i="5" s="1"/>
  <c r="CD46" i="5" a="1"/>
  <c r="CD46" i="5" s="1"/>
  <c r="CC49" i="5" a="1"/>
  <c r="CC49" i="5" s="1"/>
  <c r="CC87" i="5"/>
  <c r="CD87" i="5"/>
  <c r="CC51" i="5" a="1"/>
  <c r="CC51" i="5" s="1"/>
  <c r="CE49" i="5" a="1"/>
  <c r="CE49" i="5" s="1"/>
  <c r="CD48" i="5" a="1"/>
  <c r="CD48" i="5" s="1"/>
  <c r="CD70" i="5" a="1"/>
  <c r="CD70" i="5" s="1"/>
  <c r="CD90" i="5" s="1"/>
  <c r="CD73" i="5" a="1"/>
  <c r="CD73" i="5" s="1"/>
  <c r="CD49" i="5" a="1"/>
  <c r="CD49" i="5" s="1"/>
  <c r="CE70" i="5" a="1"/>
  <c r="CE70" i="5" s="1"/>
  <c r="CE90" i="5" s="1"/>
  <c r="CE51" i="5" a="1"/>
  <c r="CE51" i="5" s="1"/>
  <c r="CD42" i="5" a="1"/>
  <c r="CD42" i="5" s="1"/>
  <c r="CE73" i="5" a="1"/>
  <c r="CE73" i="5" s="1"/>
  <c r="CE42" i="5" a="1"/>
  <c r="CE42" i="5" s="1"/>
  <c r="CE87" i="5"/>
  <c r="CG47" i="5" a="1"/>
  <c r="CG47" i="5" s="1"/>
  <c r="CG51" i="5" a="1"/>
  <c r="CG51" i="5" s="1"/>
  <c r="CE48" i="5" a="1"/>
  <c r="CE48" i="5" s="1"/>
  <c r="CE47" i="5" a="1"/>
  <c r="CE47" i="5" s="1"/>
  <c r="CG46" i="5" a="1"/>
  <c r="CG46" i="5" s="1"/>
  <c r="CF47" i="5" a="1"/>
  <c r="CF47" i="5" s="1"/>
  <c r="CF73" i="5" a="1"/>
  <c r="CF73" i="5" s="1"/>
  <c r="CI49" i="5" a="1"/>
  <c r="CI49" i="5" s="1"/>
  <c r="CG48" i="5" a="1"/>
  <c r="CG48" i="5" s="1"/>
  <c r="CG49" i="5" a="1"/>
  <c r="CG49" i="5" s="1"/>
  <c r="CF70" i="5" a="1"/>
  <c r="CF70" i="5" s="1"/>
  <c r="CF90" i="5" s="1"/>
  <c r="CF51" i="5" a="1"/>
  <c r="CF51" i="5" s="1"/>
  <c r="CG73" i="5" a="1"/>
  <c r="CG73" i="5" s="1"/>
  <c r="CH73" i="5" a="1"/>
  <c r="CH73" i="5" s="1"/>
  <c r="CF49" i="5" a="1"/>
  <c r="CF49" i="5" s="1"/>
  <c r="CF46" i="5" a="1"/>
  <c r="CF46" i="5" s="1"/>
  <c r="CH42" i="5" a="1"/>
  <c r="CH42" i="5" s="1"/>
  <c r="CG87" i="5"/>
  <c r="CG70" i="5" a="1"/>
  <c r="CG70" i="5" s="1"/>
  <c r="CG90" i="5" s="1"/>
  <c r="CG42" i="5" a="1"/>
  <c r="CG42" i="5" s="1"/>
  <c r="CF42" i="5" a="1"/>
  <c r="CF42" i="5" s="1"/>
  <c r="CH51" i="5" a="1"/>
  <c r="CH51" i="5" s="1"/>
  <c r="CI42" i="5" a="1"/>
  <c r="CI42" i="5" s="1"/>
  <c r="CF87" i="5"/>
  <c r="CF48" i="5" a="1"/>
  <c r="CF48" i="5" s="1"/>
  <c r="CH49" i="5" a="1"/>
  <c r="CH49" i="5" s="1"/>
  <c r="CH87" i="5"/>
  <c r="CH48" i="5" a="1"/>
  <c r="CH48" i="5" s="1"/>
  <c r="CJ46" i="5" a="1"/>
  <c r="CJ46" i="5" s="1"/>
  <c r="CI48" i="5" a="1"/>
  <c r="CI48" i="5" s="1"/>
  <c r="CI47" i="5" a="1"/>
  <c r="CI47" i="5" s="1"/>
  <c r="CH46" i="5" a="1"/>
  <c r="CH46" i="5" s="1"/>
  <c r="CJ73" i="5" a="1"/>
  <c r="CJ73" i="5" s="1"/>
  <c r="CI87" i="5"/>
  <c r="CH47" i="5" a="1"/>
  <c r="CH47" i="5" s="1"/>
  <c r="CH70" i="5" a="1"/>
  <c r="CH70" i="5" s="1"/>
  <c r="CH90" i="5" s="1"/>
  <c r="CL70" i="5" a="1"/>
  <c r="CL70" i="5" s="1"/>
  <c r="CL90" i="5" s="1"/>
  <c r="CL51" i="5" a="1"/>
  <c r="CL51" i="5" s="1"/>
  <c r="CI73" i="5" a="1"/>
  <c r="CI73" i="5" s="1"/>
  <c r="CJ51" i="5" a="1"/>
  <c r="CJ51" i="5" s="1"/>
  <c r="CK73" i="5" a="1"/>
  <c r="CK73" i="5" s="1"/>
  <c r="CI70" i="5" a="1"/>
  <c r="CI70" i="5" s="1"/>
  <c r="CI90" i="5" s="1"/>
  <c r="CJ42" i="5" a="1"/>
  <c r="CJ42" i="5" s="1"/>
  <c r="CK87" i="5"/>
  <c r="CI51" i="5" a="1"/>
  <c r="CI51" i="5" s="1"/>
  <c r="CL73" i="5" a="1"/>
  <c r="CL73" i="5" s="1"/>
  <c r="CJ47" i="5" a="1"/>
  <c r="CJ47" i="5" s="1"/>
  <c r="CJ49" i="5" a="1"/>
  <c r="CJ49" i="5" s="1"/>
  <c r="CJ87" i="5"/>
  <c r="CJ48" i="5" a="1"/>
  <c r="CJ48" i="5" s="1"/>
  <c r="CN51" i="5" a="1"/>
  <c r="CN51" i="5" s="1"/>
  <c r="CI46" i="5" a="1"/>
  <c r="CI46" i="5" s="1"/>
  <c r="CJ70" i="5" a="1"/>
  <c r="CJ70" i="5" s="1"/>
  <c r="CJ90" i="5" s="1"/>
  <c r="CK47" i="5" a="1"/>
  <c r="CK47" i="5" s="1"/>
  <c r="CK42" i="5" a="1"/>
  <c r="CK42" i="5" s="1"/>
  <c r="CK48" i="5" a="1"/>
  <c r="CK48" i="5" s="1"/>
  <c r="CL46" i="5" a="1"/>
  <c r="CL46" i="5" s="1"/>
  <c r="CK51" i="5" a="1"/>
  <c r="CK51" i="5" s="1"/>
  <c r="CM49" i="5" a="1"/>
  <c r="CM49" i="5" s="1"/>
  <c r="CL48" i="5" a="1"/>
  <c r="CL48" i="5" s="1"/>
  <c r="CO46" i="5" a="1"/>
  <c r="CO46" i="5" s="1"/>
  <c r="CK70" i="5" a="1"/>
  <c r="CK70" i="5" s="1"/>
  <c r="CK90" i="5" s="1"/>
  <c r="CL87" i="5"/>
  <c r="CK46" i="5" a="1"/>
  <c r="CK46" i="5" s="1"/>
  <c r="CK49" i="5" a="1"/>
  <c r="CK49" i="5" s="1"/>
  <c r="CL42" i="5" a="1"/>
  <c r="CL42" i="5" s="1"/>
  <c r="CM47" i="5" a="1"/>
  <c r="CM47" i="5" s="1"/>
  <c r="CL49" i="5" a="1"/>
  <c r="CL49" i="5" s="1"/>
  <c r="CN48" i="5" a="1"/>
  <c r="CN48" i="5" s="1"/>
  <c r="CM46" i="5" a="1"/>
  <c r="CM46" i="5" s="1"/>
  <c r="CN73" i="5" a="1"/>
  <c r="CN73" i="5" s="1"/>
  <c r="CN70" i="5" a="1"/>
  <c r="CN70" i="5" s="1"/>
  <c r="CN90" i="5" s="1"/>
  <c r="CM42" i="5" a="1"/>
  <c r="CM42" i="5" s="1"/>
  <c r="CM73" i="5" a="1"/>
  <c r="CM73" i="5" s="1"/>
  <c r="CM51" i="5" a="1"/>
  <c r="CM51" i="5" s="1"/>
  <c r="CL47" i="5" a="1"/>
  <c r="CL47" i="5" s="1"/>
  <c r="CM70" i="5" a="1"/>
  <c r="CM70" i="5" s="1"/>
  <c r="CM90" i="5" s="1"/>
  <c r="CN46" i="5" a="1"/>
  <c r="CN46" i="5" s="1"/>
  <c r="CP70" i="5" a="1"/>
  <c r="CP70" i="5" s="1"/>
  <c r="CP90" i="5" s="1"/>
  <c r="CP73" i="5" a="1"/>
  <c r="CP73" i="5" s="1"/>
  <c r="CP42" i="5" a="1"/>
  <c r="CP42" i="5" s="1"/>
  <c r="CO51" i="5" a="1"/>
  <c r="CO51" i="5" s="1"/>
  <c r="CT87" i="5"/>
  <c r="CQ46" i="5" a="1"/>
  <c r="CQ46" i="5" s="1"/>
  <c r="CT46" i="5" a="1"/>
  <c r="CT46" i="5" s="1"/>
  <c r="CP47" i="5" a="1"/>
  <c r="CP47" i="5" s="1"/>
  <c r="CT49" i="5" a="1"/>
  <c r="CT49" i="5" s="1"/>
  <c r="CP46" i="5" a="1"/>
  <c r="CP46" i="5" s="1"/>
  <c r="CM87" i="5"/>
  <c r="CR73" i="5" a="1"/>
  <c r="CR73" i="5" s="1"/>
  <c r="CR87" i="5"/>
  <c r="CT42" i="5" a="1"/>
  <c r="CT42" i="5" s="1"/>
  <c r="CM48" i="5" a="1"/>
  <c r="CM48" i="5" s="1"/>
  <c r="CP51" i="5" a="1"/>
  <c r="CP51" i="5" s="1"/>
  <c r="CT73" i="5" a="1"/>
  <c r="CT73" i="5" s="1"/>
  <c r="CT47" i="5" a="1"/>
  <c r="CT47" i="5" s="1"/>
  <c r="CR48" i="5" a="1"/>
  <c r="CR48" i="5" s="1"/>
  <c r="CO49" i="5" a="1"/>
  <c r="CO49" i="5" s="1"/>
  <c r="CO73" i="5" a="1"/>
  <c r="CO73" i="5" s="1"/>
  <c r="CT70" i="5" a="1"/>
  <c r="CT70" i="5" s="1"/>
  <c r="CT90" i="5" s="1"/>
  <c r="CR42" i="5" a="1"/>
  <c r="CR42" i="5" s="1"/>
  <c r="CT51" i="5" a="1"/>
  <c r="CT51" i="5" s="1"/>
  <c r="CR49" i="5" a="1"/>
  <c r="CR49" i="5" s="1"/>
  <c r="CT48" i="5" a="1"/>
  <c r="CT48" i="5" s="1"/>
  <c r="CU47" i="5" a="1"/>
  <c r="CU47" i="5" s="1"/>
  <c r="CU49" i="5" a="1"/>
  <c r="CU49" i="5" s="1"/>
  <c r="CN42" i="5" a="1"/>
  <c r="CN42" i="5" s="1"/>
  <c r="CO87" i="5"/>
  <c r="CN87" i="5"/>
  <c r="CP87" i="5"/>
  <c r="CS87" i="5"/>
  <c r="CR70" i="5" a="1"/>
  <c r="CR70" i="5" s="1"/>
  <c r="CR90" i="5" s="1"/>
  <c r="CN49" i="5" a="1"/>
  <c r="CN49" i="5" s="1"/>
  <c r="CO70" i="5" a="1"/>
  <c r="CO70" i="5" s="1"/>
  <c r="CO90" i="5" s="1"/>
  <c r="CQ47" i="5" a="1"/>
  <c r="CQ47" i="5" s="1"/>
  <c r="CO48" i="5" a="1"/>
  <c r="CO48" i="5" s="1"/>
  <c r="CU70" i="5" a="1"/>
  <c r="CU70" i="5" s="1"/>
  <c r="CU90" i="5" s="1"/>
  <c r="CN47" i="5" a="1"/>
  <c r="CN47" i="5" s="1"/>
  <c r="CQ49" i="5" a="1"/>
  <c r="CQ49" i="5" s="1"/>
  <c r="CS47" i="5" a="1"/>
  <c r="CS47" i="5" s="1"/>
  <c r="CQ42" i="5" a="1"/>
  <c r="CQ42" i="5" s="1"/>
  <c r="D14" i="7" a="1"/>
  <c r="D14" i="7" s="1"/>
  <c r="E14" i="7" a="1"/>
  <c r="E14" i="7" s="1"/>
  <c r="E20" i="3" a="1"/>
  <c r="E20" i="3" s="1"/>
  <c r="E20" i="7" a="1"/>
  <c r="E20" i="7" s="1"/>
  <c r="J14" i="7" a="1"/>
  <c r="J14" i="7" s="1"/>
  <c r="G14" i="7" a="1"/>
  <c r="G14" i="7" s="1"/>
  <c r="H19" i="7" a="1"/>
  <c r="H19" i="7" s="1"/>
  <c r="H20" i="7" a="1"/>
  <c r="H20" i="7" s="1"/>
  <c r="G20" i="7" a="1"/>
  <c r="G20" i="7" s="1"/>
  <c r="H20" i="3" a="1"/>
  <c r="H20" i="3" s="1"/>
  <c r="J20" i="3" a="1"/>
  <c r="J20" i="3" s="1"/>
  <c r="J14" i="3" a="1"/>
  <c r="J14" i="3" s="1"/>
  <c r="H14" i="7" a="1"/>
  <c r="H14" i="7" s="1"/>
  <c r="I19" i="7" a="1"/>
  <c r="I19" i="7" s="1"/>
  <c r="I14" i="7" a="1"/>
  <c r="I14" i="7" s="1"/>
  <c r="I20" i="7" a="1"/>
  <c r="I20" i="7" s="1"/>
  <c r="J20" i="7" a="1"/>
  <c r="J20" i="7" s="1"/>
  <c r="K14" i="3" a="1"/>
  <c r="K14" i="3" s="1"/>
  <c r="L14" i="7" a="1"/>
  <c r="L14" i="7" s="1"/>
  <c r="K14" i="7" a="1"/>
  <c r="K14" i="7" s="1"/>
  <c r="K19" i="7" a="1"/>
  <c r="K19" i="7" s="1"/>
  <c r="K20" i="3" a="1"/>
  <c r="K20" i="3" s="1"/>
  <c r="M19" i="7" a="1"/>
  <c r="M19" i="7" s="1"/>
  <c r="K20" i="7" a="1"/>
  <c r="K20" i="7" s="1"/>
  <c r="N14" i="3" a="1"/>
  <c r="N14" i="3" s="1"/>
  <c r="L14" i="3" a="1"/>
  <c r="L14" i="3" s="1"/>
  <c r="L20" i="3" a="1"/>
  <c r="L20" i="3" s="1"/>
  <c r="M14" i="7" a="1"/>
  <c r="M14" i="7" s="1"/>
  <c r="L19" i="7" a="1"/>
  <c r="L19" i="7" s="1"/>
  <c r="L20" i="7" a="1"/>
  <c r="L20" i="7" s="1"/>
  <c r="M20" i="3" a="1"/>
  <c r="M20" i="3" s="1"/>
  <c r="M20" i="7" a="1"/>
  <c r="M20" i="7" s="1"/>
  <c r="O20" i="7" a="1"/>
  <c r="O20" i="7" s="1"/>
  <c r="O14" i="7" a="1"/>
  <c r="O14" i="7" s="1"/>
  <c r="P19" i="7" a="1"/>
  <c r="P19" i="7" s="1"/>
  <c r="N20" i="7" a="1"/>
  <c r="N20" i="7" s="1"/>
  <c r="N20" i="3" a="1"/>
  <c r="N20" i="3" s="1"/>
  <c r="N14" i="7" a="1"/>
  <c r="N14" i="7" s="1"/>
  <c r="N19" i="7" a="1"/>
  <c r="N19" i="7" s="1"/>
  <c r="O19" i="7" a="1"/>
  <c r="O19" i="7" s="1"/>
  <c r="S19" i="7" a="1"/>
  <c r="S19" i="7" s="1"/>
  <c r="O20" i="3" a="1"/>
  <c r="O20" i="3" s="1"/>
  <c r="P14" i="7" a="1"/>
  <c r="P14" i="7" s="1"/>
  <c r="P20" i="7" a="1"/>
  <c r="P20" i="7" s="1"/>
  <c r="O14" i="3" a="1"/>
  <c r="O14" i="3" s="1"/>
  <c r="R19" i="7" a="1"/>
  <c r="R19" i="7" s="1"/>
  <c r="R14" i="7" a="1"/>
  <c r="R14" i="7" s="1"/>
  <c r="R20" i="7" a="1"/>
  <c r="R20" i="7" s="1"/>
  <c r="S20" i="7" a="1"/>
  <c r="S20" i="7" s="1"/>
  <c r="P20" i="3" a="1"/>
  <c r="P20" i="3" s="1"/>
  <c r="P14" i="3" a="1"/>
  <c r="P14" i="3" s="1"/>
  <c r="U14" i="7" a="1"/>
  <c r="U14" i="7" s="1"/>
  <c r="S14" i="3" a="1"/>
  <c r="S14" i="3" s="1"/>
  <c r="S14" i="7" a="1"/>
  <c r="S14" i="7" s="1"/>
  <c r="U14" i="3" a="1"/>
  <c r="U14" i="3" s="1"/>
  <c r="T20" i="7" a="1"/>
  <c r="T20" i="7" s="1"/>
  <c r="T14" i="7" a="1"/>
  <c r="T14" i="7" s="1"/>
  <c r="T19" i="7" a="1"/>
  <c r="T19" i="7" s="1"/>
  <c r="U20" i="7" a="1"/>
  <c r="U20" i="7" s="1"/>
  <c r="T14" i="3" a="1"/>
  <c r="T14" i="3" s="1"/>
  <c r="V20" i="7" a="1"/>
  <c r="V20" i="7" s="1"/>
  <c r="V19" i="7" a="1"/>
  <c r="V19" i="7" s="1"/>
  <c r="U19" i="7" a="1"/>
  <c r="U19" i="7" s="1"/>
  <c r="V14" i="7" a="1"/>
  <c r="V14" i="7" s="1"/>
  <c r="W19" i="7" a="1"/>
  <c r="W19" i="7" s="1"/>
  <c r="W20" i="7" a="1"/>
  <c r="W20" i="7" s="1"/>
  <c r="V14" i="3" a="1"/>
  <c r="V14" i="3" s="1"/>
  <c r="W14" i="7" a="1"/>
  <c r="W14" i="7" s="1"/>
  <c r="X14" i="3" a="1"/>
  <c r="X14" i="3" s="1"/>
  <c r="X19" i="7" a="1"/>
  <c r="X19" i="7" s="1"/>
  <c r="W14" i="3" a="1"/>
  <c r="W14" i="3" s="1"/>
  <c r="Y20" i="7" a="1"/>
  <c r="Y20" i="7" s="1"/>
  <c r="AA14" i="7" a="1"/>
  <c r="AA14" i="7" s="1"/>
  <c r="Y14" i="7" a="1"/>
  <c r="Y14" i="7" s="1"/>
  <c r="X20" i="7" a="1"/>
  <c r="X20" i="7" s="1"/>
  <c r="AC20" i="7" a="1"/>
  <c r="AC20" i="7" s="1"/>
  <c r="Y19" i="7" a="1"/>
  <c r="Y19" i="7" s="1"/>
  <c r="Z20" i="7" a="1"/>
  <c r="Z20" i="7" s="1"/>
  <c r="AB19" i="7" a="1"/>
  <c r="AB19" i="7" s="1"/>
  <c r="Z19" i="7" a="1"/>
  <c r="Z19" i="7" s="1"/>
  <c r="Y14" i="3" a="1"/>
  <c r="Y14" i="3" s="1"/>
  <c r="Z14" i="7" a="1"/>
  <c r="Z14" i="7" s="1"/>
  <c r="AB20" i="7" a="1"/>
  <c r="AB20" i="7" s="1"/>
  <c r="AA20" i="7" a="1"/>
  <c r="AA20" i="7" s="1"/>
  <c r="AA14" i="3" a="1"/>
  <c r="AA14" i="3" s="1"/>
  <c r="AA19" i="7" a="1"/>
  <c r="AA19" i="7" s="1"/>
  <c r="AC14" i="7" a="1"/>
  <c r="AC14" i="7" s="1"/>
  <c r="AD14" i="3" a="1"/>
  <c r="AD14" i="3" s="1"/>
  <c r="AB14" i="7" a="1"/>
  <c r="AB14" i="7" s="1"/>
  <c r="AB14" i="3" a="1"/>
  <c r="AB14" i="3" s="1"/>
  <c r="AC19" i="7" a="1"/>
  <c r="AC19" i="7" s="1"/>
  <c r="AD14" i="7" a="1"/>
  <c r="AD14" i="7" s="1"/>
  <c r="AE19" i="7" a="1"/>
  <c r="AE19" i="7" s="1"/>
  <c r="AE20" i="7" a="1"/>
  <c r="AE20" i="7" s="1"/>
  <c r="AC14" i="3" a="1"/>
  <c r="AC14" i="3" s="1"/>
  <c r="AE14" i="7" a="1"/>
  <c r="AE14" i="7" s="1"/>
  <c r="AD19" i="7" a="1"/>
  <c r="AD19" i="7" s="1"/>
  <c r="AD20" i="7" a="1"/>
  <c r="AD20" i="7" s="1"/>
  <c r="AF14" i="7" a="1"/>
  <c r="AF14" i="7" s="1"/>
  <c r="AF19" i="7" a="1"/>
  <c r="AF19" i="7" s="1"/>
  <c r="AF14" i="3" a="1"/>
  <c r="AF14" i="3" s="1"/>
  <c r="AF20" i="7" a="1"/>
  <c r="AF20" i="7" s="1"/>
  <c r="AE14" i="3" a="1"/>
  <c r="AE14" i="3" s="1"/>
  <c r="AG14" i="7" a="1"/>
  <c r="AG14" i="7" s="1"/>
  <c r="AG19" i="7" a="1"/>
  <c r="AG19" i="7" s="1"/>
  <c r="AG20" i="7" a="1"/>
  <c r="AG20" i="7" s="1"/>
  <c r="AI20" i="7" a="1"/>
  <c r="AI20" i="7" s="1"/>
  <c r="AI19" i="7" a="1"/>
  <c r="AI19" i="7" s="1"/>
  <c r="AI14" i="7" a="1"/>
  <c r="AI14" i="7" s="1"/>
  <c r="AH20" i="7" a="1"/>
  <c r="AH20" i="7" s="1"/>
  <c r="AH14" i="3" a="1"/>
  <c r="AH14" i="3" s="1"/>
  <c r="AJ14" i="3" a="1"/>
  <c r="AJ14" i="3" s="1"/>
  <c r="AJ20" i="7" a="1"/>
  <c r="AJ20" i="7" s="1"/>
  <c r="AI14" i="3" a="1"/>
  <c r="AI14" i="3" s="1"/>
  <c r="AK14" i="7" a="1"/>
  <c r="AK14" i="7" s="1"/>
  <c r="AK20" i="7" a="1"/>
  <c r="AK20" i="7" s="1"/>
  <c r="AK19" i="7" a="1"/>
  <c r="AK19" i="7" s="1"/>
  <c r="AJ14" i="7" a="1"/>
  <c r="AJ14" i="7" s="1"/>
  <c r="AJ19" i="7" a="1"/>
  <c r="AJ19" i="7" s="1"/>
  <c r="AL19" i="7" a="1"/>
  <c r="AL19" i="7" s="1"/>
  <c r="AM20" i="7" a="1"/>
  <c r="AM20" i="7" s="1"/>
  <c r="AL20" i="7" a="1"/>
  <c r="AL20" i="7" s="1"/>
  <c r="AL14" i="7" a="1"/>
  <c r="AL14" i="7" s="1"/>
  <c r="AK14" i="3" a="1"/>
  <c r="AK14" i="3" s="1"/>
  <c r="AM19" i="7" a="1"/>
  <c r="AM19" i="7" s="1"/>
  <c r="AM14" i="7" a="1"/>
  <c r="AM14" i="7" s="1"/>
  <c r="AL14" i="3" a="1"/>
  <c r="AL14" i="3" s="1"/>
  <c r="AM14" i="3" a="1"/>
  <c r="AM14" i="3" s="1"/>
  <c r="AN14" i="7" a="1"/>
  <c r="AN14" i="7" s="1"/>
  <c r="AN19" i="7" a="1"/>
  <c r="AN19" i="7" s="1"/>
  <c r="AN20" i="7" a="1"/>
  <c r="AN20" i="7" s="1"/>
  <c r="AN14" i="3" a="1"/>
  <c r="AN14" i="3" s="1"/>
  <c r="BM88" i="5" l="1"/>
  <c r="AX81" i="5"/>
  <c r="CB81" i="5"/>
  <c r="CH81" i="5"/>
  <c r="CF81" i="5"/>
  <c r="BY81" i="5"/>
  <c r="BT81" i="5"/>
  <c r="BI81" i="5"/>
  <c r="BC81" i="5"/>
  <c r="AW81" i="5"/>
  <c r="AZ81" i="5"/>
  <c r="AU81" i="5"/>
  <c r="CG81" i="5"/>
  <c r="BZ81" i="5"/>
  <c r="BD81" i="5"/>
  <c r="BK81" i="5"/>
  <c r="BR81" i="5"/>
  <c r="BG81" i="5"/>
  <c r="BA81" i="5"/>
  <c r="BX81" i="5"/>
  <c r="CD81" i="5"/>
  <c r="BW81" i="5"/>
  <c r="BQ81" i="5"/>
  <c r="AY81" i="5"/>
  <c r="BF81" i="5"/>
  <c r="BB81" i="5"/>
  <c r="AV81" i="5"/>
  <c r="BV81" i="5"/>
  <c r="BE81" i="5"/>
  <c r="CA81" i="5"/>
  <c r="BM81" i="5"/>
  <c r="BO81" i="5"/>
  <c r="BL81" i="5"/>
  <c r="BH81" i="5"/>
  <c r="BN81" i="5"/>
  <c r="BU81" i="5"/>
  <c r="BS81" i="5"/>
  <c r="BJ81" i="5"/>
  <c r="CE81" i="5"/>
  <c r="CC81" i="5"/>
  <c r="BP81" i="5"/>
  <c r="CQ91" i="5"/>
  <c r="CS91" i="5"/>
  <c r="AQ91" i="5"/>
  <c r="BC91" i="5"/>
  <c r="CI91" i="5"/>
  <c r="AY91" i="5"/>
  <c r="AM87" i="5"/>
  <c r="AM81" i="5"/>
  <c r="N51" i="5"/>
  <c r="AL87" i="5"/>
  <c r="AL81" i="5"/>
  <c r="AT87" i="5"/>
  <c r="AT81" i="5"/>
  <c r="AP87" i="5"/>
  <c r="AP81" i="5"/>
  <c r="AN87" i="5"/>
  <c r="AN81" i="5"/>
  <c r="AJ81" i="5"/>
  <c r="N38" i="5"/>
  <c r="N94" i="5" s="1"/>
  <c r="G117" i="5" s="1"/>
  <c r="AQ87" i="5"/>
  <c r="AQ81" i="5"/>
  <c r="AS87" i="5"/>
  <c r="AS81" i="5"/>
  <c r="AK87" i="5"/>
  <c r="AK81" i="5"/>
  <c r="AR87" i="5"/>
  <c r="AR81" i="5"/>
  <c r="N42" i="5"/>
  <c r="AO87" i="5"/>
  <c r="AO81" i="5"/>
  <c r="AH90" i="5"/>
  <c r="AH81" i="5"/>
  <c r="AG90" i="5"/>
  <c r="AG81" i="5"/>
  <c r="AI90" i="5"/>
  <c r="AI81" i="5"/>
  <c r="AF90" i="5"/>
  <c r="AF81" i="5"/>
  <c r="BT91" i="5"/>
  <c r="AK91" i="5"/>
  <c r="AH91" i="5"/>
  <c r="N47" i="5"/>
  <c r="CU91" i="5"/>
  <c r="N73" i="5"/>
  <c r="N49" i="5"/>
  <c r="N48" i="5"/>
  <c r="N70" i="5"/>
  <c r="N90" i="5" s="1"/>
  <c r="N46" i="5"/>
  <c r="AJ87" i="5"/>
  <c r="BE91" i="5"/>
  <c r="CB91" i="5"/>
  <c r="CH91" i="5"/>
  <c r="AC91" i="5"/>
  <c r="Y91" i="5"/>
  <c r="T91" i="5"/>
  <c r="AO91" i="5"/>
  <c r="BQ91" i="5"/>
  <c r="CC91" i="5"/>
  <c r="BN91" i="5"/>
  <c r="CP91" i="5"/>
  <c r="CO88" i="5"/>
  <c r="BD91" i="5"/>
  <c r="AZ88" i="5"/>
  <c r="M88" i="5"/>
  <c r="CA91" i="5"/>
  <c r="BV91" i="5"/>
  <c r="BG91" i="5"/>
  <c r="AX91" i="5"/>
  <c r="AS88" i="5"/>
  <c r="AG91" i="5"/>
  <c r="AF91" i="5"/>
  <c r="Z91" i="5"/>
  <c r="BO91" i="5"/>
  <c r="BP91" i="5"/>
  <c r="AN91" i="5"/>
  <c r="AL91" i="5"/>
  <c r="W91" i="5"/>
  <c r="S91" i="5"/>
  <c r="L91" i="5"/>
  <c r="CD91" i="5"/>
  <c r="CR91" i="5"/>
  <c r="CG91" i="5"/>
  <c r="G87" i="5"/>
  <c r="G81" i="5"/>
  <c r="BV88" i="5"/>
  <c r="I87" i="5"/>
  <c r="I81" i="5"/>
  <c r="K87" i="5"/>
  <c r="K81" i="5"/>
  <c r="L87" i="5"/>
  <c r="L81" i="5"/>
  <c r="J87" i="5"/>
  <c r="J81" i="5"/>
  <c r="BK91" i="5"/>
  <c r="AU91" i="5"/>
  <c r="M87" i="5"/>
  <c r="M81" i="5"/>
  <c r="H87" i="5"/>
  <c r="H81" i="5"/>
  <c r="CV91" i="5"/>
  <c r="CG88" i="5"/>
  <c r="BZ91" i="5"/>
  <c r="BU88" i="5"/>
  <c r="BK88" i="5"/>
  <c r="BH91" i="5"/>
  <c r="AO88" i="5"/>
  <c r="Y88" i="5"/>
  <c r="Q91" i="5"/>
  <c r="P88" i="5"/>
  <c r="G91" i="5"/>
  <c r="BA91" i="5"/>
  <c r="Q88" i="5"/>
  <c r="BM91" i="5"/>
  <c r="BX88" i="5"/>
  <c r="CT88" i="5"/>
  <c r="CJ88" i="5"/>
  <c r="CF88" i="5"/>
  <c r="BZ88" i="5"/>
  <c r="BW88" i="5"/>
  <c r="BI88" i="5"/>
  <c r="BD88" i="5"/>
  <c r="BB91" i="5"/>
  <c r="AY88" i="5"/>
  <c r="AR88" i="5"/>
  <c r="AQ88" i="5"/>
  <c r="AP91" i="5"/>
  <c r="AG88" i="5"/>
  <c r="AD91" i="5"/>
  <c r="AA91" i="5"/>
  <c r="R90" i="5"/>
  <c r="R81" i="5"/>
  <c r="O90" i="5"/>
  <c r="O81" i="5"/>
  <c r="CM88" i="5"/>
  <c r="CL88" i="5"/>
  <c r="CE88" i="5"/>
  <c r="BW91" i="5"/>
  <c r="BP88" i="5"/>
  <c r="BO88" i="5"/>
  <c r="BF91" i="5"/>
  <c r="BF88" i="5"/>
  <c r="AU88" i="5"/>
  <c r="AR91" i="5"/>
  <c r="AL88" i="5"/>
  <c r="AB90" i="5"/>
  <c r="AB81" i="5"/>
  <c r="Z88" i="5"/>
  <c r="Y90" i="5"/>
  <c r="Y81" i="5"/>
  <c r="X88" i="5"/>
  <c r="U90" i="5"/>
  <c r="U81" i="5"/>
  <c r="T88" i="5"/>
  <c r="CC88" i="5"/>
  <c r="AA90" i="5"/>
  <c r="BX91" i="5"/>
  <c r="BL88" i="5"/>
  <c r="AZ91" i="5"/>
  <c r="AD90" i="5"/>
  <c r="AD81" i="5"/>
  <c r="U88" i="5"/>
  <c r="CJ91" i="5"/>
  <c r="BN88" i="5"/>
  <c r="AP88" i="5"/>
  <c r="AM91" i="5"/>
  <c r="AJ88" i="5"/>
  <c r="Z90" i="5"/>
  <c r="Z81" i="5"/>
  <c r="Q90" i="5"/>
  <c r="Q81" i="5"/>
  <c r="K88" i="5"/>
  <c r="CQ88" i="5"/>
  <c r="CM91" i="5"/>
  <c r="CO91" i="5"/>
  <c r="BU91" i="5"/>
  <c r="BR91" i="5"/>
  <c r="BL91" i="5"/>
  <c r="BG88" i="5"/>
  <c r="BB88" i="5"/>
  <c r="BA88" i="5"/>
  <c r="AQ90" i="5"/>
  <c r="AN88" i="5"/>
  <c r="AE91" i="5"/>
  <c r="AB91" i="5"/>
  <c r="AC88" i="5"/>
  <c r="X91" i="5"/>
  <c r="R91" i="5"/>
  <c r="P91" i="5"/>
  <c r="M91" i="5"/>
  <c r="I88" i="5"/>
  <c r="I91" i="5"/>
  <c r="H91" i="5"/>
  <c r="AT90" i="5"/>
  <c r="AG17" i="7" s="1" a="1"/>
  <c r="AG17" i="7" s="1"/>
  <c r="AX88" i="5"/>
  <c r="AH88" i="5"/>
  <c r="CN88" i="5"/>
  <c r="BS88" i="5"/>
  <c r="BQ88" i="5"/>
  <c r="BC88" i="5"/>
  <c r="AS91" i="5"/>
  <c r="AI91" i="5"/>
  <c r="AE90" i="5"/>
  <c r="AE81" i="5"/>
  <c r="V91" i="5"/>
  <c r="K91" i="5"/>
  <c r="CV88" i="5"/>
  <c r="CP88" i="5"/>
  <c r="P90" i="5"/>
  <c r="P81" i="5"/>
  <c r="V88" i="5"/>
  <c r="BR88" i="5"/>
  <c r="BI91" i="5"/>
  <c r="CF91" i="5"/>
  <c r="BS91" i="5"/>
  <c r="AY90" i="5"/>
  <c r="AL17" i="7" s="1" a="1"/>
  <c r="AL17" i="7" s="1"/>
  <c r="AC90" i="5"/>
  <c r="AC81" i="5"/>
  <c r="AE88" i="5"/>
  <c r="AA88" i="5"/>
  <c r="V90" i="5"/>
  <c r="V81" i="5"/>
  <c r="BE88" i="5"/>
  <c r="CI88" i="5"/>
  <c r="AV88" i="5"/>
  <c r="AM88" i="5"/>
  <c r="AB88" i="5"/>
  <c r="CB88" i="5"/>
  <c r="BY91" i="5"/>
  <c r="CR88" i="5"/>
  <c r="CN91" i="5"/>
  <c r="BJ88" i="5"/>
  <c r="AV91" i="5"/>
  <c r="AW88" i="5"/>
  <c r="AT88" i="5"/>
  <c r="AK88" i="5"/>
  <c r="AJ91" i="5"/>
  <c r="AF88" i="5"/>
  <c r="X90" i="5"/>
  <c r="X81" i="5"/>
  <c r="W90" i="5"/>
  <c r="W81" i="5"/>
  <c r="R88" i="5"/>
  <c r="O88" i="5"/>
  <c r="G88" i="5"/>
  <c r="J88" i="5"/>
  <c r="S88" i="5"/>
  <c r="BJ91" i="5"/>
  <c r="CA88" i="5"/>
  <c r="BT88" i="5"/>
  <c r="CL91" i="5"/>
  <c r="CH88" i="5"/>
  <c r="CD88" i="5"/>
  <c r="BY88" i="5"/>
  <c r="CS88" i="5"/>
  <c r="CT91" i="5"/>
  <c r="CK91" i="5"/>
  <c r="CK88" i="5"/>
  <c r="CE91" i="5"/>
  <c r="BH88" i="5"/>
  <c r="AW91" i="5"/>
  <c r="AT91" i="5"/>
  <c r="AI88" i="5"/>
  <c r="AD88" i="5"/>
  <c r="W88" i="5"/>
  <c r="U91" i="5"/>
  <c r="T90" i="5"/>
  <c r="T81" i="5"/>
  <c r="S90" i="5"/>
  <c r="S81" i="5"/>
  <c r="O91" i="5"/>
  <c r="L88" i="5"/>
  <c r="J91" i="5"/>
  <c r="H88" i="5"/>
  <c r="CU88" i="5"/>
  <c r="AN17" i="3" a="1"/>
  <c r="AN17" i="3" s="1"/>
  <c r="AM17" i="7" a="1"/>
  <c r="AM17" i="7" s="1"/>
  <c r="AJ17" i="3" a="1"/>
  <c r="AJ17" i="3" s="1"/>
  <c r="AB17" i="7" a="1"/>
  <c r="AB17" i="7" s="1"/>
  <c r="AH17" i="7" a="1"/>
  <c r="AH17" i="7" s="1"/>
  <c r="AN17" i="7" a="1"/>
  <c r="AN17" i="7" s="1"/>
  <c r="AB17" i="3" a="1"/>
  <c r="AB17" i="3" s="1"/>
  <c r="AJ17" i="7" a="1"/>
  <c r="AJ17" i="7" s="1"/>
  <c r="N42" i="4"/>
  <c r="G42" i="4"/>
  <c r="K42" i="4"/>
  <c r="I42" i="4"/>
  <c r="M42" i="4"/>
  <c r="F42" i="4"/>
  <c r="E42" i="4"/>
  <c r="J42" i="4"/>
  <c r="H113" i="5" l="1"/>
  <c r="G113" i="5"/>
  <c r="H114" i="5"/>
  <c r="H111" i="5"/>
  <c r="H15" i="3"/>
  <c r="H110" i="5"/>
  <c r="I117" i="5"/>
  <c r="E15" i="3" a="1"/>
  <c r="E15" i="3" s="1"/>
  <c r="I15" i="3" a="1"/>
  <c r="I15" i="3" s="1"/>
  <c r="G15" i="3" a="1"/>
  <c r="G15" i="3" s="1"/>
  <c r="F15" i="3" a="1"/>
  <c r="F15" i="3" s="1"/>
  <c r="T17" i="7" a="1"/>
  <c r="T17" i="7" s="1"/>
  <c r="T17" i="3" a="1"/>
  <c r="T17" i="3" s="1"/>
  <c r="Y17" i="7" a="1"/>
  <c r="Y17" i="7" s="1"/>
  <c r="Y17" i="3" a="1"/>
  <c r="Y17" i="3" s="1"/>
  <c r="Z17" i="3" a="1"/>
  <c r="Z17" i="3" s="1"/>
  <c r="S17" i="3" a="1"/>
  <c r="S17" i="3" s="1"/>
  <c r="W17" i="7" a="1"/>
  <c r="W17" i="7" s="1"/>
  <c r="X17" i="3" a="1"/>
  <c r="X17" i="3" s="1"/>
  <c r="U17" i="3" a="1"/>
  <c r="U17" i="3" s="1"/>
  <c r="U17" i="7" a="1"/>
  <c r="U17" i="7" s="1"/>
  <c r="X17" i="7" a="1"/>
  <c r="X17" i="7" s="1"/>
  <c r="V17" i="7" a="1"/>
  <c r="V17" i="7" s="1"/>
  <c r="W17" i="3" a="1"/>
  <c r="W17" i="3" s="1"/>
  <c r="AE17" i="3" a="1"/>
  <c r="AE17" i="3" s="1"/>
  <c r="Z17" i="7" a="1"/>
  <c r="Z17" i="7" s="1"/>
  <c r="AE17" i="7" a="1"/>
  <c r="AE17" i="7" s="1"/>
  <c r="AA17" i="3" a="1"/>
  <c r="AA17" i="3" s="1"/>
  <c r="AM18" i="7" a="1"/>
  <c r="AM18" i="7" s="1"/>
  <c r="U18" i="3" a="1"/>
  <c r="U18" i="3" s="1"/>
  <c r="AI17" i="7" a="1"/>
  <c r="AI17" i="7" s="1"/>
  <c r="AI17" i="3" a="1"/>
  <c r="AI17" i="3" s="1"/>
  <c r="S17" i="7" a="1"/>
  <c r="S17" i="7" s="1"/>
  <c r="AA17" i="7" a="1"/>
  <c r="AA17" i="7" s="1"/>
  <c r="AD17" i="3" a="1"/>
  <c r="AD17" i="3" s="1"/>
  <c r="R17" i="7" a="1"/>
  <c r="R17" i="7" s="1"/>
  <c r="M17" i="7" a="1"/>
  <c r="M17" i="7" s="1"/>
  <c r="J17" i="7" a="1"/>
  <c r="J17" i="7" s="1"/>
  <c r="AK17" i="3" a="1"/>
  <c r="AK17" i="3" s="1"/>
  <c r="AK17" i="7" a="1"/>
  <c r="AK17" i="7" s="1"/>
  <c r="I17" i="3" a="1"/>
  <c r="I17" i="3" s="1"/>
  <c r="O17" i="3" a="1"/>
  <c r="O17" i="3" s="1"/>
  <c r="L17" i="7" a="1"/>
  <c r="L17" i="7" s="1"/>
  <c r="G17" i="3" a="1"/>
  <c r="G17" i="3" s="1"/>
  <c r="AC17" i="3" a="1"/>
  <c r="AC17" i="3" s="1"/>
  <c r="F17" i="7" a="1"/>
  <c r="F17" i="7" s="1"/>
  <c r="N17" i="7" a="1"/>
  <c r="N17" i="7" s="1"/>
  <c r="AF17" i="7" a="1"/>
  <c r="AF17" i="7" s="1"/>
  <c r="H17" i="7" a="1"/>
  <c r="H17" i="7" s="1"/>
  <c r="AC17" i="7" a="1"/>
  <c r="AC17" i="7" s="1"/>
  <c r="P17" i="3" a="1"/>
  <c r="P17" i="3" s="1"/>
  <c r="K17" i="3" a="1"/>
  <c r="K17" i="3" s="1"/>
  <c r="AF17" i="3" a="1"/>
  <c r="AF17" i="3" s="1"/>
  <c r="O17" i="7" a="1"/>
  <c r="O17" i="7" s="1"/>
  <c r="AD17" i="7" a="1"/>
  <c r="AD17" i="7" s="1"/>
  <c r="P17" i="7" a="1"/>
  <c r="P17" i="7" s="1"/>
  <c r="I17" i="7" a="1"/>
  <c r="I17" i="7" s="1"/>
  <c r="AL17" i="3" a="1"/>
  <c r="AL17" i="3" s="1"/>
  <c r="J17" i="3" a="1"/>
  <c r="J17" i="3" s="1"/>
  <c r="K17" i="7" a="1"/>
  <c r="K17" i="7" s="1"/>
  <c r="H17" i="3" a="1"/>
  <c r="H17" i="3" s="1"/>
  <c r="G17" i="7" a="1"/>
  <c r="G17" i="7" s="1"/>
  <c r="L17" i="3" a="1"/>
  <c r="L17" i="3" s="1"/>
  <c r="N17" i="3" a="1"/>
  <c r="N17" i="3" s="1"/>
  <c r="N91" i="5"/>
  <c r="G114" i="5" s="1"/>
  <c r="R17" i="3" a="1"/>
  <c r="R17" i="3" s="1"/>
  <c r="G111" i="5"/>
  <c r="N87" i="5"/>
  <c r="D17" i="3" a="1"/>
  <c r="D17" i="3" s="1"/>
  <c r="D18" i="3"/>
  <c r="AI18" i="7" a="1"/>
  <c r="AI18" i="7" s="1"/>
  <c r="AG15" i="7" a="1"/>
  <c r="AG15" i="7" s="1"/>
  <c r="AC16" i="7" a="1"/>
  <c r="AC16" i="7" s="1"/>
  <c r="N16" i="7" a="1"/>
  <c r="N16" i="7" s="1"/>
  <c r="CS96" i="5"/>
  <c r="CS97" i="5" s="1"/>
  <c r="AM18" i="3" a="1"/>
  <c r="AM18" i="3" s="1"/>
  <c r="AF18" i="7" a="1"/>
  <c r="AF18" i="7" s="1"/>
  <c r="AD18" i="7" a="1"/>
  <c r="AD18" i="7" s="1"/>
  <c r="F18" i="3" a="1"/>
  <c r="F18" i="3" s="1"/>
  <c r="CU96" i="5"/>
  <c r="CU97" i="5" s="1"/>
  <c r="AK16" i="7" a="1"/>
  <c r="AK16" i="7" s="1"/>
  <c r="V18" i="3" a="1"/>
  <c r="V18" i="3" s="1"/>
  <c r="U18" i="7" a="1"/>
  <c r="U18" i="7" s="1"/>
  <c r="M96" i="5"/>
  <c r="W18" i="3" a="1"/>
  <c r="W18" i="3" s="1"/>
  <c r="AF15" i="7" a="1"/>
  <c r="AF15" i="7" s="1"/>
  <c r="CA96" i="5"/>
  <c r="BI96" i="5"/>
  <c r="L96" i="5"/>
  <c r="AY96" i="5"/>
  <c r="AK18" i="3" a="1"/>
  <c r="AK18" i="3" s="1"/>
  <c r="AA18" i="7" a="1"/>
  <c r="AA18" i="7" s="1"/>
  <c r="AK16" i="3" a="1"/>
  <c r="AK16" i="3" s="1"/>
  <c r="W18" i="7" a="1"/>
  <c r="W18" i="7" s="1"/>
  <c r="T18" i="7" a="1"/>
  <c r="T18" i="7" s="1"/>
  <c r="R15" i="7" a="1"/>
  <c r="R15" i="7" s="1"/>
  <c r="AU96" i="5"/>
  <c r="J15" i="3" a="1"/>
  <c r="J15" i="3" s="1"/>
  <c r="AG18" i="7" a="1"/>
  <c r="AG18" i="7" s="1"/>
  <c r="AE18" i="3" a="1"/>
  <c r="AE18" i="3" s="1"/>
  <c r="AE18" i="7" a="1"/>
  <c r="AE18" i="7" s="1"/>
  <c r="BF96" i="5"/>
  <c r="AJ18" i="3" a="1"/>
  <c r="AJ18" i="3" s="1"/>
  <c r="V18" i="7" a="1"/>
  <c r="V18" i="7" s="1"/>
  <c r="G18" i="7" a="1"/>
  <c r="G18" i="7" s="1"/>
  <c r="P15" i="3" a="1"/>
  <c r="P15" i="3" s="1"/>
  <c r="AK18" i="7" a="1"/>
  <c r="AK18" i="7" s="1"/>
  <c r="N16" i="3" a="1"/>
  <c r="N16" i="3" s="1"/>
  <c r="F15" i="7" a="1"/>
  <c r="F15" i="7" s="1"/>
  <c r="AF16" i="7" a="1"/>
  <c r="AF16" i="7" s="1"/>
  <c r="AC16" i="3" a="1"/>
  <c r="AC16" i="3" s="1"/>
  <c r="D15" i="3" a="1"/>
  <c r="D15" i="3" s="1"/>
  <c r="F18" i="7" a="1"/>
  <c r="F18" i="7" s="1"/>
  <c r="CO96" i="5"/>
  <c r="CO97" i="5" s="1"/>
  <c r="AJ18" i="7" a="1"/>
  <c r="AJ18" i="7" s="1"/>
  <c r="AM96" i="5"/>
  <c r="AM97" i="5" s="1"/>
  <c r="AL18" i="3" a="1"/>
  <c r="AL18" i="3" s="1"/>
  <c r="AL18" i="7" a="1"/>
  <c r="AL18" i="7" s="1"/>
  <c r="T18" i="3" a="1"/>
  <c r="T18" i="3" s="1"/>
  <c r="AP96" i="5"/>
  <c r="AP97" i="5" s="1"/>
  <c r="AF15" i="3" a="1"/>
  <c r="AF15" i="3" s="1"/>
  <c r="R18" i="3" a="1"/>
  <c r="R18" i="3" s="1"/>
  <c r="R18" i="7" a="1"/>
  <c r="R18" i="7" s="1"/>
  <c r="X18" i="3" a="1"/>
  <c r="X18" i="3" s="1"/>
  <c r="X18" i="7" a="1"/>
  <c r="X18" i="7" s="1"/>
  <c r="CF96" i="5"/>
  <c r="P15" i="7" a="1"/>
  <c r="P15" i="7" s="1"/>
  <c r="Y18" i="7" a="1"/>
  <c r="Y18" i="7" s="1"/>
  <c r="Y18" i="3" a="1"/>
  <c r="Y18" i="3" s="1"/>
  <c r="AH15" i="7" a="1"/>
  <c r="AH15" i="7" s="1"/>
  <c r="AH15" i="3" a="1"/>
  <c r="AH15" i="3" s="1"/>
  <c r="S18" i="7" a="1"/>
  <c r="S18" i="7" s="1"/>
  <c r="S18" i="3" a="1"/>
  <c r="S18" i="3" s="1"/>
  <c r="J15" i="7" a="1"/>
  <c r="J15" i="7" s="1"/>
  <c r="R15" i="3" a="1"/>
  <c r="R15" i="3" s="1"/>
  <c r="O18" i="7" a="1"/>
  <c r="O18" i="7" s="1"/>
  <c r="O18" i="3" a="1"/>
  <c r="O18" i="3" s="1"/>
  <c r="CQ96" i="5"/>
  <c r="CQ97" i="5" s="1"/>
  <c r="BM96" i="5"/>
  <c r="BW96" i="5"/>
  <c r="Z18" i="3" a="1"/>
  <c r="Z18" i="3" s="1"/>
  <c r="Z18" i="7" a="1"/>
  <c r="Z18" i="7" s="1"/>
  <c r="Y96" i="5"/>
  <c r="CB96" i="5"/>
  <c r="CC96" i="5"/>
  <c r="BK96" i="5"/>
  <c r="BL96" i="5"/>
  <c r="BO96" i="5"/>
  <c r="CI96" i="5"/>
  <c r="J96" i="5"/>
  <c r="CP96" i="5"/>
  <c r="CP97" i="5" s="1"/>
  <c r="O96" i="5"/>
  <c r="BU96" i="5"/>
  <c r="K96" i="5"/>
  <c r="BA96" i="5"/>
  <c r="AM15" i="7" a="1"/>
  <c r="AM15" i="7" s="1"/>
  <c r="AM15" i="3" a="1"/>
  <c r="AM15" i="3" s="1"/>
  <c r="AV96" i="5"/>
  <c r="AL16" i="3" a="1"/>
  <c r="AL16" i="3" s="1"/>
  <c r="AL16" i="7" a="1"/>
  <c r="AL16" i="7" s="1"/>
  <c r="Z15" i="3" a="1"/>
  <c r="Z15" i="3" s="1"/>
  <c r="Z15" i="7" a="1"/>
  <c r="Z15" i="7" s="1"/>
  <c r="AX96" i="5"/>
  <c r="AN16" i="7" a="1"/>
  <c r="AN16" i="7" s="1"/>
  <c r="AN16" i="3" a="1"/>
  <c r="AN16" i="3" s="1"/>
  <c r="T96" i="5"/>
  <c r="I16" i="7" a="1"/>
  <c r="I16" i="7" s="1"/>
  <c r="I16" i="3" a="1"/>
  <c r="I16" i="3" s="1"/>
  <c r="AB15" i="7" a="1"/>
  <c r="AB15" i="7" s="1"/>
  <c r="AB15" i="3" a="1"/>
  <c r="AB15" i="3" s="1"/>
  <c r="M15" i="7" a="1"/>
  <c r="M15" i="7" s="1"/>
  <c r="M15" i="3" a="1"/>
  <c r="M15" i="3" s="1"/>
  <c r="AD15" i="3" a="1"/>
  <c r="AD15" i="3" s="1"/>
  <c r="AD15" i="7" a="1"/>
  <c r="AD15" i="7" s="1"/>
  <c r="AH18" i="3" a="1"/>
  <c r="AH18" i="3" s="1"/>
  <c r="AH18" i="7" a="1"/>
  <c r="AH18" i="7" s="1"/>
  <c r="CE96" i="5"/>
  <c r="H18" i="3" a="1"/>
  <c r="H18" i="3" s="1"/>
  <c r="H18" i="7" a="1"/>
  <c r="H18" i="7" s="1"/>
  <c r="BT96" i="5"/>
  <c r="CV96" i="5"/>
  <c r="CV97" i="5" s="1"/>
  <c r="AN96" i="5"/>
  <c r="AN97" i="5" s="1"/>
  <c r="AD16" i="7" a="1"/>
  <c r="AD16" i="7" s="1"/>
  <c r="AD16" i="3" a="1"/>
  <c r="AD16" i="3" s="1"/>
  <c r="AL96" i="5"/>
  <c r="AL97" i="5" s="1"/>
  <c r="AB16" i="7" a="1"/>
  <c r="AB16" i="7" s="1"/>
  <c r="AB16" i="3" a="1"/>
  <c r="AB16" i="3" s="1"/>
  <c r="N18" i="7" a="1"/>
  <c r="N18" i="7" s="1"/>
  <c r="N18" i="3" a="1"/>
  <c r="N18" i="3" s="1"/>
  <c r="M18" i="3" a="1"/>
  <c r="M18" i="3" s="1"/>
  <c r="M18" i="7" a="1"/>
  <c r="M18" i="7" s="1"/>
  <c r="BX96" i="5"/>
  <c r="AK15" i="3" a="1"/>
  <c r="AK15" i="3" s="1"/>
  <c r="AK15" i="7" a="1"/>
  <c r="AK15" i="7" s="1"/>
  <c r="I18" i="7" a="1"/>
  <c r="I18" i="7" s="1"/>
  <c r="I18" i="3" a="1"/>
  <c r="I18" i="3" s="1"/>
  <c r="BN96" i="5"/>
  <c r="AQ96" i="5"/>
  <c r="AQ97" i="5" s="1"/>
  <c r="AG16" i="7" a="1"/>
  <c r="AG16" i="7" s="1"/>
  <c r="AB96" i="5"/>
  <c r="R16" i="7" a="1"/>
  <c r="R16" i="7" s="1"/>
  <c r="R16" i="3" a="1"/>
  <c r="R16" i="3" s="1"/>
  <c r="X15" i="7" a="1"/>
  <c r="X15" i="7" s="1"/>
  <c r="X15" i="3" a="1"/>
  <c r="X15" i="3" s="1"/>
  <c r="H15" i="7" a="1"/>
  <c r="H15" i="7" s="1"/>
  <c r="V15" i="7" a="1"/>
  <c r="V15" i="7" s="1"/>
  <c r="V15" i="3" a="1"/>
  <c r="V15" i="3" s="1"/>
  <c r="CD96" i="5"/>
  <c r="H96" i="5"/>
  <c r="AH96" i="5"/>
  <c r="X16" i="7" a="1"/>
  <c r="X16" i="7" s="1"/>
  <c r="X16" i="3" a="1"/>
  <c r="X16" i="3" s="1"/>
  <c r="BG96" i="5"/>
  <c r="BC96" i="5"/>
  <c r="AA15" i="3" a="1"/>
  <c r="AA15" i="3" s="1"/>
  <c r="AA15" i="7" a="1"/>
  <c r="AA15" i="7" s="1"/>
  <c r="CT96" i="5"/>
  <c r="CT97" i="5" s="1"/>
  <c r="Q96" i="5"/>
  <c r="Q100" i="5" s="1"/>
  <c r="F16" i="7" a="1"/>
  <c r="F16" i="7" s="1"/>
  <c r="AR96" i="5"/>
  <c r="AR97" i="5" s="1"/>
  <c r="AH16" i="3" a="1"/>
  <c r="AH16" i="3" s="1"/>
  <c r="BR96" i="5"/>
  <c r="AE96" i="5"/>
  <c r="U16" i="3" a="1"/>
  <c r="U16" i="3" s="1"/>
  <c r="U16" i="7" a="1"/>
  <c r="U16" i="7" s="1"/>
  <c r="BD96" i="5"/>
  <c r="AO96" i="5"/>
  <c r="AO97" i="5" s="1"/>
  <c r="AE16" i="3" a="1"/>
  <c r="AE16" i="3" s="1"/>
  <c r="AE16" i="7" a="1"/>
  <c r="AE16" i="7" s="1"/>
  <c r="AB18" i="3" a="1"/>
  <c r="AB18" i="3" s="1"/>
  <c r="AB18" i="7" a="1"/>
  <c r="AB18" i="7" s="1"/>
  <c r="R96" i="5"/>
  <c r="G16" i="7" a="1"/>
  <c r="G16" i="7" s="1"/>
  <c r="CK96" i="5"/>
  <c r="AN18" i="3" a="1"/>
  <c r="AN18" i="3" s="1"/>
  <c r="AN18" i="7" a="1"/>
  <c r="AN18" i="7" s="1"/>
  <c r="V96" i="5"/>
  <c r="K16" i="7" a="1"/>
  <c r="K16" i="7" s="1"/>
  <c r="BH96" i="5"/>
  <c r="CG96" i="5"/>
  <c r="AW96" i="5"/>
  <c r="AM16" i="7" a="1"/>
  <c r="AM16" i="7" s="1"/>
  <c r="AM16" i="3" a="1"/>
  <c r="AM16" i="3" s="1"/>
  <c r="J18" i="7" a="1"/>
  <c r="J18" i="7" s="1"/>
  <c r="J18" i="3" a="1"/>
  <c r="J18" i="3" s="1"/>
  <c r="AJ96" i="5"/>
  <c r="AJ97" i="5" s="1"/>
  <c r="Z16" i="3" a="1"/>
  <c r="Z16" i="3" s="1"/>
  <c r="Z16" i="7" a="1"/>
  <c r="Z16" i="7" s="1"/>
  <c r="BE96" i="5"/>
  <c r="BQ96" i="5"/>
  <c r="AC18" i="3" a="1"/>
  <c r="AC18" i="3" s="1"/>
  <c r="AC18" i="7" a="1"/>
  <c r="AC18" i="7" s="1"/>
  <c r="CJ96" i="5"/>
  <c r="X96" i="5"/>
  <c r="M16" i="7" a="1"/>
  <c r="M16" i="7" s="1"/>
  <c r="M16" i="3" a="1"/>
  <c r="M16" i="3" s="1"/>
  <c r="CM96" i="5"/>
  <c r="CM97" i="5" s="1"/>
  <c r="S15" i="3" a="1"/>
  <c r="S15" i="3" s="1"/>
  <c r="S15" i="7" a="1"/>
  <c r="S15" i="7" s="1"/>
  <c r="BZ96" i="5"/>
  <c r="U96" i="5"/>
  <c r="J16" i="3" a="1"/>
  <c r="J16" i="3" s="1"/>
  <c r="J16" i="7" a="1"/>
  <c r="J16" i="7" s="1"/>
  <c r="L18" i="7" a="1"/>
  <c r="L18" i="7" s="1"/>
  <c r="L18" i="3" a="1"/>
  <c r="L18" i="3" s="1"/>
  <c r="AE15" i="7" a="1"/>
  <c r="AE15" i="7" s="1"/>
  <c r="AE15" i="3" a="1"/>
  <c r="AE15" i="3" s="1"/>
  <c r="BS96" i="5"/>
  <c r="I96" i="5"/>
  <c r="CL96" i="5"/>
  <c r="AC96" i="5"/>
  <c r="S16" i="3" a="1"/>
  <c r="S16" i="3" s="1"/>
  <c r="S16" i="7" a="1"/>
  <c r="S16" i="7" s="1"/>
  <c r="AT96" i="5"/>
  <c r="AT97" i="5" s="1"/>
  <c r="AJ16" i="7" a="1"/>
  <c r="AJ16" i="7" s="1"/>
  <c r="AJ16" i="3" a="1"/>
  <c r="AJ16" i="3" s="1"/>
  <c r="AL15" i="7" a="1"/>
  <c r="AL15" i="7" s="1"/>
  <c r="AL15" i="3" a="1"/>
  <c r="AL15" i="3" s="1"/>
  <c r="P16" i="7" a="1"/>
  <c r="P16" i="7" s="1"/>
  <c r="D17" i="7" a="1"/>
  <c r="D17" i="7" s="1"/>
  <c r="D16" i="7" a="1"/>
  <c r="D16" i="7" s="1"/>
  <c r="D15" i="7" a="1"/>
  <c r="D15" i="7" s="1"/>
  <c r="E15" i="7" a="1"/>
  <c r="E15" i="7" s="1"/>
  <c r="D16" i="3" a="1"/>
  <c r="D16" i="3" s="1"/>
  <c r="E17" i="7" a="1"/>
  <c r="E17" i="7" s="1"/>
  <c r="F14" i="7" a="1"/>
  <c r="F14" i="7" s="1"/>
  <c r="E18" i="3" a="1"/>
  <c r="E18" i="3" s="1"/>
  <c r="E17" i="3" a="1"/>
  <c r="E17" i="3" s="1"/>
  <c r="E18" i="7" a="1"/>
  <c r="E18" i="7" s="1"/>
  <c r="F16" i="3" a="1"/>
  <c r="F16" i="3" s="1"/>
  <c r="F17" i="3" a="1"/>
  <c r="F17" i="3" s="1"/>
  <c r="G18" i="3" a="1"/>
  <c r="G18" i="3" s="1"/>
  <c r="H16" i="3" a="1"/>
  <c r="H16" i="3" s="1"/>
  <c r="G16" i="3" a="1"/>
  <c r="G16" i="3" s="1"/>
  <c r="K16" i="3" a="1"/>
  <c r="K16" i="3" s="1"/>
  <c r="M17" i="3" a="1"/>
  <c r="M17" i="3" s="1"/>
  <c r="M14" i="3" a="1"/>
  <c r="M14" i="3" s="1"/>
  <c r="P16" i="3" a="1"/>
  <c r="P16" i="3" s="1"/>
  <c r="R14" i="3" a="1"/>
  <c r="R14" i="3" s="1"/>
  <c r="T16" i="3" a="1"/>
  <c r="T16" i="3" s="1"/>
  <c r="V17" i="3" a="1"/>
  <c r="V17" i="3" s="1"/>
  <c r="X14" i="7" a="1"/>
  <c r="X14" i="7" s="1"/>
  <c r="Z14" i="3" a="1"/>
  <c r="Z14" i="3" s="1"/>
  <c r="AA18" i="3" a="1"/>
  <c r="AA18" i="3" s="1"/>
  <c r="AD18" i="3" a="1"/>
  <c r="AD18" i="3" s="1"/>
  <c r="AF18" i="3" a="1"/>
  <c r="AF18" i="3" s="1"/>
  <c r="AF16" i="3" a="1"/>
  <c r="AF16" i="3" s="1"/>
  <c r="AG16" i="3" a="1"/>
  <c r="AG16" i="3" s="1"/>
  <c r="AG18" i="3" a="1"/>
  <c r="AG18" i="3" s="1"/>
  <c r="AG15" i="3" a="1"/>
  <c r="AG15" i="3" s="1"/>
  <c r="AG17" i="3" a="1"/>
  <c r="AG17" i="3" s="1"/>
  <c r="AG14" i="3" a="1"/>
  <c r="AG14" i="3" s="1"/>
  <c r="AH14" i="7" a="1"/>
  <c r="AH14" i="7" s="1"/>
  <c r="AH16" i="7" a="1"/>
  <c r="AH16" i="7" s="1"/>
  <c r="AH17" i="3" a="1"/>
  <c r="AH17" i="3" s="1"/>
  <c r="AI18" i="3" a="1"/>
  <c r="AI18" i="3" s="1"/>
  <c r="AM17" i="3" a="1"/>
  <c r="AM17" i="3" s="1"/>
  <c r="U15" i="3" a="1"/>
  <c r="U15" i="3" s="1"/>
  <c r="U15" i="7" a="1"/>
  <c r="U15" i="7" s="1"/>
  <c r="AD96" i="5"/>
  <c r="T16" i="7" a="1"/>
  <c r="T16" i="7" s="1"/>
  <c r="P18" i="7" a="1"/>
  <c r="P18" i="7" s="1"/>
  <c r="P18" i="3" a="1"/>
  <c r="P18" i="3" s="1"/>
  <c r="CR96" i="5"/>
  <c r="CR97" i="5" s="1"/>
  <c r="AI96" i="5"/>
  <c r="AI97" i="5" s="1"/>
  <c r="Y16" i="7" a="1"/>
  <c r="Y16" i="7" s="1"/>
  <c r="Y16" i="3" a="1"/>
  <c r="Y16" i="3" s="1"/>
  <c r="P96" i="5"/>
  <c r="E16" i="3" a="1"/>
  <c r="E16" i="3" s="1"/>
  <c r="E16" i="7" a="1"/>
  <c r="E16" i="7" s="1"/>
  <c r="BB96" i="5"/>
  <c r="AG96" i="5"/>
  <c r="W16" i="7" a="1"/>
  <c r="W16" i="7" s="1"/>
  <c r="W16" i="3" a="1"/>
  <c r="W16" i="3" s="1"/>
  <c r="CN96" i="5"/>
  <c r="CN97" i="5" s="1"/>
  <c r="T15" i="7" a="1"/>
  <c r="T15" i="7" s="1"/>
  <c r="T15" i="3" a="1"/>
  <c r="T15" i="3" s="1"/>
  <c r="K18" i="7" a="1"/>
  <c r="K18" i="7" s="1"/>
  <c r="K18" i="3" a="1"/>
  <c r="K18" i="3" s="1"/>
  <c r="BV96" i="5"/>
  <c r="AK96" i="5"/>
  <c r="AK97" i="5" s="1"/>
  <c r="AA16" i="3" a="1"/>
  <c r="AA16" i="3" s="1"/>
  <c r="AA16" i="7" a="1"/>
  <c r="AA16" i="7" s="1"/>
  <c r="W15" i="7" a="1"/>
  <c r="W15" i="7" s="1"/>
  <c r="W15" i="3" a="1"/>
  <c r="W15" i="3" s="1"/>
  <c r="L15" i="7" a="1"/>
  <c r="L15" i="7" s="1"/>
  <c r="L15" i="3" a="1"/>
  <c r="L15" i="3" s="1"/>
  <c r="I15" i="7" a="1"/>
  <c r="I15" i="7" s="1"/>
  <c r="AN15" i="7" a="1"/>
  <c r="AN15" i="7" s="1"/>
  <c r="AN15" i="3" a="1"/>
  <c r="AN15" i="3" s="1"/>
  <c r="AC15" i="7" a="1"/>
  <c r="AC15" i="7" s="1"/>
  <c r="AC15" i="3" a="1"/>
  <c r="AC15" i="3" s="1"/>
  <c r="BY96" i="5"/>
  <c r="Y15" i="7" a="1"/>
  <c r="Y15" i="7" s="1"/>
  <c r="Y15" i="3" a="1"/>
  <c r="Y15" i="3" s="1"/>
  <c r="AZ96" i="5"/>
  <c r="N15" i="7" a="1"/>
  <c r="N15" i="7" s="1"/>
  <c r="N15" i="3" a="1"/>
  <c r="N15" i="3" s="1"/>
  <c r="G15" i="7" a="1"/>
  <c r="G15" i="7" s="1"/>
  <c r="D18" i="7" a="1"/>
  <c r="D18" i="7" s="1"/>
  <c r="K15" i="7" a="1"/>
  <c r="K15" i="7" s="1"/>
  <c r="K15" i="3" a="1"/>
  <c r="K15" i="3" s="1"/>
  <c r="G96" i="5"/>
  <c r="AF96" i="5"/>
  <c r="V16" i="7" a="1"/>
  <c r="V16" i="7" s="1"/>
  <c r="V16" i="3" a="1"/>
  <c r="V16" i="3" s="1"/>
  <c r="Z96" i="5"/>
  <c r="O16" i="7" a="1"/>
  <c r="O16" i="7" s="1"/>
  <c r="O16" i="3" a="1"/>
  <c r="O16" i="3" s="1"/>
  <c r="AS96" i="5"/>
  <c r="AS97" i="5" s="1"/>
  <c r="AI16" i="7" a="1"/>
  <c r="AI16" i="7" s="1"/>
  <c r="AI16" i="3" a="1"/>
  <c r="AI16" i="3" s="1"/>
  <c r="O15" i="7" a="1"/>
  <c r="O15" i="7" s="1"/>
  <c r="O15" i="3" a="1"/>
  <c r="O15" i="3" s="1"/>
  <c r="CH96" i="5"/>
  <c r="BP96" i="5"/>
  <c r="W96" i="5"/>
  <c r="L16" i="3" a="1"/>
  <c r="L16" i="3" s="1"/>
  <c r="L16" i="7" a="1"/>
  <c r="L16" i="7" s="1"/>
  <c r="S96" i="5"/>
  <c r="H16" i="7" a="1"/>
  <c r="H16" i="7" s="1"/>
  <c r="BJ96" i="5"/>
  <c r="AJ15" i="3" a="1"/>
  <c r="AJ15" i="3" s="1"/>
  <c r="AJ15" i="7" a="1"/>
  <c r="AJ15" i="7" s="1"/>
  <c r="AI15" i="3" a="1"/>
  <c r="AI15" i="3" s="1"/>
  <c r="AI15" i="7" a="1"/>
  <c r="AI15" i="7" s="1"/>
  <c r="O36" i="13" l="1"/>
  <c r="AA36" i="13"/>
  <c r="N36" i="13"/>
  <c r="AB36" i="13"/>
  <c r="I113" i="5"/>
  <c r="H118" i="5"/>
  <c r="I111" i="5"/>
  <c r="G110" i="5"/>
  <c r="I110" i="5" s="1"/>
  <c r="I114" i="5"/>
  <c r="AT100" i="5"/>
  <c r="AR100" i="5"/>
  <c r="CI97" i="5"/>
  <c r="CI100" i="5"/>
  <c r="AL100" i="5"/>
  <c r="AP100" i="5"/>
  <c r="AO100" i="5"/>
  <c r="AN100" i="5"/>
  <c r="CL97" i="5"/>
  <c r="CL100" i="5"/>
  <c r="AJ100" i="5"/>
  <c r="AQ100" i="5"/>
  <c r="AM100" i="5"/>
  <c r="CK97" i="5"/>
  <c r="CK100" i="5"/>
  <c r="CJ97" i="5"/>
  <c r="Z36" i="13" s="1"/>
  <c r="CJ100" i="5"/>
  <c r="AI100" i="5"/>
  <c r="AS100" i="5"/>
  <c r="AK100" i="5"/>
  <c r="BE97" i="5"/>
  <c r="BE100" i="5"/>
  <c r="BX97" i="5"/>
  <c r="BX100" i="5"/>
  <c r="BO97" i="5"/>
  <c r="BO100" i="5"/>
  <c r="BT97" i="5"/>
  <c r="BT100" i="5"/>
  <c r="BZ97" i="5"/>
  <c r="BZ100" i="5"/>
  <c r="BY97" i="5"/>
  <c r="BY100" i="5"/>
  <c r="BK97" i="5"/>
  <c r="BK100" i="5"/>
  <c r="AY97" i="5"/>
  <c r="AY100" i="5"/>
  <c r="AZ97" i="5"/>
  <c r="AZ100" i="5"/>
  <c r="BJ97" i="5"/>
  <c r="BJ100" i="5"/>
  <c r="BC97" i="5"/>
  <c r="BC100" i="5"/>
  <c r="AW97" i="5"/>
  <c r="AW100" i="5"/>
  <c r="BG97" i="5"/>
  <c r="BG100" i="5"/>
  <c r="AV97" i="5"/>
  <c r="AV100" i="5"/>
  <c r="CB97" i="5"/>
  <c r="CB100" i="5"/>
  <c r="BF97" i="5"/>
  <c r="BF100" i="5"/>
  <c r="BB97" i="5"/>
  <c r="BB100" i="5"/>
  <c r="BS97" i="5"/>
  <c r="BS100" i="5"/>
  <c r="CG97" i="5"/>
  <c r="CG100" i="5"/>
  <c r="BD97" i="5"/>
  <c r="BD100" i="5"/>
  <c r="BI97" i="5"/>
  <c r="BI100" i="5"/>
  <c r="AX97" i="5"/>
  <c r="AX100" i="5"/>
  <c r="BH97" i="5"/>
  <c r="BH100" i="5"/>
  <c r="CA97" i="5"/>
  <c r="CA100" i="5"/>
  <c r="BV97" i="5"/>
  <c r="BV100" i="5"/>
  <c r="CC97" i="5"/>
  <c r="CC100" i="5"/>
  <c r="BN97" i="5"/>
  <c r="BN100" i="5"/>
  <c r="BA97" i="5"/>
  <c r="BA100" i="5"/>
  <c r="CE97" i="5"/>
  <c r="CE100" i="5"/>
  <c r="BL97" i="5"/>
  <c r="BL100" i="5"/>
  <c r="BP97" i="5"/>
  <c r="BP100" i="5"/>
  <c r="CH97" i="5"/>
  <c r="CH100" i="5"/>
  <c r="BW97" i="5"/>
  <c r="BW100" i="5"/>
  <c r="CF97" i="5"/>
  <c r="Y36" i="13" s="1"/>
  <c r="CF100" i="5"/>
  <c r="BQ97" i="5"/>
  <c r="BQ100" i="5"/>
  <c r="BR97" i="5"/>
  <c r="BR100" i="5"/>
  <c r="CD97" i="5"/>
  <c r="CD100" i="5"/>
  <c r="BU97" i="5"/>
  <c r="BU100" i="5"/>
  <c r="BM97" i="5"/>
  <c r="BM100" i="5"/>
  <c r="AU97" i="5"/>
  <c r="AU100" i="5"/>
  <c r="I43" i="4"/>
  <c r="K45" i="4"/>
  <c r="D45" i="4"/>
  <c r="D46" i="4"/>
  <c r="G45" i="4"/>
  <c r="L46" i="4"/>
  <c r="G46" i="4"/>
  <c r="D43" i="4"/>
  <c r="I45" i="4"/>
  <c r="M46" i="4"/>
  <c r="C46" i="4"/>
  <c r="C45" i="4"/>
  <c r="K46" i="4"/>
  <c r="L45" i="4"/>
  <c r="F45" i="4"/>
  <c r="J46" i="4"/>
  <c r="F46" i="4"/>
  <c r="I46" i="4"/>
  <c r="E46" i="4"/>
  <c r="E45" i="4"/>
  <c r="N46" i="4"/>
  <c r="N45" i="4"/>
  <c r="H43" i="4"/>
  <c r="H46" i="4"/>
  <c r="L43" i="4"/>
  <c r="C43" i="4"/>
  <c r="H45" i="4"/>
  <c r="M45" i="4"/>
  <c r="J45" i="4"/>
  <c r="H22" i="3"/>
  <c r="H29" i="3" s="1"/>
  <c r="H31" i="3" s="1"/>
  <c r="H43" i="3" s="1"/>
  <c r="I22" i="3"/>
  <c r="I29" i="3" s="1"/>
  <c r="I31" i="3" s="1"/>
  <c r="I43" i="3" s="1"/>
  <c r="AH97" i="5"/>
  <c r="AH100" i="5"/>
  <c r="Z97" i="5"/>
  <c r="Z100" i="5"/>
  <c r="AG97" i="5"/>
  <c r="AG100" i="5"/>
  <c r="AD97" i="5"/>
  <c r="AD100" i="5"/>
  <c r="AF97" i="5"/>
  <c r="AF100" i="5"/>
  <c r="Y97" i="5"/>
  <c r="Y100" i="5"/>
  <c r="AC97" i="5"/>
  <c r="AC100" i="5"/>
  <c r="AE97" i="5"/>
  <c r="M36" i="13" s="1"/>
  <c r="AE100" i="5"/>
  <c r="AB97" i="5"/>
  <c r="AB100" i="5"/>
  <c r="H97" i="5"/>
  <c r="H100" i="5"/>
  <c r="J97" i="5"/>
  <c r="J100" i="5"/>
  <c r="W97" i="5"/>
  <c r="W100" i="5"/>
  <c r="M97" i="5"/>
  <c r="M100" i="5"/>
  <c r="L97" i="5"/>
  <c r="L100" i="5"/>
  <c r="U97" i="5"/>
  <c r="U100" i="5"/>
  <c r="V97" i="5"/>
  <c r="V100" i="5"/>
  <c r="T97" i="5"/>
  <c r="T100" i="5"/>
  <c r="K97" i="5"/>
  <c r="K100" i="5"/>
  <c r="I97" i="5"/>
  <c r="I100" i="5"/>
  <c r="R97" i="5"/>
  <c r="R100" i="5"/>
  <c r="S97" i="5"/>
  <c r="S100" i="5"/>
  <c r="X97" i="5"/>
  <c r="X100" i="5"/>
  <c r="P97" i="5"/>
  <c r="P100" i="5"/>
  <c r="O97" i="5"/>
  <c r="O100" i="5"/>
  <c r="G97" i="5"/>
  <c r="G100" i="5"/>
  <c r="AF22" i="7"/>
  <c r="AF29" i="7" s="1"/>
  <c r="AF31" i="7" s="1"/>
  <c r="AF43" i="7" s="1"/>
  <c r="Q97" i="5"/>
  <c r="AK22" i="3"/>
  <c r="AN22" i="3"/>
  <c r="AG22" i="7"/>
  <c r="AG29" i="7" s="1"/>
  <c r="AG31" i="7" s="1"/>
  <c r="AG43" i="7" s="1"/>
  <c r="AK22" i="7"/>
  <c r="AK29" i="7" s="1"/>
  <c r="AK31" i="7" s="1"/>
  <c r="AK43" i="7" s="1"/>
  <c r="R22" i="7"/>
  <c r="R29" i="7" s="1"/>
  <c r="R31" i="7" s="1"/>
  <c r="R43" i="7" s="1"/>
  <c r="AF22" i="3"/>
  <c r="T22" i="3"/>
  <c r="W22" i="3"/>
  <c r="AC22" i="3"/>
  <c r="AI22" i="7"/>
  <c r="AI29" i="7" s="1"/>
  <c r="AI31" i="7" s="1"/>
  <c r="AI43" i="7" s="1"/>
  <c r="O22" i="7"/>
  <c r="O29" i="7" s="1"/>
  <c r="O31" i="7" s="1"/>
  <c r="O43" i="7" s="1"/>
  <c r="K22" i="7"/>
  <c r="K29" i="7" s="1"/>
  <c r="K31" i="7" s="1"/>
  <c r="K43" i="7" s="1"/>
  <c r="N22" i="7"/>
  <c r="N29" i="7" s="1"/>
  <c r="N31" i="7" s="1"/>
  <c r="N43" i="7" s="1"/>
  <c r="AL22" i="3"/>
  <c r="AN22" i="7"/>
  <c r="AN29" i="7" s="1"/>
  <c r="AN31" i="7" s="1"/>
  <c r="AN43" i="7" s="1"/>
  <c r="AH22" i="7"/>
  <c r="AH29" i="7" s="1"/>
  <c r="AH31" i="7" s="1"/>
  <c r="AH43" i="7" s="1"/>
  <c r="AD22" i="7"/>
  <c r="AD29" i="7" s="1"/>
  <c r="AD31" i="7" s="1"/>
  <c r="AD43" i="7" s="1"/>
  <c r="R22" i="3"/>
  <c r="X22" i="7"/>
  <c r="X29" i="7" s="1"/>
  <c r="X31" i="7" s="1"/>
  <c r="X43" i="7" s="1"/>
  <c r="P22" i="7"/>
  <c r="P29" i="7" s="1"/>
  <c r="P31" i="7" s="1"/>
  <c r="P43" i="7" s="1"/>
  <c r="Z22" i="7"/>
  <c r="Z29" i="7" s="1"/>
  <c r="Z31" i="7" s="1"/>
  <c r="Z43" i="7" s="1"/>
  <c r="AD22" i="3"/>
  <c r="P22" i="3"/>
  <c r="P29" i="3" s="1"/>
  <c r="P31" i="3" s="1"/>
  <c r="P43" i="3" s="1"/>
  <c r="V22" i="3"/>
  <c r="Y22" i="3"/>
  <c r="Y22" i="7"/>
  <c r="Y29" i="7" s="1"/>
  <c r="Y31" i="7" s="1"/>
  <c r="Y43" i="7" s="1"/>
  <c r="U22" i="7"/>
  <c r="U29" i="7" s="1"/>
  <c r="U31" i="7" s="1"/>
  <c r="U43" i="7" s="1"/>
  <c r="AI22" i="3"/>
  <c r="U22" i="3"/>
  <c r="AE22" i="7"/>
  <c r="AE29" i="7" s="1"/>
  <c r="AE31" i="7" s="1"/>
  <c r="AE43" i="7" s="1"/>
  <c r="W22" i="7"/>
  <c r="W29" i="7" s="1"/>
  <c r="W31" i="7" s="1"/>
  <c r="W43" i="7" s="1"/>
  <c r="L42" i="4"/>
  <c r="M22" i="3"/>
  <c r="M29" i="3" s="1"/>
  <c r="M31" i="3" s="1"/>
  <c r="M43" i="3" s="1"/>
  <c r="D42" i="4"/>
  <c r="AL22" i="7"/>
  <c r="AL29" i="7" s="1"/>
  <c r="AL31" i="7" s="1"/>
  <c r="AL43" i="7" s="1"/>
  <c r="AA22" i="7"/>
  <c r="AA29" i="7" s="1"/>
  <c r="AA31" i="7" s="1"/>
  <c r="AA43" i="7" s="1"/>
  <c r="AA22" i="3"/>
  <c r="G43" i="4"/>
  <c r="M22" i="7"/>
  <c r="M29" i="7" s="1"/>
  <c r="M31" i="7" s="1"/>
  <c r="M43" i="7" s="1"/>
  <c r="J43" i="4"/>
  <c r="K22" i="3"/>
  <c r="K29" i="3" s="1"/>
  <c r="K31" i="3" s="1"/>
  <c r="K43" i="3" s="1"/>
  <c r="H42" i="4"/>
  <c r="H22" i="7"/>
  <c r="H29" i="7" s="1"/>
  <c r="H31" i="7" s="1"/>
  <c r="H43" i="7" s="1"/>
  <c r="AB22" i="3"/>
  <c r="AJ22" i="7"/>
  <c r="AJ29" i="7" s="1"/>
  <c r="AJ31" i="7" s="1"/>
  <c r="AJ43" i="7" s="1"/>
  <c r="AJ22" i="3"/>
  <c r="F43" i="4"/>
  <c r="Z22" i="3"/>
  <c r="S22" i="7"/>
  <c r="S29" i="7" s="1"/>
  <c r="S31" i="7" s="1"/>
  <c r="S43" i="7" s="1"/>
  <c r="X22" i="3"/>
  <c r="AB22" i="7"/>
  <c r="AB29" i="7" s="1"/>
  <c r="AB31" i="7" s="1"/>
  <c r="AB43" i="7" s="1"/>
  <c r="AM22" i="3"/>
  <c r="S22" i="3"/>
  <c r="AM22" i="7"/>
  <c r="AM29" i="7" s="1"/>
  <c r="AM31" i="7" s="1"/>
  <c r="AM43" i="7" s="1"/>
  <c r="AC22" i="7"/>
  <c r="AC29" i="7" s="1"/>
  <c r="AC31" i="7" s="1"/>
  <c r="AC43" i="7" s="1"/>
  <c r="V22" i="7"/>
  <c r="V29" i="7" s="1"/>
  <c r="V31" i="7" s="1"/>
  <c r="V43" i="7" s="1"/>
  <c r="I22" i="7"/>
  <c r="I29" i="7" s="1"/>
  <c r="I31" i="7" s="1"/>
  <c r="I43" i="7" s="1"/>
  <c r="T22" i="7"/>
  <c r="T29" i="7" s="1"/>
  <c r="T31" i="7" s="1"/>
  <c r="T43" i="7" s="1"/>
  <c r="K43" i="4"/>
  <c r="L22" i="3"/>
  <c r="L29" i="3" s="1"/>
  <c r="L31" i="3" s="1"/>
  <c r="L43" i="3" s="1"/>
  <c r="N43" i="4"/>
  <c r="O22" i="3"/>
  <c r="O29" i="3" s="1"/>
  <c r="O31" i="3" s="1"/>
  <c r="O43" i="3" s="1"/>
  <c r="M43" i="4"/>
  <c r="N22" i="3"/>
  <c r="N29" i="3" s="1"/>
  <c r="N31" i="3" s="1"/>
  <c r="N43" i="3" s="1"/>
  <c r="AG22" i="3"/>
  <c r="E43" i="4"/>
  <c r="L22" i="7"/>
  <c r="L29" i="7" s="1"/>
  <c r="L31" i="7" s="1"/>
  <c r="L43" i="7" s="1"/>
  <c r="AE22" i="3"/>
  <c r="AH22" i="3"/>
  <c r="R36" i="13" l="1"/>
  <c r="W36" i="13"/>
  <c r="I36" i="13"/>
  <c r="Q36" i="13"/>
  <c r="P36" i="13"/>
  <c r="H36" i="13"/>
  <c r="K36" i="13"/>
  <c r="F36" i="13"/>
  <c r="J36" i="13"/>
  <c r="X36" i="13"/>
  <c r="U36" i="13"/>
  <c r="T36" i="13"/>
  <c r="V36" i="13"/>
  <c r="S36" i="13"/>
  <c r="X29" i="3"/>
  <c r="X31" i="3" s="1"/>
  <c r="X43" i="3" s="1"/>
  <c r="AH29" i="3"/>
  <c r="AH31" i="3" s="1"/>
  <c r="AH43" i="3" s="1"/>
  <c r="AD29" i="3"/>
  <c r="AD31" i="3" s="1"/>
  <c r="AD43" i="3" s="1"/>
  <c r="Z29" i="3"/>
  <c r="Z31" i="3" s="1"/>
  <c r="Z43" i="3" s="1"/>
  <c r="AC29" i="3"/>
  <c r="AC31" i="3" s="1"/>
  <c r="AC43" i="3" s="1"/>
  <c r="AE29" i="3"/>
  <c r="AE31" i="3" s="1"/>
  <c r="AE43" i="3" s="1"/>
  <c r="W29" i="3"/>
  <c r="W31" i="3" s="1"/>
  <c r="W43" i="3" s="1"/>
  <c r="AN29" i="3"/>
  <c r="AN31" i="3" s="1"/>
  <c r="AN43" i="3" s="1"/>
  <c r="V29" i="3"/>
  <c r="V31" i="3" s="1"/>
  <c r="V43" i="3" s="1"/>
  <c r="U29" i="3"/>
  <c r="U31" i="3" s="1"/>
  <c r="U43" i="3" s="1"/>
  <c r="R29" i="3"/>
  <c r="R31" i="3" s="1"/>
  <c r="R43" i="3" s="1"/>
  <c r="T29" i="3"/>
  <c r="T31" i="3" s="1"/>
  <c r="T43" i="3" s="1"/>
  <c r="AK29" i="3"/>
  <c r="AK31" i="3" s="1"/>
  <c r="AK43" i="3" s="1"/>
  <c r="AA29" i="3"/>
  <c r="AA31" i="3" s="1"/>
  <c r="AA43" i="3" s="1"/>
  <c r="AG29" i="3"/>
  <c r="AG31" i="3" s="1"/>
  <c r="AG43" i="3" s="1"/>
  <c r="AI29" i="3"/>
  <c r="AI31" i="3" s="1"/>
  <c r="AI43" i="3" s="1"/>
  <c r="AB29" i="3"/>
  <c r="AB31" i="3" s="1"/>
  <c r="AB43" i="3" s="1"/>
  <c r="AF29" i="3"/>
  <c r="AF31" i="3" s="1"/>
  <c r="AF43" i="3" s="1"/>
  <c r="AJ29" i="3"/>
  <c r="AJ31" i="3" s="1"/>
  <c r="AJ43" i="3" s="1"/>
  <c r="AL29" i="3"/>
  <c r="AL31" i="3" s="1"/>
  <c r="AL43" i="3" s="1"/>
  <c r="S29" i="3"/>
  <c r="S31" i="3" s="1"/>
  <c r="S43" i="3" s="1"/>
  <c r="AM29" i="3"/>
  <c r="AM31" i="3" s="1"/>
  <c r="AM43" i="3" s="1"/>
  <c r="Y29" i="3"/>
  <c r="Y31" i="3" s="1"/>
  <c r="Y43" i="3" s="1"/>
  <c r="N81" i="5" l="1"/>
  <c r="AA81" i="5"/>
  <c r="AA92" i="5"/>
  <c r="D19" i="7" l="1" a="1"/>
  <c r="D19" i="7" s="1"/>
  <c r="D22" i="7" s="1"/>
  <c r="D29" i="7" s="1"/>
  <c r="D31" i="7" s="1"/>
  <c r="D43" i="7" s="1"/>
  <c r="D48" i="7" s="1"/>
  <c r="E45" i="7" s="1"/>
  <c r="D19" i="3" a="1"/>
  <c r="D19" i="3" s="1"/>
  <c r="E19" i="7" a="1"/>
  <c r="E19" i="7" s="1"/>
  <c r="E22" i="7" s="1"/>
  <c r="E29" i="7" s="1"/>
  <c r="E31" i="7" s="1"/>
  <c r="E43" i="7" s="1"/>
  <c r="E19" i="3" a="1"/>
  <c r="E19" i="3" s="1"/>
  <c r="E22" i="3" s="1"/>
  <c r="E29" i="3" s="1"/>
  <c r="E31" i="3" s="1"/>
  <c r="E43" i="3" s="1"/>
  <c r="G19" i="3" a="1"/>
  <c r="G19" i="3" s="1"/>
  <c r="G22" i="3" s="1"/>
  <c r="G29" i="3" s="1"/>
  <c r="G31" i="3" s="1"/>
  <c r="G43" i="3" s="1"/>
  <c r="F19" i="3" a="1"/>
  <c r="F19" i="3" s="1"/>
  <c r="F22" i="3" s="1"/>
  <c r="F29" i="3" s="1"/>
  <c r="F31" i="3" s="1"/>
  <c r="F43" i="3" s="1"/>
  <c r="F19" i="7" a="1"/>
  <c r="F19" i="7" s="1"/>
  <c r="F22" i="7" s="1"/>
  <c r="F29" i="7" s="1"/>
  <c r="F31" i="7" s="1"/>
  <c r="F43" i="7" s="1"/>
  <c r="G19" i="7" a="1"/>
  <c r="G19" i="7" s="1"/>
  <c r="G22" i="7" s="1"/>
  <c r="G29" i="7" s="1"/>
  <c r="G31" i="7" s="1"/>
  <c r="G43" i="7" s="1"/>
  <c r="AA96" i="5"/>
  <c r="AA97" i="5" s="1"/>
  <c r="L36" i="13" s="1"/>
  <c r="CW92" i="5"/>
  <c r="CW94" i="5" s="1"/>
  <c r="N92" i="5"/>
  <c r="J19" i="7" a="1"/>
  <c r="J19" i="7" s="1"/>
  <c r="J22" i="7" s="1"/>
  <c r="J29" i="7" s="1"/>
  <c r="J31" i="7" s="1"/>
  <c r="J43" i="7" s="1"/>
  <c r="J22" i="3"/>
  <c r="J29" i="3" s="1"/>
  <c r="J31" i="3" s="1"/>
  <c r="J43" i="3" s="1"/>
  <c r="C36" i="16"/>
  <c r="C37" i="16" s="1"/>
  <c r="G115" i="5" l="1"/>
  <c r="N96" i="5"/>
  <c r="N97" i="5" s="1"/>
  <c r="D22" i="3"/>
  <c r="D29" i="3" s="1"/>
  <c r="D31" i="3" s="1"/>
  <c r="D43" i="3" s="1"/>
  <c r="D48" i="3" s="1"/>
  <c r="E45" i="3" s="1"/>
  <c r="E48" i="3" s="1"/>
  <c r="G118" i="5"/>
  <c r="E48" i="7"/>
  <c r="F45" i="7" s="1"/>
  <c r="F48" i="7" s="1"/>
  <c r="G45" i="7" s="1"/>
  <c r="G48" i="7" s="1"/>
  <c r="H45" i="7" s="1"/>
  <c r="H48" i="7" s="1"/>
  <c r="I45" i="7" s="1"/>
  <c r="I48" i="7" s="1"/>
  <c r="J45" i="7" s="1"/>
  <c r="J48" i="7" s="1"/>
  <c r="K45" i="7" s="1"/>
  <c r="K48" i="7" s="1"/>
  <c r="L45" i="7" s="1"/>
  <c r="L48" i="7" s="1"/>
  <c r="M45" i="7" s="1"/>
  <c r="M48" i="7" s="1"/>
  <c r="N45" i="7" s="1"/>
  <c r="N48" i="7" s="1"/>
  <c r="O45" i="7" s="1"/>
  <c r="O48" i="7" s="1"/>
  <c r="P45" i="7" s="1"/>
  <c r="P48" i="7" s="1"/>
  <c r="R45" i="7" s="1"/>
  <c r="R48" i="7" s="1"/>
  <c r="S45" i="7" s="1"/>
  <c r="S48" i="7" s="1"/>
  <c r="T45" i="7" s="1"/>
  <c r="T48" i="7" s="1"/>
  <c r="U45" i="7" s="1"/>
  <c r="U48" i="7" s="1"/>
  <c r="V45" i="7" s="1"/>
  <c r="V48" i="7" s="1"/>
  <c r="W45" i="7" s="1"/>
  <c r="W48" i="7" s="1"/>
  <c r="X45" i="7" s="1"/>
  <c r="X48" i="7" s="1"/>
  <c r="Y45" i="7" s="1"/>
  <c r="Y48" i="7" s="1"/>
  <c r="Z45" i="7" s="1"/>
  <c r="Z48" i="7" s="1"/>
  <c r="AA45" i="7" s="1"/>
  <c r="AA48" i="7" s="1"/>
  <c r="AB45" i="7" s="1"/>
  <c r="AB48" i="7" s="1"/>
  <c r="AC45" i="7" s="1"/>
  <c r="AC48" i="7" s="1"/>
  <c r="AD45" i="7" s="1"/>
  <c r="AD48" i="7" s="1"/>
  <c r="AE45" i="7" s="1"/>
  <c r="AE48" i="7" s="1"/>
  <c r="AF45" i="7" s="1"/>
  <c r="AF48" i="7" s="1"/>
  <c r="AG45" i="7" s="1"/>
  <c r="AG48" i="7" s="1"/>
  <c r="AH45" i="7" s="1"/>
  <c r="AH48" i="7" s="1"/>
  <c r="AI45" i="7" s="1"/>
  <c r="AI48" i="7" s="1"/>
  <c r="AJ45" i="7" s="1"/>
  <c r="AJ48" i="7" s="1"/>
  <c r="AK45" i="7" s="1"/>
  <c r="AK48" i="7" s="1"/>
  <c r="AL45" i="7" s="1"/>
  <c r="AL48" i="7" s="1"/>
  <c r="AM45" i="7" s="1"/>
  <c r="AM48" i="7" s="1"/>
  <c r="AN45" i="7" s="1"/>
  <c r="AN48" i="7" s="1"/>
  <c r="AA100" i="5"/>
  <c r="I115" i="5" l="1"/>
  <c r="I118" i="5" s="1"/>
  <c r="L118" i="5" s="1"/>
  <c r="D48" i="4"/>
  <c r="C33" i="4"/>
  <c r="C36" i="4" s="1"/>
  <c r="C37" i="4" s="1"/>
  <c r="F45" i="3"/>
  <c r="N100" i="5"/>
  <c r="E48" i="4" l="1"/>
  <c r="F48" i="3"/>
  <c r="G45" i="3" s="1"/>
  <c r="C49" i="4"/>
  <c r="D33" i="4"/>
  <c r="D36" i="4" s="1"/>
  <c r="D37" i="4" s="1"/>
  <c r="F48" i="4" l="1"/>
  <c r="E33" i="4"/>
  <c r="E36" i="4" s="1"/>
  <c r="E49" i="4" s="1"/>
  <c r="D49" i="4"/>
  <c r="G48" i="3"/>
  <c r="G48" i="4" s="1"/>
  <c r="E37" i="4" l="1"/>
  <c r="H45" i="3"/>
  <c r="H48" i="3" s="1"/>
  <c r="H48" i="4" s="1"/>
  <c r="F33" i="4"/>
  <c r="F36" i="4" s="1"/>
  <c r="G33" i="4" l="1"/>
  <c r="G36" i="4" s="1"/>
  <c r="G37" i="4" s="1"/>
  <c r="F37" i="4"/>
  <c r="F49" i="4"/>
  <c r="I45" i="3"/>
  <c r="G49" i="4" l="1"/>
  <c r="I48" i="3"/>
  <c r="H33" i="4" l="1"/>
  <c r="H36" i="4" s="1"/>
  <c r="I48" i="4"/>
  <c r="J45" i="3"/>
  <c r="J48" i="3" l="1"/>
  <c r="H37" i="4"/>
  <c r="H49" i="4"/>
  <c r="K45" i="3" l="1"/>
  <c r="I33" i="4"/>
  <c r="I36" i="4" s="1"/>
  <c r="J48" i="4"/>
  <c r="I49" i="4" l="1"/>
  <c r="I37" i="4"/>
  <c r="K48" i="3"/>
  <c r="K48" i="4" l="1"/>
  <c r="L45" i="3"/>
  <c r="J33" i="4"/>
  <c r="J36" i="4" s="1"/>
  <c r="J37" i="4" l="1"/>
  <c r="J49" i="4"/>
  <c r="L48" i="3"/>
  <c r="M45" i="3" l="1"/>
  <c r="K33" i="4"/>
  <c r="K36" i="4" s="1"/>
  <c r="L48" i="4"/>
  <c r="K49" i="4" l="1"/>
  <c r="K37" i="4"/>
  <c r="M48" i="3"/>
  <c r="M48" i="4" l="1"/>
  <c r="N45" i="3"/>
  <c r="L33" i="4"/>
  <c r="L36" i="4" s="1"/>
  <c r="L37" i="4" l="1"/>
  <c r="L49" i="4"/>
  <c r="N48" i="3"/>
  <c r="M33" i="4" l="1"/>
  <c r="M36" i="4" s="1"/>
  <c r="N48" i="4"/>
  <c r="O45" i="3"/>
  <c r="O48" i="3" l="1"/>
  <c r="M37" i="4"/>
  <c r="M49" i="4"/>
  <c r="N33" i="4" l="1"/>
  <c r="N36" i="4" s="1"/>
  <c r="P45" i="3"/>
  <c r="P48" i="3" l="1"/>
  <c r="N49" i="4"/>
  <c r="N37" i="4"/>
  <c r="O33" i="4" l="1"/>
  <c r="R45" i="3"/>
  <c r="R48" i="3" l="1"/>
  <c r="S45" i="3" l="1"/>
  <c r="S48" i="3" l="1"/>
  <c r="T45" i="3" l="1"/>
  <c r="T48" i="3" l="1"/>
  <c r="U45" i="3" l="1"/>
  <c r="U48" i="3" l="1"/>
  <c r="V45" i="3" l="1"/>
  <c r="V48" i="3" l="1"/>
  <c r="W45" i="3" l="1"/>
  <c r="W48" i="3" s="1"/>
  <c r="X45" i="3" l="1"/>
  <c r="X48" i="3" l="1"/>
  <c r="Y45" i="3" l="1"/>
  <c r="Y48" i="3" l="1"/>
  <c r="Z45" i="3" l="1"/>
  <c r="Z48" i="3" l="1"/>
  <c r="AA45" i="3" l="1"/>
  <c r="AA48" i="3" l="1"/>
  <c r="AB45" i="3" l="1"/>
  <c r="AB48" i="3" l="1"/>
  <c r="AC45" i="3" l="1"/>
  <c r="AC48" i="3" l="1"/>
  <c r="AD45" i="3" l="1"/>
  <c r="AD48" i="3" l="1"/>
  <c r="AE45" i="3" l="1"/>
  <c r="AE48" i="3" l="1"/>
  <c r="AF45" i="3" l="1"/>
  <c r="AF48" i="3" l="1"/>
  <c r="AG45" i="3" l="1"/>
  <c r="AG48" i="3" l="1"/>
  <c r="AH45" i="3" l="1"/>
  <c r="AH48" i="3" l="1"/>
  <c r="AI45" i="3" l="1"/>
  <c r="AI48" i="3" l="1"/>
  <c r="AJ45" i="3" l="1"/>
  <c r="AJ48" i="3" l="1"/>
  <c r="AK45" i="3" l="1"/>
  <c r="AK48" i="3" l="1"/>
  <c r="AL45" i="3" l="1"/>
  <c r="AL48" i="3" l="1"/>
  <c r="AM45" i="3" l="1"/>
  <c r="AM48" i="3" l="1"/>
  <c r="AN45" i="3" l="1"/>
  <c r="AN48" i="3" l="1"/>
  <c r="C51" i="3" l="1"/>
  <c r="C52" i="3" s="1"/>
  <c r="S52" i="3" l="1"/>
  <c r="T52" i="3" s="1"/>
  <c r="U52" i="3" s="1"/>
  <c r="V52" i="3" s="1"/>
  <c r="W52" i="3" s="1"/>
  <c r="X52" i="3" s="1"/>
  <c r="Y52" i="3" s="1"/>
  <c r="Z52" i="3" s="1"/>
  <c r="AA52" i="3" s="1"/>
  <c r="AB52" i="3" s="1"/>
  <c r="AC52" i="3" s="1"/>
  <c r="AD52" i="3" s="1"/>
  <c r="AE52" i="3" s="1"/>
  <c r="AF52" i="3" s="1"/>
  <c r="AG52" i="3" s="1"/>
  <c r="AH52" i="3" s="1"/>
  <c r="AI52" i="3" s="1"/>
  <c r="AJ52" i="3" s="1"/>
  <c r="AK52" i="3" s="1"/>
  <c r="AL52" i="3" s="1"/>
  <c r="AM52" i="3" s="1"/>
  <c r="AN52"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Karen Drennan</author>
    <author>Aja Martinez</author>
    <author>Steven Cistulli</author>
  </authors>
  <commentList>
    <comment ref="S12" authorId="0" shapeId="0" xr:uid="{00000000-0006-0000-0400-000004000000}">
      <text>
        <r>
          <rPr>
            <sz val="11"/>
            <color theme="1"/>
            <rFont val="Calibri"/>
            <family val="2"/>
            <scheme val="minor"/>
          </rPr>
          <t>======
ID#AAABir7RPmY
Steven Cistulli    (2025-04-30 20:32:23)
final payment to T&amp;W for remaining 5k B12 and 6k 8702; then, contract over for new; maintain parts, service, warranty</t>
        </r>
      </text>
    </comment>
    <comment ref="AO12" authorId="1" shapeId="0" xr:uid="{5B74C26A-11CC-498D-9860-9FEF8C78A58B}">
      <text>
        <r>
          <rPr>
            <sz val="11"/>
            <color theme="1"/>
            <rFont val="Calibri"/>
            <family val="2"/>
            <scheme val="minor"/>
          </rPr>
          <t>Karen Drennan:
Spare Parts for Returns
Aja
Previously 32k, now 29k. BOSS Invoice #INV-TAW_SPARE_PARTS_ORDER_0001-2025-3232</t>
        </r>
      </text>
    </comment>
    <comment ref="AX12" authorId="2" shapeId="0" xr:uid="{7729A1AC-02D3-4636-BE0A-6F3E471D05C9}">
      <text>
        <r>
          <rPr>
            <sz val="11"/>
            <color theme="1"/>
            <rFont val="Calibri"/>
            <family val="2"/>
            <scheme val="minor"/>
          </rPr>
          <t>Aja Martinez:
36619.04 &gt;already paid in BOSS
Payment 9 (MG7700 @ 66.21 per unit, B12 @ 76.03 per unit  at 70%)
PO2(2024)</t>
        </r>
      </text>
    </comment>
    <comment ref="AZ12" authorId="2" shapeId="0" xr:uid="{4C70ECFB-85BA-40A4-A508-1562B6FC80DA}">
      <text>
        <r>
          <rPr>
            <sz val="11"/>
            <color theme="1"/>
            <rFont val="Calibri"/>
            <family val="2"/>
            <scheme val="minor"/>
          </rPr>
          <t>Aja Martinez:
T&amp;W PO3 (2025)
Payment 4 (341 devices on consignment)</t>
        </r>
      </text>
    </comment>
    <comment ref="F13" authorId="0" shapeId="0" xr:uid="{00000000-0006-0000-0400-000001000000}">
      <text>
        <r>
          <rPr>
            <sz val="11"/>
            <color theme="1"/>
            <rFont val="Calibri"/>
            <family val="2"/>
            <scheme val="minor"/>
          </rPr>
          <t>======
ID#AAABjjK_Gq8
Carolyn Scissons    (2025-05-13 18:14:06)
Total invoice $759,800 for MB15. Previously only captured a 50% installment late July 2025. Bank records back to March don't show this payment</t>
        </r>
      </text>
    </comment>
    <comment ref="AC13" authorId="1" shapeId="0" xr:uid="{58B11F45-C9EA-4930-8074-B83D7C23F8F2}">
      <text>
        <r>
          <rPr>
            <b/>
            <sz val="9"/>
            <color indexed="81"/>
            <rFont val="Tahoma"/>
            <family val="2"/>
          </rPr>
          <t>Karen Drennan:</t>
        </r>
        <r>
          <rPr>
            <sz val="9"/>
            <color indexed="81"/>
            <rFont val="Tahoma"/>
            <family val="2"/>
          </rPr>
          <t xml:space="preserve">
PPV price increase on 10K order Inv pending
Due by 8/25, and memory</t>
        </r>
      </text>
    </comment>
    <comment ref="AD13" authorId="1" shapeId="0" xr:uid="{1E9A2F1F-DB80-4E3A-B167-D5584D60CBBB}">
      <text>
        <r>
          <rPr>
            <b/>
            <sz val="9"/>
            <color indexed="81"/>
            <rFont val="Tahoma"/>
            <family val="2"/>
          </rPr>
          <t>Karen Drennan:</t>
        </r>
        <r>
          <rPr>
            <sz val="9"/>
            <color indexed="81"/>
            <rFont val="Tahoma"/>
            <family val="2"/>
          </rPr>
          <t xml:space="preserve">
Quote fo tt in advance for BRCM parts and Memory part
</t>
        </r>
      </text>
    </comment>
    <comment ref="AI13" authorId="1" shapeId="0" xr:uid="{ECF4771A-182A-4BBE-B016-B709FFFE051D}">
      <text>
        <r>
          <rPr>
            <b/>
            <sz val="9"/>
            <color indexed="81"/>
            <rFont val="Tahoma"/>
            <family val="2"/>
          </rPr>
          <t>Karen Drennan:</t>
        </r>
        <r>
          <rPr>
            <sz val="9"/>
            <color indexed="81"/>
            <rFont val="Tahoma"/>
            <family val="2"/>
          </rPr>
          <t xml:space="preserve">
PPV payment plan
</t>
        </r>
      </text>
    </comment>
    <comment ref="AK13" authorId="1" shapeId="0" xr:uid="{000289DB-C9C5-4E28-AB75-5C6057F77627}">
      <text>
        <r>
          <rPr>
            <sz val="11"/>
            <color theme="1"/>
            <rFont val="Calibri"/>
            <family val="2"/>
            <scheme val="minor"/>
          </rPr>
          <t xml:space="preserve">Aja oct9: 1st payment was short $525 so this needs to be $571,950
Karen Drennan:
Bal of 10K units payment 
</t>
        </r>
      </text>
    </comment>
    <comment ref="AM13" authorId="1" shapeId="0" xr:uid="{D7803F59-0C9B-42BA-AB90-5D8573C2C10C}">
      <text>
        <r>
          <rPr>
            <b/>
            <sz val="9"/>
            <color indexed="81"/>
            <rFont val="Tahoma"/>
            <family val="2"/>
          </rPr>
          <t>Karen Drennan:</t>
        </r>
        <r>
          <rPr>
            <sz val="9"/>
            <color indexed="81"/>
            <rFont val="Tahoma"/>
            <family val="2"/>
          </rPr>
          <t xml:space="preserve">
PPV payment plan
</t>
        </r>
      </text>
    </comment>
    <comment ref="AN13" authorId="1" shapeId="0" xr:uid="{AAB12B07-91E8-443A-9011-125810990F6A}">
      <text>
        <r>
          <rPr>
            <sz val="11"/>
            <color theme="1"/>
            <rFont val="Calibri"/>
            <family val="2"/>
            <scheme val="minor"/>
          </rPr>
          <t>Karen Drennan:
PPV payment plan B15
Q20250821001</t>
        </r>
      </text>
    </comment>
    <comment ref="AQ13" authorId="1" shapeId="0" xr:uid="{F1A45FFF-DB98-45C8-ADD8-3A4FC839717F}">
      <text>
        <r>
          <rPr>
            <b/>
            <sz val="9"/>
            <color indexed="81"/>
            <rFont val="Tahoma"/>
            <family val="2"/>
          </rPr>
          <t>Karen Drennan:</t>
        </r>
        <r>
          <rPr>
            <sz val="9"/>
            <color indexed="81"/>
            <rFont val="Tahoma"/>
            <family val="2"/>
          </rPr>
          <t xml:space="preserve">
B15 parts</t>
        </r>
      </text>
    </comment>
    <comment ref="AU13" authorId="1" shapeId="0" xr:uid="{82DFBC38-0843-4467-ACB4-2AD37BE6BC49}">
      <text>
        <r>
          <rPr>
            <b/>
            <sz val="9"/>
            <color indexed="81"/>
            <rFont val="Tahoma"/>
            <family val="2"/>
          </rPr>
          <t>Karen Drennan:</t>
        </r>
        <r>
          <rPr>
            <sz val="9"/>
            <color indexed="81"/>
            <rFont val="Tahoma"/>
            <family val="2"/>
          </rPr>
          <t xml:space="preserve">
Place holder for balance of the 35K</t>
        </r>
      </text>
    </comment>
    <comment ref="AV13" authorId="1" shapeId="0" xr:uid="{32C9F8EA-97F3-44E4-BAD8-609C90170DF9}">
      <text>
        <r>
          <rPr>
            <b/>
            <sz val="9"/>
            <color indexed="81"/>
            <rFont val="Tahoma"/>
            <family val="2"/>
          </rPr>
          <t>Karen Drennan:</t>
        </r>
        <r>
          <rPr>
            <sz val="9"/>
            <color indexed="81"/>
            <rFont val="Tahoma"/>
            <family val="2"/>
          </rPr>
          <t xml:space="preserve">
</t>
        </r>
      </text>
    </comment>
    <comment ref="AW13" authorId="1" shapeId="0" xr:uid="{3638CA38-E461-4119-B1FC-510C215AA95C}">
      <text>
        <r>
          <rPr>
            <sz val="11"/>
            <color theme="1"/>
            <rFont val="Calibri"/>
            <family val="2"/>
            <scheme val="minor"/>
          </rPr>
          <t>Aja: 
Q20250821002
CBN MNB15 2026 Order #1
Payment2</t>
        </r>
      </text>
    </comment>
    <comment ref="AX13" authorId="1" shapeId="0" xr:uid="{8B634AA9-40F8-4397-BF37-7EAE45E48548}">
      <text>
        <r>
          <rPr>
            <sz val="11"/>
            <color theme="1"/>
            <rFont val="Calibri"/>
            <family val="2"/>
            <scheme val="minor"/>
          </rPr>
          <t>Aja:
2000502713780
Payment 2 (75%, updated PO Unit Cost)
CBN MNB15 (Mass Production Build)</t>
        </r>
      </text>
    </comment>
    <comment ref="BE13" authorId="2" shapeId="0" xr:uid="{4C8EC514-EFEB-43B4-BB49-4DC9A89DAB14}">
      <text>
        <r>
          <rPr>
            <sz val="11"/>
            <color theme="1"/>
            <rFont val="Calibri"/>
            <family val="2"/>
            <scheme val="minor"/>
          </rPr>
          <t xml:space="preserve">Aja Martinez:
Q20250821002
CBN MNB15 2026 Order #1
Payment3
</t>
        </r>
      </text>
    </comment>
    <comment ref="BM13" authorId="1" shapeId="0" xr:uid="{782A8F6F-F8DC-4BEA-A5D2-CD6E947DC310}">
      <text>
        <r>
          <rPr>
            <b/>
            <sz val="9"/>
            <color indexed="81"/>
            <rFont val="Tahoma"/>
            <family val="2"/>
          </rPr>
          <t>Karen Drennan:</t>
        </r>
        <r>
          <rPr>
            <sz val="9"/>
            <color indexed="81"/>
            <rFont val="Tahoma"/>
            <family val="2"/>
          </rPr>
          <t xml:space="preserve">
Place holder for balance of the 35K</t>
        </r>
      </text>
    </comment>
    <comment ref="BN13" authorId="2" shapeId="0" xr:uid="{500D3FE5-C28D-4E9E-8097-DABD12CB80E6}">
      <text>
        <r>
          <rPr>
            <sz val="11"/>
            <color theme="1"/>
            <rFont val="Calibri"/>
            <family val="2"/>
            <scheme val="minor"/>
          </rPr>
          <t>Aja Martinez:
Q20250821002
Payment4</t>
        </r>
      </text>
    </comment>
    <comment ref="BV13" authorId="2" shapeId="0" xr:uid="{FD8CDE1C-1787-49EA-84F6-D8BC9D2F1A2D}">
      <text>
        <r>
          <rPr>
            <sz val="11"/>
            <color theme="1"/>
            <rFont val="Calibri"/>
            <family val="2"/>
            <scheme val="minor"/>
          </rPr>
          <t>Aja Martinez:
Q20250821002
Payment 5 (final payment can not exceed June 30,2026)</t>
        </r>
      </text>
    </comment>
    <comment ref="AR14" authorId="1" shapeId="0" xr:uid="{76211CF1-2D07-4AAB-814E-163E5FF6991F}">
      <text>
        <r>
          <rPr>
            <b/>
            <sz val="9"/>
            <color indexed="81"/>
            <rFont val="Tahoma"/>
            <family val="2"/>
          </rPr>
          <t>Karen Drennan:</t>
        </r>
        <r>
          <rPr>
            <sz val="9"/>
            <color indexed="81"/>
            <rFont val="Tahoma"/>
            <family val="2"/>
          </rPr>
          <t xml:space="preserve">
Assum 127*2000=254000, 15/85</t>
        </r>
      </text>
    </comment>
    <comment ref="BD14" authorId="1" shapeId="0" xr:uid="{56C82BB1-9489-44FA-9544-6F49F2459EDF}">
      <text>
        <r>
          <rPr>
            <b/>
            <sz val="9"/>
            <color indexed="81"/>
            <rFont val="Tahoma"/>
            <family val="2"/>
          </rPr>
          <t>Karen Drennan:</t>
        </r>
        <r>
          <rPr>
            <sz val="9"/>
            <color indexed="81"/>
            <rFont val="Tahoma"/>
            <family val="2"/>
          </rPr>
          <t xml:space="preserve">
remaining 85% of P15
</t>
        </r>
      </text>
    </comment>
    <comment ref="AT15" authorId="3" shapeId="0" xr:uid="{900DA8A4-B365-4C30-9C9C-BB4EA6FAE4F2}">
      <text>
        <r>
          <rPr>
            <sz val="11"/>
            <color theme="1"/>
            <rFont val="Calibri"/>
            <family val="2"/>
            <scheme val="minor"/>
          </rPr>
          <t>Steven Cistulli:
this is 25% of a 20,000 unit order at 26.40 per unit ---- it is place holder.
The remaining balance is due net 30 upon shipment</t>
        </r>
      </text>
    </comment>
    <comment ref="BN15" authorId="3" shapeId="0" xr:uid="{ED023914-12FD-438D-80E9-513B080C6B5C}">
      <text>
        <r>
          <rPr>
            <sz val="11"/>
            <color theme="1"/>
            <rFont val="Calibri"/>
            <family val="2"/>
            <scheme val="minor"/>
          </rPr>
          <t>Steven Cistulli:
this is 25% of a 20,000 unit order at 26.40 per unit ---- it is place holder.
The remaining balance is due net 30 upon shipment</t>
        </r>
      </text>
    </comment>
    <comment ref="J17" authorId="0" shapeId="0" xr:uid="{00000000-0006-0000-0400-00001D000000}">
      <text>
        <r>
          <rPr>
            <sz val="11"/>
            <color theme="1"/>
            <rFont val="Calibri"/>
            <family val="2"/>
            <scheme val="minor"/>
          </rPr>
          <t>======
ID#AAABiV2mmpk
tc={962BF67E-6196-43A7-8F1C-473A702D3A21}    (2025-04-21 17:58:11)
[Threaded comment]
Your version of Excel allows you to read this threaded comment; however, any edits to it will get removed if the file is opened in a newer version of Excel. Learn more: https://go.microsoft.com/fwlink/?linkid=870924
Comment:
    T&amp;W Shipment setup and SO released - drayage should be March 25, 2025 and Arrival to EMG (Wisconsin) is estimated to be April 25. 2025 (will become due, via Premier account with Flexport, at the moment of delivery to EMG ($30,676.91)</t>
        </r>
      </text>
    </comment>
    <comment ref="L17" authorId="0" shapeId="0" xr:uid="{00000000-0006-0000-0400-000003000000}">
      <text>
        <r>
          <rPr>
            <sz val="11"/>
            <color theme="1"/>
            <rFont val="Calibri"/>
            <family val="2"/>
            <scheme val="minor"/>
          </rPr>
          <t>======
ID#AAABir7RPmc
Steven Cistulli    (2025-04-30 20:33:13)
final transfer to OL-USA (need to update number once we see Invoice)</t>
        </r>
      </text>
    </comment>
    <comment ref="V17" authorId="1" shapeId="0" xr:uid="{0DE50CB9-9BE3-4610-ACAF-0A7114E8AD1A}">
      <text>
        <r>
          <rPr>
            <b/>
            <sz val="9"/>
            <color indexed="81"/>
            <rFont val="Tahoma"/>
            <family val="2"/>
          </rPr>
          <t>Karen Drennan:</t>
        </r>
        <r>
          <rPr>
            <sz val="9"/>
            <color indexed="81"/>
            <rFont val="Tahoma"/>
            <family val="2"/>
          </rPr>
          <t xml:space="preserve">
From Steves Shipping Register
</t>
        </r>
      </text>
    </comment>
    <comment ref="AI19" authorId="1" shapeId="0" xr:uid="{D62A21D6-9E1D-4983-9C81-63A9968C527A}">
      <text>
        <r>
          <rPr>
            <b/>
            <sz val="9"/>
            <color indexed="81"/>
            <rFont val="Tahoma"/>
            <family val="2"/>
          </rPr>
          <t>Karen Drennan:</t>
        </r>
        <r>
          <rPr>
            <sz val="9"/>
            <color indexed="81"/>
            <rFont val="Tahoma"/>
            <family val="2"/>
          </rPr>
          <t xml:space="preserve">
PI received from AJA 9.25 due 9.29</t>
        </r>
      </text>
    </comment>
    <comment ref="AL19" authorId="2" shapeId="0" xr:uid="{365A16CE-AA3A-4570-8ABA-46A348E01FD0}">
      <text>
        <r>
          <rPr>
            <sz val="11"/>
            <color theme="1"/>
            <rFont val="Calibri"/>
            <family val="2"/>
            <scheme val="minor"/>
          </rPr>
          <t>Aja Martinez:
MT-EY20250707D
Payment 2 (second 50% of per shipment of 1,000 Unit Shipment)</t>
        </r>
      </text>
    </comment>
    <comment ref="AO19" authorId="2" shapeId="0" xr:uid="{6C59BDA9-A2AF-4FD5-AAD7-55A46A47B0DD}">
      <text>
        <r>
          <rPr>
            <sz val="11"/>
            <color theme="1"/>
            <rFont val="Calibri"/>
            <family val="2"/>
            <scheme val="minor"/>
          </rPr>
          <t>Aja Martinez:
MT-EY20250707D
Payment 3 (second 50% of per shipment of 4,000 Unit Shipment)</t>
        </r>
      </text>
    </comment>
    <comment ref="AV19" authorId="2" shapeId="0" xr:uid="{BFCBBAF8-B219-446D-A9D2-5A1CEF865926}">
      <text>
        <r>
          <rPr>
            <sz val="11"/>
            <color theme="1"/>
            <rFont val="Calibri"/>
            <family val="2"/>
            <scheme val="minor"/>
          </rPr>
          <t>Aja Martinez:
MT-EY20250707D
Payment 4 (second 50% of per shipment of 5,000 Unit Shipment)</t>
        </r>
      </text>
    </comment>
    <comment ref="BF19" authorId="2" shapeId="0" xr:uid="{3079B11F-EE49-45E2-820B-74AF7AAEC911}">
      <text>
        <r>
          <rPr>
            <sz val="11"/>
            <color theme="1"/>
            <rFont val="Calibri"/>
            <family val="2"/>
            <scheme val="minor"/>
          </rPr>
          <t>Aja Martinez:
MT-EY20250707D
Payment 5 (this is remainder of Memory PPV as shipments are released)</t>
        </r>
      </text>
    </comment>
    <comment ref="AV20" authorId="3" shapeId="0" xr:uid="{1C6F6371-E02B-46E9-B316-511FAD93BA23}">
      <text>
        <r>
          <rPr>
            <sz val="11"/>
            <color theme="1"/>
            <rFont val="Calibri"/>
            <family val="2"/>
            <scheme val="minor"/>
          </rPr>
          <t>Steven Cistulli:
this is 25% of a 60,000 unit order at 26.40 (i put a higher value due to EU variant) per unit ---- it is place holder.
The remaining balance is due net 30 upon shipment</t>
        </r>
      </text>
    </comment>
    <comment ref="BR20" authorId="3" shapeId="0" xr:uid="{DC0CB312-B7EE-4F67-B7AE-4B300C6701B6}">
      <text>
        <r>
          <rPr>
            <sz val="11"/>
            <color theme="1"/>
            <rFont val="Calibri"/>
            <family val="2"/>
            <scheme val="minor"/>
          </rPr>
          <t>Steven Cistulli:
this is 25% of a 60,000 unit order at 26.40 (i put a higher value due to EU variant) per unit ---- it is place holder.
The remaining balance is due net 30 upon shipment</t>
        </r>
      </text>
    </comment>
    <comment ref="AI21" authorId="1" shapeId="0" xr:uid="{287FC959-F97B-4114-A0F4-0CA915A4E288}">
      <text>
        <r>
          <rPr>
            <sz val="11"/>
            <color theme="1"/>
            <rFont val="Calibri"/>
            <family val="2"/>
            <scheme val="minor"/>
          </rPr>
          <t>Karen Drennan:
Tek point customer</t>
        </r>
      </text>
    </comment>
    <comment ref="AR21" authorId="1" shapeId="0" xr:uid="{485CC3EE-C868-453C-812B-909578792644}">
      <text>
        <r>
          <rPr>
            <sz val="11"/>
            <color theme="1"/>
            <rFont val="Calibri"/>
            <family val="2"/>
            <scheme val="minor"/>
          </rPr>
          <t>Karen Drennan:
Place holder</t>
        </r>
      </text>
    </comment>
    <comment ref="M22" authorId="0" shapeId="0" xr:uid="{00000000-0006-0000-0400-000013000000}">
      <text>
        <r>
          <rPr>
            <sz val="11"/>
            <color theme="1"/>
            <rFont val="Calibri"/>
            <family val="2"/>
            <scheme val="minor"/>
          </rPr>
          <t>======
ID#AAABiV2mmtg
tc={606DB29B-FE3C-45DE-B636-8456E0196F1E}    (2025-04-21 17:58:11)
[Threaded comment]
Your version of Excel allows you to read this threaded comment; however, any edits to it will get removed if the file is opened in a newer version of Excel. Learn more: https://go.microsoft.com/fwlink/?linkid=870924
Comment:
    Increased initial estimate provided by Steve based on 46% rates</t>
        </r>
      </text>
    </comment>
    <comment ref="O22" authorId="0" shapeId="0" xr:uid="{00000000-0006-0000-0400-00000C000000}">
      <text>
        <r>
          <rPr>
            <sz val="11"/>
            <color theme="1"/>
            <rFont val="Calibri"/>
            <family val="2"/>
            <scheme val="minor"/>
          </rPr>
          <t>======
ID#AAABiV2mmuQ
tc={6942C97F-279D-45E1-8CC9-B18C27F00311}    (2025-04-21 17:58:11)
[Threaded comment]
Your version of Excel allows you to read this threaded comment; however, any edits to it will get removed if the file is opened in a newer version of Excel. Learn more: https://go.microsoft.com/fwlink/?linkid=870924
Comment:
    Should go to $0 under section 3, pending confirmation</t>
        </r>
      </text>
    </comment>
    <comment ref="AK22" authorId="1" shapeId="0" xr:uid="{8FF57E76-F6E5-42E2-8DCB-DE33AAA1B9CC}">
      <text>
        <r>
          <rPr>
            <sz val="11"/>
            <color theme="1"/>
            <rFont val="Calibri"/>
            <family val="2"/>
            <scheme val="minor"/>
          </rPr>
          <t>Karen Drennan:
Customs</t>
        </r>
      </text>
    </comment>
    <comment ref="AQ22" authorId="1" shapeId="0" xr:uid="{DBB4E99D-53AF-48C5-A86C-C438893FBE34}">
      <text>
        <r>
          <rPr>
            <b/>
            <sz val="9"/>
            <color indexed="81"/>
            <rFont val="Tahoma"/>
            <family val="2"/>
          </rPr>
          <t>Karen Drennan:</t>
        </r>
        <r>
          <rPr>
            <sz val="9"/>
            <color indexed="81"/>
            <rFont val="Tahoma"/>
            <family val="2"/>
          </rPr>
          <t xml:space="preserve">
Estimate
</t>
        </r>
      </text>
    </comment>
    <comment ref="AX22" authorId="1" shapeId="0" xr:uid="{6C3B07CE-EA90-4B25-8DA7-0BA796D01B7A}">
      <text>
        <r>
          <rPr>
            <b/>
            <sz val="9"/>
            <color indexed="81"/>
            <rFont val="Tahoma"/>
            <family val="2"/>
          </rPr>
          <t>Karen Drennan:</t>
        </r>
        <r>
          <rPr>
            <sz val="9"/>
            <color indexed="81"/>
            <rFont val="Tahoma"/>
            <family val="2"/>
          </rPr>
          <t xml:space="preserve">
Estimates for Tariffs and Broker fees, ask Steve if we can take out</t>
        </r>
      </text>
    </comment>
    <comment ref="AY22" authorId="1" shapeId="0" xr:uid="{28C569D0-E3A9-4E4A-B7C0-C9188B4FB656}">
      <text>
        <r>
          <rPr>
            <b/>
            <sz val="9"/>
            <color indexed="81"/>
            <rFont val="Tahoma"/>
            <family val="2"/>
          </rPr>
          <t>Karen Drennan:</t>
        </r>
        <r>
          <rPr>
            <sz val="9"/>
            <color indexed="81"/>
            <rFont val="Tahoma"/>
            <family val="2"/>
          </rPr>
          <t xml:space="preserve">
Estimate need to review with Steve</t>
        </r>
      </text>
    </comment>
    <comment ref="BF22" authorId="1" shapeId="0" xr:uid="{8591B261-E0D0-44C2-8C28-1091C50B2E0B}">
      <text>
        <r>
          <rPr>
            <b/>
            <sz val="9"/>
            <color indexed="81"/>
            <rFont val="Tahoma"/>
            <family val="2"/>
          </rPr>
          <t>Karen Drennan:</t>
        </r>
        <r>
          <rPr>
            <sz val="9"/>
            <color indexed="81"/>
            <rFont val="Tahoma"/>
            <family val="2"/>
          </rPr>
          <t xml:space="preserve">
Estimate need to revew with Steve</t>
        </r>
      </text>
    </comment>
    <comment ref="AB23" authorId="1" shapeId="0" xr:uid="{56CA5BC5-9AA4-4ADE-973D-6B5D7CC420A8}">
      <text>
        <r>
          <rPr>
            <b/>
            <sz val="9"/>
            <color indexed="81"/>
            <rFont val="Tahoma"/>
            <family val="2"/>
          </rPr>
          <t>Karen Drennan:</t>
        </r>
        <r>
          <rPr>
            <sz val="9"/>
            <color indexed="81"/>
            <rFont val="Tahoma"/>
            <family val="2"/>
          </rPr>
          <t xml:space="preserve">
the 19k covers this and I will update the forecast to take it out
</t>
        </r>
      </text>
    </comment>
    <comment ref="AE23" authorId="1" shapeId="0" xr:uid="{C35B9410-06DF-49E7-A9E8-F3A174792842}">
      <text>
        <r>
          <rPr>
            <b/>
            <sz val="9"/>
            <color indexed="81"/>
            <rFont val="Tahoma"/>
            <family val="2"/>
          </rPr>
          <t>Karen Drennan:</t>
        </r>
        <r>
          <rPr>
            <sz val="9"/>
            <color indexed="81"/>
            <rFont val="Tahoma"/>
            <family val="2"/>
          </rPr>
          <t xml:space="preserve">
askey Air shipment, 1 pallet 144 pcs Mq20</t>
        </r>
      </text>
    </comment>
    <comment ref="AG23" authorId="1" shapeId="0" xr:uid="{AB6A333A-3E43-4E97-AABD-9793BF30A0C0}">
      <text>
        <r>
          <rPr>
            <sz val="11"/>
            <color theme="1"/>
            <rFont val="Calibri"/>
            <family val="2"/>
            <scheme val="minor"/>
          </rPr>
          <t>Karen Drennan:
Check on timing and amount</t>
        </r>
      </text>
    </comment>
    <comment ref="AK23" authorId="1" shapeId="0" xr:uid="{2D0FB8B0-583E-4A68-BE2A-1F6EDE9BF802}">
      <text>
        <r>
          <rPr>
            <sz val="11"/>
            <color theme="1"/>
            <rFont val="Calibri"/>
            <family val="2"/>
            <scheme val="minor"/>
          </rPr>
          <t>Karen Drennan:
Customs</t>
        </r>
      </text>
    </comment>
    <comment ref="AL23" authorId="1" shapeId="0" xr:uid="{5B37FBA8-A77A-4EFB-84C1-8136CAA75350}">
      <text>
        <r>
          <rPr>
            <b/>
            <sz val="9"/>
            <color indexed="81"/>
            <rFont val="Tahoma"/>
            <family val="2"/>
          </rPr>
          <t>Karen Drennan:</t>
        </r>
        <r>
          <rPr>
            <sz val="9"/>
            <color indexed="81"/>
            <rFont val="Tahoma"/>
            <family val="2"/>
          </rPr>
          <t xml:space="preserve">
Estimate</t>
        </r>
      </text>
    </comment>
    <comment ref="AO23" authorId="1" shapeId="0" xr:uid="{87EE7DED-7283-4E7B-ADD1-83C1D2A91622}">
      <text>
        <r>
          <rPr>
            <sz val="11"/>
            <color theme="1"/>
            <rFont val="Calibri"/>
            <family val="2"/>
            <scheme val="minor"/>
          </rPr>
          <t xml:space="preserve">Karen Drennan:
Invoice #JJOLM255014, Q15 Air shipment 1020 units. Received 10-14
</t>
        </r>
      </text>
    </comment>
    <comment ref="AU23" authorId="1" shapeId="0" xr:uid="{21FEEB97-E382-40C9-897F-DD1D7F7BEF81}">
      <text>
        <r>
          <rPr>
            <b/>
            <sz val="9"/>
            <color indexed="81"/>
            <rFont val="Tahoma"/>
            <family val="2"/>
          </rPr>
          <t>Karen Drennan:</t>
        </r>
        <r>
          <rPr>
            <sz val="9"/>
            <color indexed="81"/>
            <rFont val="Tahoma"/>
            <family val="2"/>
          </rPr>
          <t xml:space="preserve">
Estimate for shipping need to tie back to  what inventory/Shipment
</t>
        </r>
      </text>
    </comment>
    <comment ref="D24" authorId="0" shapeId="0" xr:uid="{63C18D7B-4AB8-411E-A45C-2D27C7089403}">
      <text>
        <r>
          <rPr>
            <sz val="11"/>
            <color theme="1"/>
            <rFont val="Calibri"/>
            <family val="2"/>
            <scheme val="minor"/>
          </rPr>
          <t>======
ID#AAABiV2mmuA
tc={960B4960-EBA5-4D65-9C71-1BCA95EE28D1}    (2025-04-21 17:58:11)
[Threaded comment]
Your version of Excel allows you to read this threaded comment; however, any edits to it will get removed if the file is opened in a newer version of Excel. Learn more: https://go.microsoft.com/fwlink/?linkid=870924
Comment:
    SOW3-2c</t>
        </r>
      </text>
    </comment>
    <comment ref="AA24" authorId="1" shapeId="0" xr:uid="{C203A19E-3865-4500-8E92-E51F6B516E07}">
      <text>
        <r>
          <rPr>
            <sz val="11"/>
            <color theme="1"/>
            <rFont val="Calibri"/>
            <family val="2"/>
            <scheme val="minor"/>
          </rPr>
          <t>Karen Drennan:
This is the subscription fee for the Firmware</t>
        </r>
      </text>
    </comment>
    <comment ref="AB26" authorId="1" shapeId="0" xr:uid="{DD539686-38CB-42AA-826A-F59FB6E2A241}">
      <text>
        <r>
          <rPr>
            <b/>
            <sz val="9"/>
            <color indexed="81"/>
            <rFont val="Tahoma"/>
            <family val="2"/>
          </rPr>
          <t>Karen Drennan:</t>
        </r>
        <r>
          <rPr>
            <sz val="9"/>
            <color indexed="81"/>
            <rFont val="Tahoma"/>
            <family val="2"/>
          </rPr>
          <t xml:space="preserve">
This is Tooling 25%, 25% paid earlier with the 118750 10219 pd 8.20
</t>
        </r>
      </text>
    </comment>
    <comment ref="AC26" authorId="1" shapeId="0" xr:uid="{7C66BEBD-C023-47CA-BE55-25C494C8096A}">
      <text>
        <r>
          <rPr>
            <b/>
            <sz val="9"/>
            <color indexed="81"/>
            <rFont val="Tahoma"/>
            <family val="2"/>
          </rPr>
          <t>Karen Drennan:</t>
        </r>
        <r>
          <rPr>
            <sz val="9"/>
            <color indexed="81"/>
            <rFont val="Tahoma"/>
            <family val="2"/>
          </rPr>
          <t xml:space="preserve">
This is Tooling 25%, 25% paid earlier with the 118750 10219 pd 8.20
</t>
        </r>
      </text>
    </comment>
    <comment ref="AS26" authorId="1" shapeId="0" xr:uid="{931C0DB8-47AF-4CA8-B6FB-C06448828779}">
      <text>
        <r>
          <rPr>
            <sz val="11"/>
            <color theme="1"/>
            <rFont val="Calibri"/>
            <family val="2"/>
            <scheme val="minor"/>
          </rPr>
          <t xml:space="preserve">10Nov Aja - moving out 3 weeks. 
NRE-4002855218 : $13,000
NRE-4002856167 : $25,000
NRE-4002855566 : $37,500
Karen Drennan:
37.5 50% of tooling, 25K for 50% of certifications, 13K for Engineering samples
</t>
        </r>
      </text>
    </comment>
    <comment ref="AT26" authorId="1" shapeId="0" xr:uid="{9698B2C0-E02B-4BD8-B9FE-BE39384E0110}">
      <text>
        <r>
          <rPr>
            <sz val="11"/>
            <color theme="1"/>
            <rFont val="Calibri"/>
            <family val="2"/>
            <scheme val="minor"/>
          </rPr>
          <t xml:space="preserve">Karen Drennan:
Remiander of Tooling payment </t>
        </r>
      </text>
    </comment>
    <comment ref="AX26" authorId="2" shapeId="0" xr:uid="{0CEADD7E-4AA0-4EE6-BD9B-55010B62625E}">
      <text>
        <r>
          <rPr>
            <sz val="11"/>
            <color theme="1"/>
            <rFont val="Calibri"/>
            <family val="2"/>
            <scheme val="minor"/>
          </rPr>
          <t>Aja Martinez:
NRE-4002855218
NRE-4002856167</t>
        </r>
      </text>
    </comment>
    <comment ref="AC28" authorId="3" shapeId="0" xr:uid="{BC93AE67-B3A8-B547-BE00-3FC176838D83}">
      <text>
        <r>
          <rPr>
            <b/>
            <sz val="10"/>
            <color rgb="FF000000"/>
            <rFont val="Tahoma"/>
            <family val="2"/>
          </rPr>
          <t>Steven Cistulli:</t>
        </r>
        <r>
          <rPr>
            <sz val="10"/>
            <color rgb="FF000000"/>
            <rFont val="Tahoma"/>
            <family val="2"/>
          </rPr>
          <t xml:space="preserve">
</t>
        </r>
        <r>
          <rPr>
            <sz val="10"/>
            <color rgb="FF000000"/>
            <rFont val="Tahoma"/>
            <family val="2"/>
          </rPr>
          <t>This moved as we have not made decision on the Q21yet for CBN or MTN; must act on this within this week</t>
        </r>
      </text>
    </comment>
    <comment ref="AE28" authorId="3" shapeId="0" xr:uid="{A4C17972-BB8E-44E5-85F6-F3B6B0894438}">
      <text>
        <r>
          <rPr>
            <sz val="11"/>
            <color theme="1"/>
            <rFont val="Calibri"/>
            <family val="2"/>
            <scheme val="minor"/>
          </rPr>
          <t>Steven Cistulli:
Moved to first week of September so that Compal and Gryphon can meet to technically undersstand scope of effort</t>
        </r>
      </text>
    </comment>
    <comment ref="AG28" authorId="3" shapeId="0" xr:uid="{25DCE63E-4670-4012-9F76-97C841DF8433}">
      <text>
        <r>
          <rPr>
            <sz val="11"/>
            <color theme="1"/>
            <rFont val="Calibri"/>
            <family val="2"/>
            <scheme val="minor"/>
          </rPr>
          <t>Steven Cistulli:
Moved to first week of September so that Compal and Gryphon can meet to technically undersstand scope of effort</t>
        </r>
      </text>
    </comment>
    <comment ref="AP28" authorId="2" shapeId="0" xr:uid="{0C491846-0960-4F93-A905-D9A316B379C4}">
      <text>
        <r>
          <rPr>
            <sz val="11"/>
            <color theme="1"/>
            <rFont val="Calibri"/>
            <family val="2"/>
            <scheme val="minor"/>
          </rPr>
          <t>Aja Martinez:
Previously $80k placeholder for Q21</t>
        </r>
      </text>
    </comment>
    <comment ref="AQ28" authorId="2" shapeId="0" xr:uid="{0EAB3FD2-4C81-4198-97A2-4B3C19D4CA8D}">
      <text>
        <r>
          <rPr>
            <sz val="11"/>
            <color theme="1"/>
            <rFont val="Calibri"/>
            <family val="2"/>
            <scheme val="minor"/>
          </rPr>
          <t>Aja Martinez:
Placeholder Q12
NRE-1002869611</t>
        </r>
      </text>
    </comment>
    <comment ref="AV28" authorId="2" shapeId="0" xr:uid="{A668A756-91A7-4FDF-9F7E-DD7949DEC063}">
      <text>
        <r>
          <rPr>
            <sz val="11"/>
            <color theme="1"/>
            <rFont val="Calibri"/>
            <family val="2"/>
            <scheme val="minor"/>
          </rPr>
          <t>Aja Martinez:
Previously $80k placeholder for Q21</t>
        </r>
      </text>
    </comment>
    <comment ref="BC28" authorId="2" shapeId="0" xr:uid="{4D8359E8-549C-4B8A-A352-2D6134910372}">
      <text>
        <r>
          <rPr>
            <sz val="11"/>
            <color theme="1"/>
            <rFont val="Calibri"/>
            <family val="2"/>
            <scheme val="minor"/>
          </rPr>
          <t>Aja Martinez:Placeholder
NRE-2003099482</t>
        </r>
      </text>
    </comment>
    <comment ref="BE28" authorId="2" shapeId="0" xr:uid="{1E180CF5-50AF-4467-AF6F-03547C53DA3B}">
      <text>
        <r>
          <rPr>
            <sz val="11"/>
            <color theme="1"/>
            <rFont val="Calibri"/>
            <family val="2"/>
            <scheme val="minor"/>
          </rPr>
          <t>Aja Martinez:
NRE-1002869611</t>
        </r>
      </text>
    </comment>
    <comment ref="BH28" authorId="2" shapeId="0" xr:uid="{20E3C48E-1A62-4C1E-94D8-972F71B282A1}">
      <text>
        <r>
          <rPr>
            <sz val="11"/>
            <color theme="1"/>
            <rFont val="Calibri"/>
            <family val="2"/>
            <scheme val="minor"/>
          </rPr>
          <t>Aja Martinez:
NRE-2003099482</t>
        </r>
      </text>
    </comment>
    <comment ref="AG29" authorId="3" shapeId="0" xr:uid="{B88D5134-034D-410D-9CE0-B90BA81191B0}">
      <text>
        <r>
          <rPr>
            <sz val="11"/>
            <color theme="1"/>
            <rFont val="Calibri"/>
            <family val="2"/>
            <scheme val="minor"/>
          </rPr>
          <t>Steven Cistulli:
Until we make decision on Q21 USA, this is moving right on the timeline</t>
        </r>
      </text>
    </comment>
    <comment ref="AI29" authorId="3" shapeId="0" xr:uid="{B4A0B966-05D8-411E-AA3C-4930CBA5DF6C}">
      <text>
        <r>
          <rPr>
            <sz val="11"/>
            <color theme="1"/>
            <rFont val="Calibri"/>
            <family val="2"/>
            <scheme val="minor"/>
          </rPr>
          <t>Steven Cistulli:
Until we make decision on Q21 USA, this is moving right on the timeline</t>
        </r>
      </text>
    </comment>
    <comment ref="AJ29" authorId="3" shapeId="0" xr:uid="{B9009363-B144-4796-B7F7-646C2075FD27}">
      <text>
        <r>
          <rPr>
            <sz val="11"/>
            <color theme="1"/>
            <rFont val="Calibri"/>
            <family val="2"/>
            <scheme val="minor"/>
          </rPr>
          <t>Steven Cistulli:
Until we make decision on Q21 USA, this is moving right on the timeline</t>
        </r>
      </text>
    </comment>
    <comment ref="AK29" authorId="3" shapeId="0" xr:uid="{A49A4851-F0FE-46CA-B2AB-473E96F7DEAE}">
      <text>
        <r>
          <rPr>
            <sz val="11"/>
            <color theme="1"/>
            <rFont val="Calibri"/>
            <family val="2"/>
            <scheme val="minor"/>
          </rPr>
          <t>Steven Cistulli:
Until we make decision on Q21 USA, this is moving right on the timeline</t>
        </r>
      </text>
    </comment>
    <comment ref="AO29" authorId="3" shapeId="0" xr:uid="{36526ADD-123C-47FE-A5CE-0A05843B0ED9}">
      <text>
        <r>
          <rPr>
            <sz val="11"/>
            <color theme="1"/>
            <rFont val="Calibri"/>
            <family val="2"/>
            <scheme val="minor"/>
          </rPr>
          <t xml:space="preserve">Aja 10Nov - this will now be the line for Q12 items. removed $24,000 that was previously here, as a placeholder for Q21. 
old
Steven Cistulli:
Until we make decision on Q21 USA, this is moving right on the timeline
</t>
        </r>
      </text>
    </comment>
    <comment ref="AF30" authorId="1" shapeId="0" xr:uid="{8A82E268-EB94-41DD-BC75-668A86BBE5AE}">
      <text>
        <r>
          <rPr>
            <b/>
            <sz val="9"/>
            <color indexed="81"/>
            <rFont val="Tahoma"/>
            <family val="2"/>
          </rPr>
          <t>Karen Drennan:</t>
        </r>
        <r>
          <rPr>
            <sz val="9"/>
            <color indexed="81"/>
            <rFont val="Tahoma"/>
            <family val="2"/>
          </rPr>
          <t xml:space="preserve">
this is a place holder for test samples, no po yet
</t>
        </r>
      </text>
    </comment>
    <comment ref="I31" authorId="1" shapeId="0" xr:uid="{DBA93581-2578-405D-AA7D-8705337E9F07}">
      <text>
        <r>
          <rPr>
            <b/>
            <sz val="9"/>
            <color indexed="81"/>
            <rFont val="Tahoma"/>
            <family val="2"/>
          </rPr>
          <t>Karen Drennan:</t>
        </r>
        <r>
          <rPr>
            <sz val="9"/>
            <color indexed="81"/>
            <rFont val="Tahoma"/>
            <family val="2"/>
          </rPr>
          <t xml:space="preserve">
Find Paid Date
</t>
        </r>
      </text>
    </comment>
    <comment ref="AE31" authorId="3" shapeId="0" xr:uid="{156522D9-D1A7-D845-9615-2CAC9AEE812F}">
      <text>
        <r>
          <rPr>
            <b/>
            <sz val="10"/>
            <color rgb="FF000000"/>
            <rFont val="Tahoma"/>
            <family val="2"/>
          </rPr>
          <t>Steven Cistulli:</t>
        </r>
        <r>
          <rPr>
            <sz val="10"/>
            <color rgb="FF000000"/>
            <rFont val="Tahoma"/>
            <family val="2"/>
          </rPr>
          <t xml:space="preserve">
</t>
        </r>
        <r>
          <rPr>
            <sz val="10"/>
            <color rgb="FF000000"/>
            <rFont val="Tahoma"/>
            <family val="2"/>
          </rPr>
          <t>Until we get commitment from Sales on EU for B15, this will move to the right</t>
        </r>
      </text>
    </comment>
    <comment ref="AH31" authorId="3" shapeId="0" xr:uid="{2B7FEB48-83A6-4180-B280-D92EF0516337}">
      <text>
        <r>
          <rPr>
            <sz val="11"/>
            <color theme="1"/>
            <rFont val="Calibri"/>
            <family val="2"/>
            <scheme val="minor"/>
          </rPr>
          <t>Steven Cistulli:
still no decision on this until after IFA in Berlin - will continue tp push right until we here from Dariush</t>
        </r>
      </text>
    </comment>
    <comment ref="AJ31" authorId="3" shapeId="0" xr:uid="{A0105F9C-B46C-422F-90E7-EE965F16AF56}">
      <text>
        <r>
          <rPr>
            <sz val="11"/>
            <color theme="1"/>
            <rFont val="Calibri"/>
            <family val="2"/>
            <scheme val="minor"/>
          </rPr>
          <t>Removed until we have a customer for the ROW</t>
        </r>
      </text>
    </comment>
    <comment ref="AM31" authorId="3" shapeId="0" xr:uid="{4DBD8940-AC4D-441A-84EA-04A8A6ACE562}">
      <text>
        <r>
          <rPr>
            <sz val="11"/>
            <color theme="1"/>
            <rFont val="Calibri"/>
            <family val="2"/>
            <scheme val="minor"/>
          </rPr>
          <t>Steven Cistulli:
this aligns to first 23, 192 payment for B15 RoW -- see original notes on first 23.192 cell</t>
        </r>
      </text>
    </comment>
    <comment ref="AN31" authorId="1" shapeId="0" xr:uid="{F5F1CCB4-F27F-47BD-A13A-6FF71DE85CFE}">
      <text>
        <r>
          <rPr>
            <b/>
            <sz val="9"/>
            <color indexed="81"/>
            <rFont val="Tahoma"/>
            <family val="2"/>
          </rPr>
          <t>Karen Drennan:</t>
        </r>
        <r>
          <rPr>
            <sz val="9"/>
            <color indexed="81"/>
            <rFont val="Tahoma"/>
            <family val="2"/>
          </rPr>
          <t xml:space="preserve">
Likely to be removed, but it is a place holder for ROW</t>
        </r>
      </text>
    </comment>
    <comment ref="AO31" authorId="3" shapeId="0" xr:uid="{AFFC9979-6CFE-4794-8B70-A09ECD6001F6}">
      <text>
        <r>
          <rPr>
            <sz val="11"/>
            <color theme="1"/>
            <rFont val="Calibri"/>
            <family val="2"/>
            <scheme val="minor"/>
          </rPr>
          <t>Steven Cistulli:
this aligns to first 23, 192 payment for B15 RoW -- see original notes on first 23.192 cell</t>
        </r>
      </text>
    </comment>
    <comment ref="I32" authorId="1" shapeId="0" xr:uid="{0E521EC5-58FF-4D4E-8119-DF34C28105A7}">
      <text>
        <r>
          <rPr>
            <b/>
            <sz val="9"/>
            <color indexed="81"/>
            <rFont val="Tahoma"/>
            <family val="2"/>
          </rPr>
          <t>Karen Drennan:</t>
        </r>
        <r>
          <rPr>
            <sz val="9"/>
            <color indexed="81"/>
            <rFont val="Tahoma"/>
            <family val="2"/>
          </rPr>
          <t xml:space="preserve">
Find Paid Date
</t>
        </r>
      </text>
    </comment>
    <comment ref="L32" authorId="1" shapeId="0" xr:uid="{74181F14-FA65-4C83-BA36-2410981E82A3}">
      <text>
        <r>
          <rPr>
            <b/>
            <sz val="9"/>
            <color indexed="81"/>
            <rFont val="Tahoma"/>
            <family val="2"/>
          </rPr>
          <t>Karen Drennan:</t>
        </r>
        <r>
          <rPr>
            <sz val="9"/>
            <color indexed="81"/>
            <rFont val="Tahoma"/>
            <family val="2"/>
          </rPr>
          <t xml:space="preserve">
I don’t see this in the bank</t>
        </r>
      </text>
    </comment>
    <comment ref="AL32" authorId="1" shapeId="0" xr:uid="{DE56955B-CD75-4431-BA82-5A37A627678B}">
      <text>
        <r>
          <rPr>
            <b/>
            <sz val="9"/>
            <color indexed="81"/>
            <rFont val="Tahoma"/>
            <family val="2"/>
          </rPr>
          <t>Karen Drennan:</t>
        </r>
        <r>
          <rPr>
            <sz val="9"/>
            <color indexed="81"/>
            <rFont val="Tahoma"/>
            <family val="2"/>
          </rPr>
          <t xml:space="preserve">
Cable labs retest 75K and 10K Cox
</t>
        </r>
      </text>
    </comment>
    <comment ref="AS32" authorId="2" shapeId="0" xr:uid="{4B9D5899-8F40-487E-8BC9-1ADF662CF88A}">
      <text>
        <r>
          <rPr>
            <sz val="11"/>
            <color theme="1"/>
            <rFont val="Calibri"/>
            <family val="2"/>
            <scheme val="minor"/>
          </rPr>
          <t xml:space="preserve">Aja Martinez:
CableLabs COAM
NRE-9902857607
</t>
        </r>
      </text>
    </comment>
    <comment ref="AB33" authorId="3" shapeId="0" xr:uid="{939D49A4-CDF3-3642-8137-DAC5E2384A9D}">
      <text>
        <r>
          <rPr>
            <b/>
            <sz val="10"/>
            <color rgb="FF000000"/>
            <rFont val="Tahoma"/>
            <family val="2"/>
          </rPr>
          <t>Steven Cistulli:</t>
        </r>
        <r>
          <rPr>
            <sz val="10"/>
            <color rgb="FF000000"/>
            <rFont val="Tahoma"/>
            <family val="2"/>
          </rPr>
          <t xml:space="preserve">
</t>
        </r>
        <r>
          <rPr>
            <sz val="10"/>
            <color rgb="FF000000"/>
            <rFont val="Tahoma"/>
            <family val="2"/>
          </rPr>
          <t>MOved this for now until Steve gets clarity on Architecture between ATEL and Gryphon</t>
        </r>
      </text>
    </comment>
    <comment ref="AC33" authorId="3" shapeId="0" xr:uid="{095D1B70-A78C-4CFA-9945-7DEE3F8F2A09}">
      <text>
        <r>
          <rPr>
            <sz val="11"/>
            <color theme="1"/>
            <rFont val="Calibri"/>
            <family val="2"/>
            <scheme val="minor"/>
          </rPr>
          <t xml:space="preserve">Steven Cistulli:
Moved this to next week; having meeting F2F this week to understand why/when this is really due after Gryphon meetings
Remainder of In10219
Need Break down to pay
</t>
        </r>
      </text>
    </comment>
    <comment ref="AD33" authorId="3" shapeId="0" xr:uid="{41711A5F-66F7-4D9B-B989-DC7E302279E2}">
      <text>
        <r>
          <rPr>
            <sz val="11"/>
            <color theme="1"/>
            <rFont val="Calibri"/>
            <family val="2"/>
            <scheme val="minor"/>
          </rPr>
          <t xml:space="preserve">Steven Cistulli:
Moved this to next week; having meeting F2F this week to understand why/when this is really due after Gryphon meetings
Remainder of In10219
Need Break down to pay
</t>
        </r>
      </text>
    </comment>
    <comment ref="AE33" authorId="3" shapeId="0" xr:uid="{58EC43A0-D114-47D1-A47D-CE2C587E81A8}">
      <text>
        <r>
          <rPr>
            <sz val="11"/>
            <color theme="1"/>
            <rFont val="Calibri"/>
            <family val="2"/>
            <scheme val="minor"/>
          </rPr>
          <t xml:space="preserve">Steven Cistulli:
Moved this to next week; having meeting F2F this week to understand why/when this is really due after Gryphon meetings
Remainder of In10219
Need Break down to pay
</t>
        </r>
      </text>
    </comment>
    <comment ref="AG33" authorId="3" shapeId="0" xr:uid="{2AEB8FEC-CA48-4271-9FF8-89BD0CF70529}">
      <text>
        <r>
          <rPr>
            <sz val="11"/>
            <color theme="1"/>
            <rFont val="Calibri"/>
            <family val="2"/>
            <scheme val="minor"/>
          </rPr>
          <t xml:space="preserve">Steven Cistulli:
Moved this to next week; having meeting F2F this week to understand why/when this is really due after Gryphon meetings
Remainder of In10219
Need Break down to pay
</t>
        </r>
      </text>
    </comment>
    <comment ref="AU33" authorId="1" shapeId="0" xr:uid="{6DD317DD-72A3-4E18-8A00-17AFB8B0ECD9}">
      <text>
        <r>
          <rPr>
            <sz val="11"/>
            <color theme="1"/>
            <rFont val="Calibri"/>
            <family val="2"/>
            <scheme val="minor"/>
          </rPr>
          <t>Karen Drennan:
25% for Software (balance of the invoice)
NRE-4001732370</t>
        </r>
      </text>
    </comment>
    <comment ref="AI34" authorId="1" shapeId="0" xr:uid="{D7876267-1DF0-48DF-AFDD-0B9B75B4CF18}">
      <text>
        <r>
          <rPr>
            <b/>
            <sz val="9"/>
            <color indexed="81"/>
            <rFont val="Tahoma"/>
            <family val="2"/>
          </rPr>
          <t>Karen Drennan:</t>
        </r>
        <r>
          <rPr>
            <sz val="9"/>
            <color indexed="81"/>
            <rFont val="Tahoma"/>
            <family val="2"/>
          </rPr>
          <t xml:space="preserve">
6K Sample balance %50 of NRE paid in full
</t>
        </r>
      </text>
    </comment>
    <comment ref="AS34" authorId="1" shapeId="0" xr:uid="{C1716D8C-3AA1-467E-B658-7313F60116E0}">
      <text>
        <r>
          <rPr>
            <sz val="11"/>
            <color theme="1"/>
            <rFont val="Calibri"/>
            <family val="2"/>
            <scheme val="minor"/>
          </rPr>
          <t>Karen Drennan:
Certification fee, need to confirm timeline
10Nov Aja:this is for ANZ, moved from 10/22 to 12/8</t>
        </r>
      </text>
    </comment>
    <comment ref="D35" authorId="0" shapeId="0" xr:uid="{6F8E7F6A-1D4A-4BCE-A18C-756E774BD6DD}">
      <text>
        <r>
          <rPr>
            <sz val="11"/>
            <color theme="1"/>
            <rFont val="Calibri"/>
            <family val="2"/>
            <scheme val="minor"/>
          </rPr>
          <t>======
ID#AAABiV2mmuA
tc={960B4960-EBA5-4D65-9C71-1BCA95EE28D1}    (2025-04-21 17:58:11)
[Threaded comment]
Your version of Excel allows you to read this threaded comment; however, any edits to it will get removed if the file is opened in a newer version of Excel. Learn more: https://go.microsoft.com/fwlink/?linkid=870924
Comment:
    SOW3-2c</t>
        </r>
      </text>
    </comment>
    <comment ref="AN35" authorId="1" shapeId="0" xr:uid="{865DAD38-07E9-4F6D-9DC1-CD299BEBF0E3}">
      <text>
        <r>
          <rPr>
            <sz val="11"/>
            <color theme="1"/>
            <rFont val="Calibri"/>
            <family val="2"/>
            <scheme val="minor"/>
          </rPr>
          <t>Karen Drennan:
These were due 10/31, I missed and paid on 11/3
NRE-7002893378
Invoice 1163</t>
        </r>
      </text>
    </comment>
    <comment ref="AO35" authorId="2" shapeId="0" xr:uid="{A66208B3-B758-4983-A8C1-B77408F1E87B}">
      <text>
        <r>
          <rPr>
            <sz val="11"/>
            <color theme="1"/>
            <rFont val="Calibri"/>
            <family val="2"/>
            <scheme val="minor"/>
          </rPr>
          <t>Aja Martinez:
NRE-7003039233</t>
        </r>
      </text>
    </comment>
    <comment ref="AU35" authorId="2" shapeId="0" xr:uid="{C598ABDB-8F97-4DA3-A692-BF7178C6E24C}">
      <text>
        <r>
          <rPr>
            <sz val="11"/>
            <color theme="1"/>
            <rFont val="Calibri"/>
            <family val="2"/>
            <scheme val="minor"/>
          </rPr>
          <t>Aja Martinez:
PLACEHOLDER
NRE-7003092853</t>
        </r>
      </text>
    </comment>
    <comment ref="AW35" authorId="2" shapeId="0" xr:uid="{8F5FF50D-240E-47F6-82E3-39847920CDA3}">
      <text>
        <r>
          <rPr>
            <sz val="11"/>
            <color theme="1"/>
            <rFont val="Calibri"/>
            <family val="2"/>
            <scheme val="minor"/>
          </rPr>
          <t>Aja Martinez:
PLACEHOLDER
NRE-7003097309</t>
        </r>
      </text>
    </comment>
    <comment ref="AY35" authorId="2" shapeId="0" xr:uid="{A878282F-04D4-4FE5-A3EE-DB30B2991246}">
      <text>
        <r>
          <rPr>
            <sz val="11"/>
            <color theme="1"/>
            <rFont val="Calibri"/>
            <family val="2"/>
            <scheme val="minor"/>
          </rPr>
          <t>Aja Martinez:
PLACEHOLDER
NRE-7003090906</t>
        </r>
      </text>
    </comment>
    <comment ref="BR35" authorId="2" shapeId="0" xr:uid="{03414CEE-3A94-40AC-9DC5-1EA8F9203E0E}">
      <text>
        <r>
          <rPr>
            <sz val="11"/>
            <color theme="1"/>
            <rFont val="Calibri"/>
            <family val="2"/>
            <scheme val="minor"/>
          </rPr>
          <t>Aja Martinez:
PLACEHOLDER
NRE-7003096035</t>
        </r>
      </text>
    </comment>
    <comment ref="BT35" authorId="2" shapeId="0" xr:uid="{BD7C80F1-860A-4A04-8530-6E4A80F49D29}">
      <text>
        <r>
          <rPr>
            <sz val="11"/>
            <color theme="1"/>
            <rFont val="Calibri"/>
            <family val="2"/>
            <scheme val="minor"/>
          </rPr>
          <t>Aja Martinez:
PLACEHOLDER
NRE-7003091877</t>
        </r>
      </text>
    </comment>
    <comment ref="D36" authorId="0" shapeId="0" xr:uid="{9F9F1A5E-0720-4008-90F1-02BAF9C716D7}">
      <text>
        <r>
          <rPr>
            <sz val="11"/>
            <color theme="1"/>
            <rFont val="Calibri"/>
            <family val="2"/>
            <scheme val="minor"/>
          </rPr>
          <t>======
ID#AAABiV2mmuA
tc={960B4960-EBA5-4D65-9C71-1BCA95EE28D1}    (2025-04-21 17:58:11)
[Threaded comment]
Your version of Excel allows you to read this threaded comment; however, any edits to it will get removed if the file is opened in a newer version of Excel. Learn more: https://go.microsoft.com/fwlink/?linkid=870924
Comment:
    SOW3-2c</t>
        </r>
      </text>
    </comment>
    <comment ref="AN36" authorId="1" shapeId="0" xr:uid="{D679DBAC-27AF-4647-A619-F5FC2FAFF908}">
      <text>
        <r>
          <rPr>
            <sz val="11"/>
            <color theme="1"/>
            <rFont val="Calibri"/>
            <family val="2"/>
            <scheme val="minor"/>
          </rPr>
          <t>Karen Drennan:
due 10/31, invoices skipped and paid on 11/3
NRE-7002896387 / Invoice 1164</t>
        </r>
      </text>
    </comment>
    <comment ref="AO36" authorId="2" shapeId="0" xr:uid="{693A2D1A-6004-465B-8D30-B1486580240C}">
      <text>
        <r>
          <rPr>
            <sz val="11"/>
            <color theme="1"/>
            <rFont val="Calibri"/>
            <family val="2"/>
            <scheme val="minor"/>
          </rPr>
          <t>Aja Martinez:
NRE-7003039817 :12,000
NRE-7003031187 :29,307.70</t>
        </r>
      </text>
    </comment>
    <comment ref="AS36" authorId="2" shapeId="0" xr:uid="{2040AB57-BB2C-41A9-B50E-52F94549413E}">
      <text>
        <r>
          <rPr>
            <sz val="11"/>
            <color theme="1"/>
            <rFont val="Calibri"/>
            <family val="2"/>
            <scheme val="minor"/>
          </rPr>
          <t>Aja Martinez:
PLACEHOLDER
NRE-7003093510</t>
        </r>
      </text>
    </comment>
    <comment ref="BN37" authorId="2" shapeId="0" xr:uid="{F1E97909-C924-4950-AB4E-5195289489AA}">
      <text>
        <r>
          <rPr>
            <sz val="11"/>
            <color theme="1"/>
            <rFont val="Calibri"/>
            <family val="2"/>
            <scheme val="minor"/>
          </rPr>
          <t>Aja Martinez:
PLACEHOLDER
NRE-7003095816</t>
        </r>
      </text>
    </comment>
    <comment ref="D38" authorId="0" shapeId="0" xr:uid="{00000000-0006-0000-0400-00000E000000}">
      <text>
        <r>
          <rPr>
            <sz val="11"/>
            <color theme="1"/>
            <rFont val="Calibri"/>
            <family val="2"/>
            <scheme val="minor"/>
          </rPr>
          <t>BOSS SKU MNA1525
Comment:
    SOW3-2c</t>
        </r>
      </text>
    </comment>
    <comment ref="X38" authorId="1" shapeId="0" xr:uid="{53056595-D0B1-4069-88A0-E6DF24B1DCF3}">
      <text/>
    </comment>
    <comment ref="AA38" authorId="1" shapeId="0" xr:uid="{441A880A-C64B-45AA-B37C-51C8BA3C94B2}">
      <text>
        <r>
          <rPr>
            <sz val="11"/>
            <color theme="1"/>
            <rFont val="Calibri"/>
            <family val="2"/>
            <scheme val="minor"/>
          </rPr>
          <t xml:space="preserve">Karen Drennan:
Due Date 8.8.25
</t>
        </r>
      </text>
    </comment>
    <comment ref="AN38" authorId="1" shapeId="0" xr:uid="{A912F393-432E-4753-B825-0C984D15E0B0}">
      <text>
        <r>
          <rPr>
            <sz val="11"/>
            <color theme="1"/>
            <rFont val="Calibri"/>
            <family val="2"/>
            <scheme val="minor"/>
          </rPr>
          <t xml:space="preserve">Karen Drennan:
due 10/31, invoices skipped and paid on 11/3
NRE-7002890067 / Invoice 1161
NRE-7002895020 / Invoice 1162
</t>
        </r>
      </text>
    </comment>
    <comment ref="AO38" authorId="2" shapeId="0" xr:uid="{E2D7BC15-9810-4CC9-B5E6-34E577F07A52}">
      <text>
        <r>
          <rPr>
            <sz val="11"/>
            <color theme="1"/>
            <rFont val="Calibri"/>
            <family val="2"/>
            <scheme val="minor"/>
          </rPr>
          <t>Aja Martinez:
NRE-7003033939 :6,000
NRE-7003031240 :7384.62</t>
        </r>
      </text>
    </comment>
    <comment ref="AZ38" authorId="2" shapeId="0" xr:uid="{3F1718E7-FB26-4A9C-8CF5-F36564BB3290}">
      <text>
        <r>
          <rPr>
            <sz val="11"/>
            <color theme="1"/>
            <rFont val="Calibri"/>
            <family val="2"/>
            <scheme val="minor"/>
          </rPr>
          <t>Aja Martinez:
PLACEHOLDER
NRE-7003092555 
8702 AWS WORK</t>
        </r>
      </text>
    </comment>
    <comment ref="BC38" authorId="2" shapeId="0" xr:uid="{F02D32C2-C581-44CD-A8D1-F0D01B116981}">
      <text>
        <r>
          <rPr>
            <sz val="11"/>
            <color theme="1"/>
            <rFont val="Calibri"/>
            <family val="2"/>
            <scheme val="minor"/>
          </rPr>
          <t>Aja Martinez:
PLACEHOLDER
NRE-7003091881
8702 AWS WORK</t>
        </r>
      </text>
    </comment>
    <comment ref="BE38" authorId="2" shapeId="0" xr:uid="{47F5403D-EDA2-4AB8-830A-33AF4164F8C2}">
      <text>
        <r>
          <rPr>
            <sz val="11"/>
            <color theme="1"/>
            <rFont val="Calibri"/>
            <family val="2"/>
            <scheme val="minor"/>
          </rPr>
          <t>Aja Martinez:
PLACEHOLDER
NRE-7003095316</t>
        </r>
      </text>
    </comment>
    <comment ref="BI38" authorId="2" shapeId="0" xr:uid="{A0059F4D-5123-41EA-9EEC-302577EB891D}">
      <text>
        <r>
          <rPr>
            <sz val="11"/>
            <color theme="1"/>
            <rFont val="Calibri"/>
            <family val="2"/>
            <scheme val="minor"/>
          </rPr>
          <t>Aja Martinez:
PLACEHOLDER
NRE-7003094394</t>
        </r>
      </text>
    </comment>
    <comment ref="BP38" authorId="2" shapeId="0" xr:uid="{2EC2C2C8-76D1-4EC9-B096-E4D4F90A2A79}">
      <text>
        <r>
          <rPr>
            <sz val="11"/>
            <color theme="1"/>
            <rFont val="Calibri"/>
            <family val="2"/>
            <scheme val="minor"/>
          </rPr>
          <t>Aja Martinez:
PLACEHOLDER
NRE-7003099726</t>
        </r>
      </text>
    </comment>
    <comment ref="D39" authorId="2" shapeId="0" xr:uid="{4805419F-C87A-47E7-ADC5-8CEE047E476B}">
      <text>
        <r>
          <rPr>
            <sz val="11"/>
            <color theme="1"/>
            <rFont val="Calibri"/>
            <family val="2"/>
            <scheme val="minor"/>
          </rPr>
          <t>Aja Martinez:
AWS server payments</t>
        </r>
      </text>
    </comment>
    <comment ref="M40" authorId="0" shapeId="0" xr:uid="{00000000-0006-0000-0400-000008000000}">
      <text>
        <r>
          <rPr>
            <sz val="11"/>
            <color theme="1"/>
            <rFont val="Calibri"/>
            <family val="2"/>
            <scheme val="minor"/>
          </rPr>
          <t>======
ID#AAABiV2mmu0
tc={9E7A5E56-0966-4429-A7ED-D6314A826C31}    (2025-04-21 17:58:11)
[Threaded comment]
Your version of Excel allows you to read this threaded comment; however, any edits to it will get removed if the file is opened in a newer version of Excel. Learn more: https://go.microsoft.com/fwlink/?linkid=870924
Comment:
    Confirm if this is same expense
Truckload of RMA/Returned units en route from Texas to New York for triage (Payment date is TBD, will be Net 30 once received, should be 28k USD range)</t>
        </r>
      </text>
    </comment>
    <comment ref="O40" authorId="0" shapeId="0" xr:uid="{00000000-0006-0000-0400-000018000000}">
      <text>
        <r>
          <rPr>
            <sz val="11"/>
            <color theme="1"/>
            <rFont val="Calibri"/>
            <family val="2"/>
            <scheme val="minor"/>
          </rPr>
          <t>======
ID#AAABiV2mmqg
tc={E09A92CF-0425-4DD8-BB86-BB99E4FCF6B7}    (2025-04-21 17:58:11)
[Threaded comment]
Your version of Excel allows you to read this threaded comment; however, any edits to it will get removed if the file is opened in a newer version of Excel. Learn more: https://go.microsoft.com/fwlink/?linkid=870924
Comment:
    Target (the store) is returning to us, in New York, about 1500 units for triage; setup is under way for trucks and delivery timing (will be for two trucks, getting estimate this week; should be in 3k USD range)</t>
        </r>
      </text>
    </comment>
    <comment ref="AA40" authorId="1" shapeId="0" xr:uid="{EE03AD11-5882-4A36-A9FD-8335A74B3CAC}">
      <text>
        <r>
          <rPr>
            <b/>
            <sz val="9"/>
            <color rgb="FF000000"/>
            <rFont val="Tahoma"/>
            <family val="2"/>
          </rPr>
          <t>Karen Drennan:</t>
        </r>
        <r>
          <rPr>
            <sz val="9"/>
            <color rgb="FF000000"/>
            <rFont val="Tahoma"/>
            <family val="2"/>
          </rPr>
          <t xml:space="preserve">
</t>
        </r>
        <r>
          <rPr>
            <sz val="9"/>
            <color rgb="FF000000"/>
            <rFont val="Tahoma"/>
            <family val="2"/>
          </rPr>
          <t xml:space="preserve">3000 for returns and 1000 for RMA's
</t>
        </r>
        <r>
          <rPr>
            <sz val="9"/>
            <color rgb="FF000000"/>
            <rFont val="Tahoma"/>
            <family val="2"/>
          </rPr>
          <t xml:space="preserve">
</t>
        </r>
        <r>
          <rPr>
            <sz val="9"/>
            <color rgb="FF000000"/>
            <rFont val="Tahoma"/>
            <family val="2"/>
          </rPr>
          <t xml:space="preserve">RMA: AVG/MO = 35 units (@20 USD per units) ~ 1000 per month?
</t>
        </r>
        <r>
          <rPr>
            <sz val="9"/>
            <color rgb="FF000000"/>
            <rFont val="Tahoma"/>
            <family val="2"/>
          </rPr>
          <t xml:space="preserve">
</t>
        </r>
        <r>
          <rPr>
            <sz val="9"/>
            <color rgb="FF000000"/>
            <rFont val="Tahoma"/>
            <family val="2"/>
          </rPr>
          <t>Triage: AVG/MO = 375*14 = 5250 per month (???)</t>
        </r>
      </text>
    </comment>
    <comment ref="AG40" authorId="1" shapeId="0" xr:uid="{726197AF-97B9-4DB2-90CD-F9DB3A4459EF}">
      <text>
        <r>
          <rPr>
            <b/>
            <sz val="9"/>
            <color indexed="81"/>
            <rFont val="Tahoma"/>
            <family val="2"/>
          </rPr>
          <t>Karen Drennan:</t>
        </r>
        <r>
          <rPr>
            <sz val="9"/>
            <color indexed="81"/>
            <rFont val="Tahoma"/>
            <family val="2"/>
          </rPr>
          <t xml:space="preserve">
10K shipping cost to CATV to rework 8702</t>
        </r>
      </text>
    </comment>
    <comment ref="I41" authorId="0" shapeId="0" xr:uid="{00000000-0006-0000-0400-00000D000000}">
      <text>
        <r>
          <rPr>
            <sz val="11"/>
            <color theme="1"/>
            <rFont val="Calibri"/>
            <family val="2"/>
            <scheme val="minor"/>
          </rPr>
          <t>======
ID#AAABiV2mmuI
tc={29FB65E1-EF0C-4F54-8B73-FC223CFC58F6}    (2025-04-21 17:58:11)
[Threaded comment]
Your version of Excel allows you to read this threaded comment; however, any edits to it will get removed if the file is opened in a newer version of Excel. Learn more: https://go.microsoft.com/fwlink/?linkid=870924
Comment:
    Placeholder, assume will be large given legal time
Reply:
    confirmed</t>
        </r>
      </text>
    </comment>
    <comment ref="D42" authorId="0" shapeId="0" xr:uid="{00000000-0006-0000-0400-000007000000}">
      <text>
        <r>
          <rPr>
            <sz val="11"/>
            <color theme="1"/>
            <rFont val="Calibri"/>
            <family val="2"/>
            <scheme val="minor"/>
          </rPr>
          <t>======
ID#AAABiV2mmvA
tc={0830B579-DFD9-478D-8CB0-29441D46CAFC}    (2025-04-21 17:58:11)
[Threaded comment]
Your version of Excel allows you to read this threaded comment; however, any edits to it will get removed if the file is opened in a newer version of Excel. Learn more: https://go.microsoft.com/fwlink/?linkid=870924
Comment:
    DOCSIS 3.1 yearly registration</t>
        </r>
      </text>
    </comment>
    <comment ref="AK42" authorId="1" shapeId="0" xr:uid="{2CE14C5A-55A3-4A8E-8892-DB9649ACF57A}">
      <text>
        <r>
          <rPr>
            <sz val="11"/>
            <color theme="1"/>
            <rFont val="Calibri"/>
            <family val="2"/>
            <scheme val="minor"/>
          </rPr>
          <t xml:space="preserve">Karen Drennan:
Cable labs retest 75K and 
5K Cox
</t>
        </r>
      </text>
    </comment>
    <comment ref="AQ42" authorId="1" shapeId="0" xr:uid="{845A715F-0427-4390-BC3F-8150C79D2C5D}">
      <text>
        <r>
          <rPr>
            <sz val="11"/>
            <color theme="1"/>
            <rFont val="Calibri"/>
            <family val="2"/>
            <scheme val="minor"/>
          </rPr>
          <t xml:space="preserve">10Nov Aja: removed $75k for the retest. CL (Lisa) said its not needed.
Karen Drennan:
Cable labs retest 75K
</t>
        </r>
      </text>
    </comment>
    <comment ref="AU43" authorId="2" shapeId="0" xr:uid="{93CA578F-630C-4815-B23A-18E9979F1320}">
      <text>
        <r>
          <rPr>
            <sz val="11"/>
            <color theme="1"/>
            <rFont val="Calibri"/>
            <family val="2"/>
            <scheme val="minor"/>
          </rPr>
          <t>Aja Martinez:
NRE-9902852013</t>
        </r>
      </text>
    </comment>
    <comment ref="AT44" authorId="2" shapeId="0" xr:uid="{5DBA4D52-2074-4C7A-9ABC-C88C06466177}">
      <text>
        <r>
          <rPr>
            <sz val="11"/>
            <color theme="1"/>
            <rFont val="Calibri"/>
            <family val="2"/>
            <scheme val="minor"/>
          </rPr>
          <t>Aja Martinez:
NRE-9902856153</t>
        </r>
      </text>
    </comment>
    <comment ref="AR45" authorId="2" shapeId="0" xr:uid="{7308A8B0-E37A-4C67-A97E-7888E05194F5}">
      <text>
        <r>
          <rPr>
            <sz val="11"/>
            <color theme="1"/>
            <rFont val="Calibri"/>
            <family val="2"/>
            <scheme val="minor"/>
          </rPr>
          <t>Aja Martinez:
NRE-9902857607</t>
        </r>
      </text>
    </comment>
    <comment ref="D46" authorId="0" shapeId="0" xr:uid="{00000000-0006-0000-0400-000019000000}">
      <text>
        <r>
          <rPr>
            <sz val="11"/>
            <color theme="1"/>
            <rFont val="Calibri"/>
            <family val="2"/>
            <scheme val="minor"/>
          </rPr>
          <t>======
ID#AAABiV2mmqU
tc={9261B90E-95D1-466F-9547-DDC21A10F773}    (2025-04-21 17:58:11)
[Threaded comment]
Your version of Excel allows you to read this threaded comment; however, any edits to it will get removed if the file is opened in a newer version of Excel. Learn more: https://go.microsoft.com/fwlink/?linkid=870924
Comment:
    Covers all categories from DB Effort, AWS 1 Transition from Motorola to Premier, on-boarding of Gryphon for DevOps, to name a few</t>
        </r>
      </text>
    </comment>
    <comment ref="AA47" authorId="1" shapeId="0" xr:uid="{7768B975-9E41-476B-B837-FD3B3EB7AC49}">
      <text>
        <r>
          <rPr>
            <b/>
            <sz val="9"/>
            <color indexed="81"/>
            <rFont val="Tahoma"/>
            <family val="2"/>
          </rPr>
          <t>Karen Drennan:</t>
        </r>
        <r>
          <rPr>
            <sz val="9"/>
            <color indexed="81"/>
            <rFont val="Tahoma"/>
            <family val="2"/>
          </rPr>
          <t xml:space="preserve">
missing may and jun inv received this week</t>
        </r>
      </text>
    </comment>
    <comment ref="D51" authorId="0" shapeId="0" xr:uid="{00000000-0006-0000-0400-000009000000}">
      <text>
        <r>
          <rPr>
            <sz val="11"/>
            <color theme="1"/>
            <rFont val="Calibri"/>
            <family val="2"/>
            <scheme val="minor"/>
          </rPr>
          <t>======
ID#AAABiV2mmus
tc={D0845575-ECDC-4A91-986B-03B0F8E4D92A}    (2025-04-21 17:58:11)
[Threaded comment]
Your version of Excel allows you to read this threaded comment; however, any edits to it will get removed if the file is opened in a newer version of Excel. Learn more: https://go.microsoft.com/fwlink/?linkid=870924
Comment:
    Translation service (mostly for B12 Canada)</t>
        </r>
      </text>
    </comment>
    <comment ref="AB52" authorId="1" shapeId="0" xr:uid="{103C8AE9-507B-43EA-BD7B-A66CC74F8E39}">
      <text>
        <r>
          <rPr>
            <b/>
            <sz val="9"/>
            <color indexed="81"/>
            <rFont val="Tahoma"/>
            <family val="2"/>
          </rPr>
          <t>Karen Drennan:</t>
        </r>
        <r>
          <rPr>
            <sz val="9"/>
            <color indexed="81"/>
            <rFont val="Tahoma"/>
            <family val="2"/>
          </rPr>
          <t xml:space="preserve">
requested detailed invoices from Baker</t>
        </r>
      </text>
    </comment>
    <comment ref="AK52" authorId="1" shapeId="0" xr:uid="{0B31C262-0645-4A1D-97AF-672456AA0054}">
      <text>
        <r>
          <rPr>
            <b/>
            <sz val="9"/>
            <color indexed="81"/>
            <rFont val="Tahoma"/>
            <family val="2"/>
          </rPr>
          <t>Karen Drennan:</t>
        </r>
        <r>
          <rPr>
            <sz val="9"/>
            <color indexed="81"/>
            <rFont val="Tahoma"/>
            <family val="2"/>
          </rPr>
          <t xml:space="preserve">
I will not pay until we get detailed invoices, I have made several requests to Baker and TR</t>
        </r>
      </text>
    </comment>
    <comment ref="AM52" authorId="1" shapeId="0" xr:uid="{ED06E89B-689C-44EC-91E6-45E936821E5C}">
      <text>
        <r>
          <rPr>
            <b/>
            <sz val="9"/>
            <color indexed="81"/>
            <rFont val="Tahoma"/>
            <family val="2"/>
          </rPr>
          <t>Karen Drennan:</t>
        </r>
        <r>
          <rPr>
            <sz val="9"/>
            <color indexed="81"/>
            <rFont val="Tahoma"/>
            <family val="2"/>
          </rPr>
          <t xml:space="preserve">
I will not pay until we get detailed invoices, I have made several requests to Baker and TR</t>
        </r>
      </text>
    </comment>
    <comment ref="AU52" authorId="1" shapeId="0" xr:uid="{81120074-2FC2-46AF-95E1-1B0ED7E07259}">
      <text>
        <r>
          <rPr>
            <sz val="11"/>
            <color theme="1"/>
            <rFont val="Calibri"/>
            <family val="2"/>
            <scheme val="minor"/>
          </rPr>
          <t xml:space="preserve">Karen Drennan:
I will not pay until we get detailed invoices, I have made several requests to Baker and TR, This is 25+ 95, but this is my estimate
</t>
        </r>
      </text>
    </comment>
    <comment ref="AX52" authorId="1" shapeId="0" xr:uid="{02A78BD3-D42B-40A8-A2E9-87B4F0B34D3A}">
      <text>
        <r>
          <rPr>
            <b/>
            <sz val="9"/>
            <color indexed="81"/>
            <rFont val="Tahoma"/>
            <family val="2"/>
          </rPr>
          <t>Karen Drennan:</t>
        </r>
        <r>
          <rPr>
            <sz val="9"/>
            <color indexed="81"/>
            <rFont val="Tahoma"/>
            <family val="2"/>
          </rPr>
          <t xml:space="preserve">
I will not pay until we get detailed invoices, I have made several requests to Baker and TR</t>
        </r>
      </text>
    </comment>
    <comment ref="BA52" authorId="1" shapeId="0" xr:uid="{7222245F-326B-435D-9D63-4B639ACFC4BE}">
      <text>
        <r>
          <rPr>
            <b/>
            <sz val="9"/>
            <color indexed="81"/>
            <rFont val="Tahoma"/>
            <family val="2"/>
          </rPr>
          <t>Karen Drennan:</t>
        </r>
        <r>
          <rPr>
            <sz val="9"/>
            <color indexed="81"/>
            <rFont val="Tahoma"/>
            <family val="2"/>
          </rPr>
          <t xml:space="preserve">
I will not pay until we get detailed invoices, I have made several requests to Baker and TR</t>
        </r>
      </text>
    </comment>
    <comment ref="AM53" authorId="2" shapeId="0" xr:uid="{5E166BA9-E227-4B45-8DBC-10843744A3BB}">
      <text>
        <r>
          <rPr>
            <sz val="11"/>
            <color theme="1"/>
            <rFont val="Calibri"/>
            <family val="2"/>
            <scheme val="minor"/>
          </rPr>
          <t>Aja Martinez:
Obelis normal fee</t>
        </r>
      </text>
    </comment>
    <comment ref="AN53" authorId="2" shapeId="0" xr:uid="{A81227B0-C4AA-48D8-879A-DA96FABA627D}">
      <text>
        <r>
          <rPr>
            <sz val="11"/>
            <color theme="1"/>
            <rFont val="Calibri"/>
            <family val="2"/>
            <scheme val="minor"/>
          </rPr>
          <t>Aja Martinez:
Obelis rush fee $1360 EU</t>
        </r>
      </text>
    </comment>
    <comment ref="AI56" authorId="1" shapeId="0" xr:uid="{3D701ABD-CBD4-4BBB-AA3F-49528D6B16F9}">
      <text>
        <r>
          <rPr>
            <b/>
            <sz val="9"/>
            <color indexed="81"/>
            <rFont val="Tahoma"/>
            <family val="2"/>
          </rPr>
          <t>Karen Drennan:</t>
        </r>
        <r>
          <rPr>
            <sz val="9"/>
            <color indexed="81"/>
            <rFont val="Tahoma"/>
            <family val="2"/>
          </rPr>
          <t xml:space="preserve">
change to Vietnam Travel
</t>
        </r>
      </text>
    </comment>
    <comment ref="AK56" authorId="1" shapeId="0" xr:uid="{62CCF582-5D30-4C2E-BC6F-D447E8EC9612}">
      <text>
        <r>
          <rPr>
            <b/>
            <sz val="9"/>
            <color indexed="81"/>
            <rFont val="Tahoma"/>
            <family val="2"/>
          </rPr>
          <t>Karen Drennan:</t>
        </r>
        <r>
          <rPr>
            <sz val="9"/>
            <color indexed="81"/>
            <rFont val="Tahoma"/>
            <family val="2"/>
          </rPr>
          <t xml:space="preserve">
Paris trip for meetings with Partners (Compal pricing negotiation)
</t>
        </r>
      </text>
    </comment>
    <comment ref="AQ56" authorId="1" shapeId="0" xr:uid="{FD449126-0671-4BA0-A777-0EBFD91EB22E}">
      <text>
        <r>
          <rPr>
            <b/>
            <sz val="9"/>
            <color indexed="81"/>
            <rFont val="Tahoma"/>
            <family val="2"/>
          </rPr>
          <t>Karen Drennan:</t>
        </r>
        <r>
          <rPr>
            <sz val="9"/>
            <color indexed="81"/>
            <rFont val="Tahoma"/>
            <family val="2"/>
          </rPr>
          <t xml:space="preserve">
China trip, Aja, Joe, Hannah</t>
        </r>
      </text>
    </comment>
    <comment ref="AB58" authorId="1" shapeId="0" xr:uid="{E7FAC1B1-34BB-4BE4-8F55-E53C2D90F483}">
      <text>
        <r>
          <rPr>
            <b/>
            <sz val="9"/>
            <color indexed="81"/>
            <rFont val="Tahoma"/>
            <family val="2"/>
          </rPr>
          <t>Karen Drennan:</t>
        </r>
        <r>
          <rPr>
            <sz val="9"/>
            <color indexed="81"/>
            <rFont val="Tahoma"/>
            <family val="2"/>
          </rPr>
          <t xml:space="preserve">
IFA
</t>
        </r>
      </text>
    </comment>
    <comment ref="AF58" authorId="1" shapeId="0" xr:uid="{E3E9A348-76A0-4246-A39E-0EDFFBA948C4}">
      <text>
        <r>
          <rPr>
            <sz val="11"/>
            <color theme="1"/>
            <rFont val="Calibri"/>
            <family val="2"/>
            <scheme val="minor"/>
          </rPr>
          <t>Karen Drennan:
was 75k Jan 26, this is still the date of show but needs to be paid now</t>
        </r>
      </text>
    </comment>
    <comment ref="AQ58" authorId="1" shapeId="0" xr:uid="{5E6A1CFD-70F5-4FFE-A1AC-B4BF222BF8A9}">
      <text>
        <r>
          <rPr>
            <sz val="11"/>
            <color theme="1"/>
            <rFont val="Calibri"/>
            <family val="2"/>
            <scheme val="minor"/>
          </rPr>
          <t xml:space="preserve">Karen Drennan:
Tradeshow in Barcelona, moved from Feb and was 75K
</t>
        </r>
      </text>
    </comment>
    <comment ref="Y63" authorId="1" shapeId="0" xr:uid="{255AC3FD-855F-4F99-8EDC-486083641DCB}">
      <text>
        <r>
          <rPr>
            <b/>
            <sz val="9"/>
            <color indexed="81"/>
            <rFont val="Tahoma"/>
            <family val="2"/>
          </rPr>
          <t>Karen Drennan:</t>
        </r>
        <r>
          <rPr>
            <sz val="9"/>
            <color indexed="81"/>
            <rFont val="Tahoma"/>
            <family val="2"/>
          </rPr>
          <t xml:space="preserve">
One time set up move to bl</t>
        </r>
      </text>
    </comment>
    <comment ref="AI64" authorId="1" shapeId="0" xr:uid="{9172FE9A-C524-43A7-BC50-34F58294942A}">
      <text>
        <r>
          <rPr>
            <b/>
            <sz val="9"/>
            <color indexed="81"/>
            <rFont val="Tahoma"/>
            <family val="2"/>
          </rPr>
          <t>Karen Drennan:</t>
        </r>
        <r>
          <rPr>
            <sz val="9"/>
            <color indexed="81"/>
            <rFont val="Tahoma"/>
            <family val="2"/>
          </rPr>
          <t xml:space="preserve">
Dariush requested to not pay, I tried to unschedule but it went through anyway, need to ask for this to be returned to us
</t>
        </r>
      </text>
    </comment>
    <comment ref="D70" authorId="0" shapeId="0" xr:uid="{00000000-0006-0000-0400-000011000000}">
      <text>
        <r>
          <rPr>
            <sz val="11"/>
            <color theme="1"/>
            <rFont val="Calibri"/>
            <family val="2"/>
            <scheme val="minor"/>
          </rPr>
          <t>======
ID#AAABiV2mmts
tc={5553BFCB-E59C-4912-9969-8C60BCBA55B9}    (2025-04-21 17:58:11)
[Threaded comment]
Your version of Excel allows you to read this threaded comment; however, any edits to it will get removed if the file is opened in a newer version of Excel. Learn more: https://go.microsoft.com/fwlink/?linkid=870924
Comment:
    Direct marketing for new products launches</t>
        </r>
      </text>
    </comment>
    <comment ref="D73" authorId="0" shapeId="0" xr:uid="{00000000-0006-0000-0400-000006000000}">
      <text>
        <r>
          <rPr>
            <sz val="11"/>
            <color theme="1"/>
            <rFont val="Calibri"/>
            <family val="2"/>
            <scheme val="minor"/>
          </rPr>
          <t>======
ID#AAABiV2mmvI
tc={F366887C-8314-4723-8E34-3526523B8EEB}    (2025-04-21 17:58:11)
[Threaded comment]
Your version of Excel allows you to read this threaded comment; however, any edits to it will get removed if the file is opened in a newer version of Excel. Learn more: https://go.microsoft.com/fwlink/?linkid=870924
Comment:
    Certification from CableLabs/Kyrio MT8733</t>
        </r>
      </text>
    </comment>
    <comment ref="Z73" authorId="1" shapeId="0" xr:uid="{B71F20BA-2E67-4497-839C-E76B3873E37D}">
      <text>
        <r>
          <rPr>
            <b/>
            <sz val="9"/>
            <color indexed="81"/>
            <rFont val="Tahoma"/>
            <family val="2"/>
          </rPr>
          <t>Karen Drennan:</t>
        </r>
        <r>
          <rPr>
            <sz val="9"/>
            <color indexed="81"/>
            <rFont val="Tahoma"/>
            <family val="2"/>
          </rPr>
          <t xml:space="preserve">
Compal Project</t>
        </r>
      </text>
    </comment>
    <comment ref="AA74" authorId="1" shapeId="0" xr:uid="{9D6DA6E0-F67F-4B7F-A073-7422D1AA965A}">
      <text>
        <r>
          <rPr>
            <sz val="11"/>
            <color theme="1"/>
            <rFont val="Calibri"/>
            <family val="2"/>
            <scheme val="minor"/>
          </rPr>
          <t>Karen Drennan:
Valuation</t>
        </r>
      </text>
    </comment>
    <comment ref="Y76" authorId="1" shapeId="0" xr:uid="{58393F23-9C12-48E7-8AC1-068AF5D715E7}">
      <text>
        <r>
          <rPr>
            <b/>
            <sz val="9"/>
            <color indexed="81"/>
            <rFont val="Tahoma"/>
            <family val="2"/>
          </rPr>
          <t>Karen Drennan:</t>
        </r>
        <r>
          <rPr>
            <sz val="9"/>
            <color indexed="81"/>
            <rFont val="Tahoma"/>
            <family val="2"/>
          </rPr>
          <t xml:space="preserve">
MTN Factory Audit</t>
        </r>
      </text>
    </comment>
    <comment ref="Z76" authorId="1" shapeId="0" xr:uid="{11C9AA4F-E999-41E1-A74B-1C135E50A25F}">
      <text>
        <r>
          <rPr>
            <b/>
            <sz val="9"/>
            <color indexed="81"/>
            <rFont val="Tahoma"/>
            <family val="2"/>
          </rPr>
          <t>Karen Drennan:</t>
        </r>
        <r>
          <rPr>
            <sz val="9"/>
            <color indexed="81"/>
            <rFont val="Tahoma"/>
            <family val="2"/>
          </rPr>
          <t xml:space="preserve">
Compal Factory Audit</t>
        </r>
      </text>
    </comment>
    <comment ref="AA76" authorId="1" shapeId="0" xr:uid="{7AF644CC-7D95-453E-B3AC-5E32014F3762}">
      <text>
        <r>
          <rPr>
            <b/>
            <sz val="9"/>
            <color indexed="81"/>
            <rFont val="Tahoma"/>
            <family val="2"/>
          </rPr>
          <t>Karen Drennan:</t>
        </r>
        <r>
          <rPr>
            <sz val="9"/>
            <color indexed="81"/>
            <rFont val="Tahoma"/>
            <family val="2"/>
          </rPr>
          <t xml:space="preserve">
MTN Malasia Audit</t>
        </r>
      </text>
    </comment>
    <comment ref="AB76" authorId="1" shapeId="0" xr:uid="{9F6B8CE4-CE2C-4468-8962-8ED6440976C5}">
      <text>
        <r>
          <rPr>
            <b/>
            <sz val="9"/>
            <color indexed="81"/>
            <rFont val="Tahoma"/>
            <family val="2"/>
          </rPr>
          <t>Karen Drennan:</t>
        </r>
        <r>
          <rPr>
            <sz val="9"/>
            <color indexed="81"/>
            <rFont val="Tahoma"/>
            <family val="2"/>
          </rPr>
          <t xml:space="preserve">
MTN Malasia Audit</t>
        </r>
      </text>
    </comment>
    <comment ref="D77" authorId="1" shapeId="0" xr:uid="{8F6F1CB7-0283-4428-9A1E-DCA7F163DD1A}">
      <text>
        <r>
          <rPr>
            <sz val="11"/>
            <color theme="1"/>
            <rFont val="Calibri"/>
            <family val="2"/>
            <scheme val="minor"/>
          </rPr>
          <t xml:space="preserve">Karen Drennan:
AWS Server updates by Gryphon BOSS SKU MNA2025
</t>
        </r>
      </text>
    </comment>
    <comment ref="AN77" authorId="2" shapeId="0" xr:uid="{9BA02093-185B-4CFD-A2AC-78644E3D0E9C}">
      <text>
        <r>
          <rPr>
            <sz val="11"/>
            <color theme="1"/>
            <rFont val="Calibri"/>
            <family val="2"/>
            <scheme val="minor"/>
          </rPr>
          <t>Aja Martinez:
NRE-7002895150</t>
        </r>
      </text>
    </comment>
    <comment ref="BG77" authorId="2" shapeId="0" xr:uid="{5A19E295-5778-4D35-954B-08BD6588D2AB}">
      <text>
        <r>
          <rPr>
            <sz val="11"/>
            <color theme="1"/>
            <rFont val="Calibri"/>
            <family val="2"/>
            <scheme val="minor"/>
          </rPr>
          <t>Aja Martinez:
PLACEHOLDER
NRE-7003096036</t>
        </r>
      </text>
    </comment>
    <comment ref="BK77" authorId="2" shapeId="0" xr:uid="{0DFE0E3C-389C-4F6E-A69E-A4E61D429317}">
      <text>
        <r>
          <rPr>
            <sz val="11"/>
            <color theme="1"/>
            <rFont val="Calibri"/>
            <family val="2"/>
            <scheme val="minor"/>
          </rPr>
          <t>Aja Martinez:
PLACEHOLDER
NRE-7003094110</t>
        </r>
      </text>
    </comment>
    <comment ref="BV77" authorId="2" shapeId="0" xr:uid="{AAFBACE4-F823-4F8D-989D-E820BEBD863B}">
      <text>
        <r>
          <rPr>
            <sz val="11"/>
            <color theme="1"/>
            <rFont val="Calibri"/>
            <family val="2"/>
            <scheme val="minor"/>
          </rPr>
          <t>Aja Martinez:
PLACEHOLDER
NRE-7003093644</t>
        </r>
      </text>
    </comment>
    <comment ref="BX77" authorId="2" shapeId="0" xr:uid="{F36C0524-751B-4D71-99EF-CC5F8EAFC127}">
      <text>
        <r>
          <rPr>
            <sz val="11"/>
            <color theme="1"/>
            <rFont val="Calibri"/>
            <family val="2"/>
            <scheme val="minor"/>
          </rPr>
          <t>Aja Martinez:
PLACEHOLDER
NRE-7003092453</t>
        </r>
      </text>
    </comment>
    <comment ref="BY77" authorId="2" shapeId="0" xr:uid="{E7BF7830-F7C1-4495-A836-862070048ED1}">
      <text>
        <r>
          <rPr>
            <sz val="11"/>
            <color theme="1"/>
            <rFont val="Calibri"/>
            <family val="2"/>
            <scheme val="minor"/>
          </rPr>
          <t>Aja Martinez:
PLACEHOLDER
NRE-7003099341</t>
        </r>
      </text>
    </comment>
    <comment ref="CA77" authorId="2" shapeId="0" xr:uid="{FE41E516-560A-4AF1-9A80-DD26A015BE2A}">
      <text>
        <r>
          <rPr>
            <sz val="11"/>
            <color theme="1"/>
            <rFont val="Calibri"/>
            <family val="2"/>
            <scheme val="minor"/>
          </rPr>
          <t>Aja Martinez:
PLACEHOLDER
NRE-7003098605</t>
        </r>
      </text>
    </comment>
    <comment ref="CC77" authorId="2" shapeId="0" xr:uid="{5EE47BC5-A83B-4AA2-97C0-587DFAE1FEFA}">
      <text>
        <r>
          <rPr>
            <sz val="11"/>
            <color theme="1"/>
            <rFont val="Calibri"/>
            <family val="2"/>
            <scheme val="minor"/>
          </rPr>
          <t>Aja Martinez:
PLACEHOLDER
NRE-7003094730</t>
        </r>
      </text>
    </comment>
    <comment ref="CE77" authorId="2" shapeId="0" xr:uid="{B3BE5C1E-1D15-4F15-AC88-B21D565A5B7C}">
      <text>
        <r>
          <rPr>
            <sz val="11"/>
            <color theme="1"/>
            <rFont val="Calibri"/>
            <family val="2"/>
            <scheme val="minor"/>
          </rPr>
          <t>Aja Martinez:
PLACEHOLDER
NRE-7003094163</t>
        </r>
      </text>
    </comment>
    <comment ref="CG77" authorId="2" shapeId="0" xr:uid="{294E84B0-A0B5-4487-87F9-6FC7F9066D4A}">
      <text>
        <r>
          <rPr>
            <sz val="11"/>
            <color theme="1"/>
            <rFont val="Calibri"/>
            <family val="2"/>
            <scheme val="minor"/>
          </rPr>
          <t>Aja Martinez:
PLACEHOLDER
NRE-7003099831</t>
        </r>
      </text>
    </comment>
    <comment ref="CI77" authorId="2" shapeId="0" xr:uid="{86DF60C2-DBAE-47DD-8A7D-6AD41D799531}">
      <text>
        <r>
          <rPr>
            <sz val="11"/>
            <color theme="1"/>
            <rFont val="Calibri"/>
            <family val="2"/>
            <scheme val="minor"/>
          </rPr>
          <t>Aja Martinez:
PLACEHOLDER
NRE-7003094153</t>
        </r>
      </text>
    </comment>
    <comment ref="CL77" authorId="2" shapeId="0" xr:uid="{FFBAB90B-8B74-440A-8E31-3779597FDA35}">
      <text>
        <r>
          <rPr>
            <sz val="11"/>
            <color theme="1"/>
            <rFont val="Calibri"/>
            <family val="2"/>
            <scheme val="minor"/>
          </rPr>
          <t>Aja Martinez:
PLACEHOLDER
NRE-7003097410</t>
        </r>
      </text>
    </comment>
    <comment ref="CN77" authorId="2" shapeId="0" xr:uid="{81FF647C-A766-4A98-80EE-CC66CA13F322}">
      <text>
        <r>
          <rPr>
            <sz val="11"/>
            <color theme="1"/>
            <rFont val="Calibri"/>
            <family val="2"/>
            <scheme val="minor"/>
          </rPr>
          <t>Aja Martinez:
PLACEHOLDER
NRE-7003097501</t>
        </r>
      </text>
    </comment>
    <comment ref="CR77" authorId="2" shapeId="0" xr:uid="{BE33BC21-B67C-4DE2-9ABE-C9A060484D9D}">
      <text>
        <r>
          <rPr>
            <sz val="11"/>
            <color theme="1"/>
            <rFont val="Calibri"/>
            <family val="2"/>
            <scheme val="minor"/>
          </rPr>
          <t>Aja Martinez:
PLACEHOLDER
NRE-7003093493</t>
        </r>
      </text>
    </comment>
    <comment ref="CT77" authorId="2" shapeId="0" xr:uid="{6A3B7373-4D03-4DE4-AEE6-FA10911B3143}">
      <text>
        <r>
          <rPr>
            <sz val="11"/>
            <color theme="1"/>
            <rFont val="Calibri"/>
            <family val="2"/>
            <scheme val="minor"/>
          </rPr>
          <t>Aja Martinez:
PLACEHOLDER
NRE-7003098738</t>
        </r>
      </text>
    </comment>
    <comment ref="D78" authorId="1" shapeId="0" xr:uid="{30F8AF0E-C045-459C-9D5D-473611B6D433}">
      <text>
        <r>
          <rPr>
            <b/>
            <sz val="9"/>
            <color indexed="81"/>
            <rFont val="Tahoma"/>
            <family val="2"/>
          </rPr>
          <t>Karen Drennan:</t>
        </r>
        <r>
          <rPr>
            <sz val="9"/>
            <color indexed="81"/>
            <rFont val="Tahoma"/>
            <family val="2"/>
          </rPr>
          <t xml:space="preserve">
Prepaid 10-21-25 10-20-26
Chases unauthorized sellars
</t>
        </r>
      </text>
    </comment>
    <comment ref="AQ78" authorId="1" shapeId="0" xr:uid="{7CC70090-5BF8-4351-AAC7-2C0D4EC10E9C}">
      <text>
        <r>
          <rPr>
            <b/>
            <sz val="9"/>
            <color indexed="81"/>
            <rFont val="Tahoma"/>
            <family val="2"/>
          </rPr>
          <t>Karen Drennan:</t>
        </r>
        <r>
          <rPr>
            <sz val="9"/>
            <color indexed="81"/>
            <rFont val="Tahoma"/>
            <family val="2"/>
          </rPr>
          <t xml:space="preserve">
Set up on a prepaid
</t>
        </r>
      </text>
    </comment>
  </commentList>
  <extLst>
    <ext xmlns:r="http://schemas.openxmlformats.org/officeDocument/2006/relationships" uri="GoogleSheetsCustomDataVersion2">
      <go:sheetsCustomData xmlns:go="http://customooxmlschemas.google.com/" r:id="rId1" roundtripDataSignature="AMtx7mhSSR4Fa16AwLNSOTrKEcXl3uwGog=="/>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tc={744D2D01-3817-452F-9DD1-ED33E875CC81}</author>
    <author>Dariush Zand</author>
    <author>Karen Drennan</author>
    <author>Steven Cistulli</author>
    <author>tc={FB59FC15-19CD-46E7-A941-AA922A5ED010}</author>
    <author>tc={8AEEBE05-C43E-46C0-80D7-1FBBA4965158}</author>
    <author>tc={AE7EEE36-4831-4FE8-B29E-D06033C0D5E2}</author>
    <author>tc={7934DC6A-0812-4E3B-9DD0-7E7C61C84FB9}</author>
    <author/>
  </authors>
  <commentList>
    <comment ref="B6" authorId="0" shapeId="0" xr:uid="{744D2D01-3817-452F-9DD1-ED33E875CC81}">
      <text>
        <t>[Threaded comment]
Your version of Excel allows you to read this threaded comment; however, any edits to it will get removed if the file is opened in a newer version of Excel. Learn more: https://go.microsoft.com/fwlink/?linkid=870924
Comment:
    Typically Amazon</t>
      </text>
    </comment>
    <comment ref="D6" authorId="1" shapeId="0" xr:uid="{885D762E-9844-4682-8810-A9102D45C260}">
      <text>
        <r>
          <rPr>
            <sz val="11"/>
            <color theme="1"/>
            <rFont val="Calibri"/>
            <family val="2"/>
            <scheme val="minor"/>
          </rPr>
          <t xml:space="preserve">Dariush Zand:
Reduced from 15k in this week due to increased returns (pending analysis). </t>
        </r>
      </text>
    </comment>
    <comment ref="F6" authorId="1" shapeId="0" xr:uid="{0CDCD9D0-09DA-4678-9303-71C99EC844B3}">
      <text>
        <r>
          <rPr>
            <sz val="11"/>
            <color theme="1"/>
            <rFont val="Calibri"/>
            <family val="2"/>
            <scheme val="minor"/>
          </rPr>
          <t>Dariush Zand:
Reduction by 20% due to uncertainty around MG8702 Returns</t>
        </r>
      </text>
    </comment>
    <comment ref="H6" authorId="1" shapeId="0" xr:uid="{7DF524F9-D5DA-4AA9-B15E-39A3E86B62E0}">
      <text>
        <r>
          <rPr>
            <sz val="11"/>
            <color theme="1"/>
            <rFont val="Calibri"/>
            <family val="2"/>
            <scheme val="minor"/>
          </rPr>
          <t>Dariush Zand:
Reduction by 20% due to uncertainty around MG8702 Returns</t>
        </r>
      </text>
    </comment>
    <comment ref="J6" authorId="1" shapeId="0" xr:uid="{EA4123D1-060B-4929-A933-FEC1AF290885}">
      <text>
        <r>
          <rPr>
            <sz val="11"/>
            <color theme="1"/>
            <rFont val="Calibri"/>
            <family val="2"/>
            <scheme val="minor"/>
          </rPr>
          <t>Dariush Zand:
Reduction by 20% due to uncertainty around MG8702 Returns</t>
        </r>
      </text>
    </comment>
    <comment ref="L6" authorId="2" shapeId="0" xr:uid="{6A62BB6F-B0A9-436C-8A93-76CFC99EF2BC}">
      <text>
        <r>
          <rPr>
            <sz val="11"/>
            <color theme="1"/>
            <rFont val="Calibri"/>
            <family val="2"/>
            <scheme val="minor"/>
          </rPr>
          <t xml:space="preserve">Karen Drennan:
HSN factored Sales
</t>
        </r>
      </text>
    </comment>
    <comment ref="R6" authorId="3" shapeId="0" xr:uid="{D489A7F5-75B4-4D0B-8756-AAA62CBF4931}">
      <text>
        <r>
          <rPr>
            <b/>
            <sz val="10"/>
            <color rgb="FF000000"/>
            <rFont val="Tahoma"/>
            <family val="2"/>
          </rPr>
          <t>Steven Cistulli:</t>
        </r>
        <r>
          <rPr>
            <sz val="10"/>
            <color rgb="FF000000"/>
            <rFont val="Tahoma"/>
            <family val="2"/>
          </rPr>
          <t xml:space="preserve">
</t>
        </r>
        <r>
          <rPr>
            <sz val="10"/>
            <color rgb="FF000000"/>
            <rFont val="Tahoma"/>
            <family val="2"/>
          </rPr>
          <t>Adds 250k worth of Q15 going to a distributor -- so cash converts before end of year</t>
        </r>
      </text>
    </comment>
    <comment ref="D8" authorId="4" shapeId="0" xr:uid="{FB59FC15-19CD-46E7-A941-AA922A5ED010}">
      <text>
        <t>[Threaded comment]
Your version of Excel allows you to read this threaded comment; however, any edits to it will get removed if the file is opened in a newer version of Excel. Learn more: https://go.microsoft.com/fwlink/?linkid=870924
Comment:
    ESI</t>
      </text>
    </comment>
    <comment ref="E8" authorId="5" shapeId="0" xr:uid="{8AEEBE05-C43E-46C0-80D7-1FBBA4965158}">
      <text>
        <t>[Threaded comment]
Your version of Excel allows you to read this threaded comment; however, any edits to it will get removed if the file is opened in a newer version of Excel. Learn more: https://go.microsoft.com/fwlink/?linkid=870924
Comment:
    ESI
Reply:
    8611 Yossi</t>
      </text>
    </comment>
    <comment ref="F8" authorId="1" shapeId="0" xr:uid="{74B30697-E10F-4DD4-8A7C-DD160F40D284}">
      <text>
        <r>
          <rPr>
            <sz val="11"/>
            <color theme="1"/>
            <rFont val="Calibri"/>
            <family val="2"/>
            <scheme val="minor"/>
          </rPr>
          <t>Dariush Zand:
56 Additional units shipped to ESI - Will tally and update in next week's report</t>
        </r>
      </text>
    </comment>
    <comment ref="H8" authorId="2" shapeId="0" xr:uid="{95CF0299-07F4-4197-8EC2-3FA52C130B56}">
      <text>
        <r>
          <rPr>
            <b/>
            <sz val="9"/>
            <color indexed="81"/>
            <rFont val="Tahoma"/>
            <family val="2"/>
          </rPr>
          <t>Karen Drennan:</t>
        </r>
        <r>
          <rPr>
            <sz val="9"/>
            <color indexed="81"/>
            <rFont val="Tahoma"/>
            <family val="2"/>
          </rPr>
          <t xml:space="preserve">
Balance of ESI</t>
        </r>
      </text>
    </comment>
    <comment ref="P8" authorId="2" shapeId="0" xr:uid="{2CA88EAC-DB45-49D2-B378-62A9D6E0EF41}">
      <text>
        <r>
          <rPr>
            <sz val="11"/>
            <color theme="1"/>
            <rFont val="Calibri"/>
            <family val="2"/>
            <scheme val="minor"/>
          </rPr>
          <t xml:space="preserve">Karen Drennan:
Q15, HSN and Distributed sales that could move up 60 days due to factoring
</t>
        </r>
      </text>
    </comment>
    <comment ref="Q8" authorId="2" shapeId="0" xr:uid="{871C6485-E40E-4E20-8FC5-00350208172F}">
      <text>
        <r>
          <rPr>
            <sz val="11"/>
            <color theme="1"/>
            <rFont val="Calibri"/>
            <family val="2"/>
            <scheme val="minor"/>
          </rPr>
          <t xml:space="preserve">Karen Drennan:
Q15, HSN and Distributed sales that could move up 60 days due to factoring
</t>
        </r>
      </text>
    </comment>
    <comment ref="AK8" authorId="2" shapeId="0" xr:uid="{201096D1-A92E-4B8B-9CA7-9AC61B0F7C88}">
      <text>
        <r>
          <rPr>
            <b/>
            <sz val="9"/>
            <color indexed="81"/>
            <rFont val="Tahoma"/>
            <family val="2"/>
          </rPr>
          <t>Karen Drennan:</t>
        </r>
        <r>
          <rPr>
            <sz val="9"/>
            <color indexed="81"/>
            <rFont val="Tahoma"/>
            <family val="2"/>
          </rPr>
          <t xml:space="preserve">
Sales forecast wk 16</t>
        </r>
      </text>
    </comment>
    <comment ref="R14" authorId="2" shapeId="0" xr:uid="{260111A4-9226-44E1-9D57-976264D86EFB}">
      <text>
        <r>
          <rPr>
            <b/>
            <sz val="9"/>
            <color indexed="81"/>
            <rFont val="Tahoma"/>
            <family val="2"/>
          </rPr>
          <t>Karen Drennan:</t>
        </r>
        <r>
          <rPr>
            <sz val="9"/>
            <color indexed="81"/>
            <rFont val="Tahoma"/>
            <family val="2"/>
          </rPr>
          <t xml:space="preserve">
10K CTO,
  4K MD Garden inc
</t>
        </r>
      </text>
    </comment>
    <comment ref="AC14" authorId="6" shapeId="0" xr:uid="{AE7EEE36-4831-4FE8-B29E-D06033C0D5E2}">
      <text>
        <t xml:space="preserve">[Threaded comment]
Your version of Excel allows you to read this threaded comment; however, any edits to it will get removed if the file is opened in a newer version of Excel. Learn more: https://go.microsoft.com/fwlink/?linkid=870924
Comment:
    Bonus Payout (should be MARCH)
</t>
      </text>
    </comment>
    <comment ref="W19" authorId="7" shapeId="0" xr:uid="{7934DC6A-0812-4E3B-9DD0-7E7C61C84FB9}">
      <text>
        <t>[Threaded comment]
Your version of Excel allows you to read this threaded comment; however, any edits to it will get removed if the file is opened in a newer version of Excel. Learn more: https://go.microsoft.com/fwlink/?linkid=870924
Comment:
    B15 payment, 1st PO</t>
      </text>
    </comment>
    <comment ref="C26" authorId="8" shapeId="0" xr:uid="{00000000-0006-0000-0200-000001000000}">
      <text>
        <r>
          <rPr>
            <sz val="11"/>
            <color theme="1"/>
            <rFont val="Calibri"/>
            <family val="2"/>
            <scheme val="minor"/>
          </rPr>
          <t>======
ID#AAABiV2mmtc
Araceli Minassian    (2025-04-21 17:58:11)
PO report estimated ship date + vendor terms</t>
        </r>
      </text>
    </comment>
    <comment ref="C27" authorId="8" shapeId="0" xr:uid="{00000000-0006-0000-0200-000002000000}">
      <text>
        <r>
          <rPr>
            <sz val="11"/>
            <color theme="1"/>
            <rFont val="Calibri"/>
            <family val="2"/>
            <scheme val="minor"/>
          </rPr>
          <t>======
ID#AAABiV2mmqc
Araceli Minassian    (2025-04-21 17:58:11)
inventory forecast by vendor, estimated ship date + vendor payment terms</t>
        </r>
      </text>
    </comment>
  </commentList>
  <extLst>
    <ext xmlns:r="http://schemas.openxmlformats.org/officeDocument/2006/relationships" uri="GoogleSheetsCustomDataVersion2">
      <go:sheetsCustomData xmlns:go="http://customooxmlschemas.google.com/" r:id="rId1" roundtripDataSignature="AMtx7mix/w44vGguJIyCl2ZNHFZocTmPHQ=="/>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C24" authorId="0" shapeId="0" xr:uid="{00000000-0006-0000-0800-000002000000}">
      <text>
        <r>
          <rPr>
            <sz val="11"/>
            <color theme="1"/>
            <rFont val="Calibri"/>
            <family val="2"/>
            <scheme val="minor"/>
          </rPr>
          <t>======
ID#AAABiV2mmu8
Araceli Minassian    (2025-04-21 17:58:11)
PO report estimated ship date + vendor terms</t>
        </r>
      </text>
    </comment>
    <comment ref="C25" authorId="0" shapeId="0" xr:uid="{00000000-0006-0000-0800-000001000000}">
      <text>
        <r>
          <rPr>
            <sz val="11"/>
            <color theme="1"/>
            <rFont val="Calibri"/>
            <family val="2"/>
            <scheme val="minor"/>
          </rPr>
          <t>======
ID#AAABiV2mmvM
Araceli Minassian    (2025-04-21 17:58:11)
inventory forecast by vendor, estimated ship date + vendor payment terms</t>
        </r>
      </text>
    </comment>
  </commentList>
  <extLst>
    <ext xmlns:r="http://schemas.openxmlformats.org/officeDocument/2006/relationships" uri="GoogleSheetsCustomDataVersion2">
      <go:sheetsCustomData xmlns:go="http://customooxmlschemas.google.com/" r:id="rId1" roundtripDataSignature="AMtx7mgOwBHgXV8fmAKFKA27R46mxu1U0Q=="/>
    </ext>
  </extL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Steven Cistulli</author>
    <author>Karen Drennan</author>
  </authors>
  <commentList>
    <comment ref="A22" authorId="0" shapeId="0" xr:uid="{013D1EB9-8670-457D-976A-2FC822558BBC}">
      <text>
        <r>
          <rPr>
            <b/>
            <sz val="10"/>
            <color rgb="FF000000"/>
            <rFont val="Tahoma"/>
            <family val="2"/>
          </rPr>
          <t>Steven Cistulli:</t>
        </r>
        <r>
          <rPr>
            <sz val="10"/>
            <color rgb="FF000000"/>
            <rFont val="Tahoma"/>
            <family val="2"/>
          </rPr>
          <t xml:space="preserve">
</t>
        </r>
        <r>
          <rPr>
            <sz val="10"/>
            <color rgb="FF000000"/>
            <rFont val="Tahoma"/>
            <family val="2"/>
          </rPr>
          <t xml:space="preserve">Does NOT include Gryphon costs
</t>
        </r>
      </text>
    </comment>
    <comment ref="L23" authorId="1" shapeId="0" xr:uid="{98EA6CA5-1F8C-452A-897E-0C86BD29D1AD}">
      <text>
        <r>
          <rPr>
            <b/>
            <sz val="9"/>
            <color indexed="81"/>
            <rFont val="Tahoma"/>
            <family val="2"/>
          </rPr>
          <t>Karen Drennan:</t>
        </r>
        <r>
          <rPr>
            <sz val="9"/>
            <color indexed="81"/>
            <rFont val="Tahoma"/>
            <family val="2"/>
          </rPr>
          <t xml:space="preserve">
200 test samples no po yet</t>
        </r>
      </text>
    </comment>
    <comment ref="P23" authorId="1" shapeId="0" xr:uid="{8FD438A4-65CF-45C7-ADCB-8DCBC1BD4B6B}">
      <text>
        <r>
          <rPr>
            <b/>
            <sz val="9"/>
            <color indexed="81"/>
            <rFont val="Tahoma"/>
            <family val="2"/>
          </rPr>
          <t>Karen Drennan:</t>
        </r>
        <r>
          <rPr>
            <sz val="9"/>
            <color indexed="81"/>
            <rFont val="Tahoma"/>
            <family val="2"/>
          </rPr>
          <t xml:space="preserve">
200 test samples no po yet</t>
        </r>
      </text>
    </comment>
    <comment ref="E24" authorId="0" shapeId="0" xr:uid="{12B1CD1A-51C5-4DE6-9576-23DBEA38AF33}">
      <text>
        <r>
          <rPr>
            <b/>
            <sz val="10"/>
            <color rgb="FF000000"/>
            <rFont val="Tahoma"/>
            <family val="2"/>
          </rPr>
          <t>Steven Cistulli:</t>
        </r>
        <r>
          <rPr>
            <sz val="10"/>
            <color rgb="FF000000"/>
            <rFont val="Tahoma"/>
            <family val="2"/>
          </rPr>
          <t xml:space="preserve">
</t>
        </r>
        <r>
          <rPr>
            <sz val="10"/>
            <color rgb="FF000000"/>
            <rFont val="Tahoma"/>
            <family val="2"/>
          </rPr>
          <t>To KO RoW SKU's</t>
        </r>
      </text>
    </comment>
    <comment ref="D25" authorId="0" shapeId="0" xr:uid="{9D435A51-E7A3-489E-8D8F-F0BB3DB31C93}">
      <text>
        <r>
          <rPr>
            <b/>
            <sz val="10"/>
            <color rgb="FF000000"/>
            <rFont val="Tahoma"/>
            <family val="2"/>
          </rPr>
          <t>Steven Cistulli:</t>
        </r>
        <r>
          <rPr>
            <sz val="10"/>
            <color rgb="FF000000"/>
            <rFont val="Tahoma"/>
            <family val="2"/>
          </rPr>
          <t xml:space="preserve">
</t>
        </r>
        <r>
          <rPr>
            <sz val="10"/>
            <color rgb="FF000000"/>
            <rFont val="Tahoma"/>
            <family val="2"/>
          </rPr>
          <t>Cert costs, non Kyrio</t>
        </r>
      </text>
    </comment>
    <comment ref="B26" authorId="0" shapeId="0" xr:uid="{0E4A2E7B-7B9C-40E7-8F2D-2B6C43459DEE}">
      <text>
        <r>
          <rPr>
            <b/>
            <sz val="10"/>
            <color rgb="FF000000"/>
            <rFont val="Tahoma"/>
            <family val="2"/>
          </rPr>
          <t>Steven Cistulli:</t>
        </r>
        <r>
          <rPr>
            <sz val="10"/>
            <color rgb="FF000000"/>
            <rFont val="Tahoma"/>
            <family val="2"/>
          </rPr>
          <t xml:space="preserve">
</t>
        </r>
        <r>
          <rPr>
            <sz val="10"/>
            <color rgb="FF000000"/>
            <rFont val="Tahoma"/>
            <family val="2"/>
          </rPr>
          <t xml:space="preserve">this depends on KO date; if we move KO then these two move to right
</t>
        </r>
      </text>
    </comment>
    <comment ref="B33" authorId="0" shapeId="0" xr:uid="{29542A7C-61C1-41A3-9882-8820757F8966}">
      <text>
        <r>
          <rPr>
            <b/>
            <sz val="10"/>
            <color rgb="FF000000"/>
            <rFont val="Tahoma"/>
            <family val="2"/>
          </rPr>
          <t>Steven Cistulli:</t>
        </r>
        <r>
          <rPr>
            <sz val="10"/>
            <color rgb="FF000000"/>
            <rFont val="Tahoma"/>
            <family val="2"/>
          </rPr>
          <t xml:space="preserve">
</t>
        </r>
        <r>
          <rPr>
            <sz val="10"/>
            <color rgb="FF000000"/>
            <rFont val="Tahoma"/>
            <family val="2"/>
          </rPr>
          <t>ATEL SW for Professional Service of P-style devices</t>
        </r>
      </text>
    </comment>
    <comment ref="H33" authorId="1" shapeId="0" xr:uid="{EE1F2EE0-C34D-4911-93FB-A422686012A3}">
      <text>
        <r>
          <rPr>
            <b/>
            <sz val="9"/>
            <color indexed="81"/>
            <rFont val="Tahoma"/>
            <family val="2"/>
          </rPr>
          <t>Karen Drennan:</t>
        </r>
        <r>
          <rPr>
            <sz val="9"/>
            <color indexed="81"/>
            <rFont val="Tahoma"/>
            <family val="2"/>
          </rPr>
          <t xml:space="preserve">
Is this for Motosync+
</t>
        </r>
      </text>
    </comment>
    <comment ref="J34" authorId="1" shapeId="0" xr:uid="{4DE901FD-EDE2-4A5C-B80C-CB36A37B3323}">
      <text>
        <r>
          <rPr>
            <b/>
            <sz val="9"/>
            <color indexed="81"/>
            <rFont val="Tahoma"/>
            <family val="2"/>
          </rPr>
          <t>Karen Drennan:</t>
        </r>
        <r>
          <rPr>
            <sz val="9"/>
            <color indexed="81"/>
            <rFont val="Tahoma"/>
            <family val="2"/>
          </rPr>
          <t xml:space="preserve">
Atel, remained in 10219</t>
        </r>
      </text>
    </comment>
    <comment ref="G39" authorId="1" shapeId="0" xr:uid="{7C9DC415-E7F8-46A2-878C-B6A9FAACCA50}">
      <text>
        <r>
          <rPr>
            <b/>
            <sz val="9"/>
            <color indexed="81"/>
            <rFont val="Tahoma"/>
            <family val="2"/>
          </rPr>
          <t>Karen Drennan:</t>
        </r>
        <r>
          <rPr>
            <sz val="9"/>
            <color indexed="81"/>
            <rFont val="Tahoma"/>
            <family val="2"/>
          </rPr>
          <t xml:space="preserve">
Wire sent 8.7.2025</t>
        </r>
      </text>
    </comment>
    <comment ref="Q40" authorId="0" shapeId="0" xr:uid="{D83A12BE-67AA-4E83-904D-690B0F47A11B}">
      <text>
        <r>
          <rPr>
            <b/>
            <sz val="10"/>
            <color rgb="FF000000"/>
            <rFont val="Tahoma"/>
            <family val="2"/>
          </rPr>
          <t>Steven Cistulli:</t>
        </r>
        <r>
          <rPr>
            <sz val="10"/>
            <color rgb="FF000000"/>
            <rFont val="Tahoma"/>
            <family val="2"/>
          </rPr>
          <t xml:space="preserve">
</t>
        </r>
        <r>
          <rPr>
            <sz val="10"/>
            <color rgb="FF000000"/>
            <rFont val="Tahoma"/>
            <family val="2"/>
          </rPr>
          <t xml:space="preserve">30 days post shipment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Karen Drennan</author>
  </authors>
  <commentList>
    <comment ref="B9" authorId="0" shapeId="0" xr:uid="{00000000-0006-0000-0A00-000002000000}">
      <text>
        <r>
          <rPr>
            <sz val="11"/>
            <color theme="1"/>
            <rFont val="Calibri"/>
            <family val="2"/>
            <scheme val="minor"/>
          </rPr>
          <t>======
ID#AAABiV2mmuU
tc={6C008F31-C877-4870-A7AE-7D1AD27BC062}    (2025-04-21 17:58:11)
[Threaded comment]
Your version of Excel allows you to read this threaded comment; however, any edits to it will get removed if the file is opened in a newer version of Excel. Learn more: https://go.microsoft.com/fwlink/?linkid=870924
Comment:
    Adriannes contract to support all RZ and close projects/wrap them into proper handover tasks</t>
        </r>
      </text>
    </comment>
    <comment ref="B10" authorId="0" shapeId="0" xr:uid="{00000000-0006-0000-0A00-000003000000}">
      <text>
        <r>
          <rPr>
            <sz val="11"/>
            <color theme="1"/>
            <rFont val="Calibri"/>
            <family val="2"/>
            <scheme val="minor"/>
          </rPr>
          <t>======
ID#AAABiV2mmtM
tc={A58D5848-5C7D-40A7-8BC2-2631FBF18B7D}    (2025-04-21 17:58:11)
[Threaded comment]
Your version of Excel allows you to read this threaded comment; however, any edits to it will get removed if the file is opened in a newer version of Excel. Learn more: https://go.microsoft.com/fwlink/?linkid=870924
Comment:
    Adriannes contract to support all RZ and close projects/wrap them into proper handover tasks</t>
        </r>
      </text>
    </comment>
    <comment ref="B14" authorId="0" shapeId="0" xr:uid="{00000000-0006-0000-0A00-000001000000}">
      <text>
        <r>
          <rPr>
            <sz val="11"/>
            <color theme="1"/>
            <rFont val="Calibri"/>
            <family val="2"/>
            <scheme val="minor"/>
          </rPr>
          <t>======
ID#AAABiV2mmuw
tc={966269F9-3ED0-4CE6-AF52-9A9FBCD2D93B}    (2025-04-21 17:58:11)
[Threaded comment]
Your version of Excel allows you to read this threaded comment; however, any edits to it will get removed if the file is opened in a newer version of Excel. Learn more: https://go.microsoft.com/fwlink/?linkid=870924
Comment:
    Includes all remaining contractors for CC support (blended costs)</t>
        </r>
      </text>
    </comment>
    <comment ref="E16" authorId="0" shapeId="0" xr:uid="{00000000-0006-0000-0A00-000004000000}">
      <text>
        <r>
          <rPr>
            <sz val="11"/>
            <color theme="1"/>
            <rFont val="Calibri"/>
            <family val="2"/>
            <scheme val="minor"/>
          </rPr>
          <t>======
ID#AAABiV2mmqY
tc={F75EA641-253B-4598-B33C-DF096DDDC67C}    (2025-04-21 17:58:11)
[Threaded comment]
Your version of Excel allows you to read this threaded comment; however, any edits to it will get removed if the file is opened in a newer version of Excel. Learn more: https://go.microsoft.com/fwlink/?linkid=870924
Comment:
    Paid 3/27</t>
        </r>
      </text>
    </comment>
    <comment ref="H33" authorId="1" shapeId="0" xr:uid="{AEAF0949-EB30-4288-AA04-F1D96913AFCD}">
      <text>
        <r>
          <rPr>
            <sz val="11"/>
            <color theme="1"/>
            <rFont val="Calibri"/>
            <family val="2"/>
            <scheme val="minor"/>
          </rPr>
          <t xml:space="preserve">Karen Drennan:
</t>
        </r>
      </text>
    </comment>
  </commentList>
  <extLst>
    <ext xmlns:r="http://schemas.openxmlformats.org/officeDocument/2006/relationships" uri="GoogleSheetsCustomDataVersion2">
      <go:sheetsCustomData xmlns:go="http://customooxmlschemas.google.com/" r:id="rId1" roundtripDataSignature="AMtx7mgB5Nr4SXAzzHhTfSNdaj8EbBd8OQ=="/>
    </ext>
  </extL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0C00-000001000000}">
      <text>
        <r>
          <rPr>
            <sz val="11"/>
            <color theme="1"/>
            <rFont val="Calibri"/>
            <family val="2"/>
            <scheme val="minor"/>
          </rPr>
          <t>======
ID#AAABiV2mmu4
tc={F7350435-5447-4E0A-A19C-5C9C2111945D}    (2025-04-21 17:58:11)
[Threaded comment]
Your version of Excel allows you to read this threaded comment; however, any edits to it will get removed if the file is opened in a newer version of Excel. Learn more: https://go.microsoft.com/fwlink/?linkid=870924
Comment:
    SOW1</t>
        </r>
      </text>
    </comment>
    <comment ref="B4" authorId="0" shapeId="0" xr:uid="{00000000-0006-0000-0C00-000010000000}">
      <text>
        <r>
          <rPr>
            <sz val="11"/>
            <color theme="1"/>
            <rFont val="Calibri"/>
            <family val="2"/>
            <scheme val="minor"/>
          </rPr>
          <t>======
ID#AAABiV2mmpw
tc={D608922C-BFE8-4398-86A8-F65875017FA8}    (2025-04-21 17:58:11)
[Threaded comment]
Your version of Excel allows you to read this threaded comment; however, any edits to it will get removed if the file is opened in a newer version of Excel. Learn more: https://go.microsoft.com/fwlink/?linkid=870924
Comment:
    SOW2</t>
        </r>
      </text>
    </comment>
    <comment ref="B5" authorId="0" shapeId="0" xr:uid="{00000000-0006-0000-0C00-000012000000}">
      <text>
        <r>
          <rPr>
            <sz val="11"/>
            <color theme="1"/>
            <rFont val="Calibri"/>
            <family val="2"/>
            <scheme val="minor"/>
          </rPr>
          <t>======
ID#AAABiV2mmpo
tc={D306B509-62E8-41B2-9BAC-51DC8DACE61E}    (2025-04-21 17:58:11)
[Threaded comment]
Your version of Excel allows you to read this threaded comment; however, any edits to it will get removed if the file is opened in a newer version of Excel. Learn more: https://go.microsoft.com/fwlink/?linkid=870924
Comment:
    SOW3-2b</t>
        </r>
      </text>
    </comment>
    <comment ref="B6" authorId="0" shapeId="0" xr:uid="{00000000-0006-0000-0C00-00000E000000}">
      <text>
        <r>
          <rPr>
            <sz val="11"/>
            <color theme="1"/>
            <rFont val="Calibri"/>
            <family val="2"/>
            <scheme val="minor"/>
          </rPr>
          <t>======
ID#AAABiV2mmqA
tc={C0653569-8428-4638-9809-7AFBA7EA5BC1}    (2025-04-21 17:58:11)
[Threaded comment]
Your version of Excel allows you to read this threaded comment; however, any edits to it will get removed if the file is opened in a newer version of Excel. Learn more: https://go.microsoft.com/fwlink/?linkid=870924
Comment:
    SOW3-2c</t>
        </r>
      </text>
    </comment>
    <comment ref="B7" authorId="0" shapeId="0" xr:uid="{00000000-0006-0000-0C00-000006000000}">
      <text>
        <r>
          <rPr>
            <sz val="11"/>
            <color theme="1"/>
            <rFont val="Calibri"/>
            <family val="2"/>
            <scheme val="minor"/>
          </rPr>
          <t>======
ID#AAABiV2mmuE
tc={64C269FA-B22C-464D-9F71-937505EAF5C1}    (2025-04-21 17:58:11)
[Threaded comment]
Your version of Excel allows you to read this threaded comment; however, any edits to it will get removed if the file is opened in a newer version of Excel. Learn more: https://go.microsoft.com/fwlink/?linkid=870924
Comment:
    SOW3-3</t>
        </r>
      </text>
    </comment>
    <comment ref="B8" authorId="0" shapeId="0" xr:uid="{00000000-0006-0000-0C00-00000D000000}">
      <text>
        <r>
          <rPr>
            <sz val="11"/>
            <color theme="1"/>
            <rFont val="Calibri"/>
            <family val="2"/>
            <scheme val="minor"/>
          </rPr>
          <t>======
ID#AAABiV2mmqE
tc={494CDF7C-EEF8-4AF9-949C-C70EA012750C}    (2025-04-21 17:58:11)
[Threaded comment]
Your version of Excel allows you to read this threaded comment; however, any edits to it will get removed if the file is opened in a newer version of Excel. Learn more: https://go.microsoft.com/fwlink/?linkid=870924
Comment:
    6e Samples</t>
        </r>
      </text>
    </comment>
    <comment ref="B9" authorId="0" shapeId="0" xr:uid="{00000000-0006-0000-0C00-00000C000000}">
      <text>
        <r>
          <rPr>
            <sz val="11"/>
            <color theme="1"/>
            <rFont val="Calibri"/>
            <family val="2"/>
            <scheme val="minor"/>
          </rPr>
          <t>======
ID#AAABiV2mmqM
tc={9C8076A3-61B5-47E2-9F00-AA1570E4D71A}    (2025-04-21 17:58:11)
[Threaded comment]
Your version of Excel allows you to read this threaded comment; however, any edits to it will get removed if the file is opened in a newer version of Excel. Learn more: https://go.microsoft.com/fwlink/?linkid=870924
Comment:
    Covers all categories from DB Effort, AWS 1 Transition from Motorola to Premier, on-boarding of Gryphon for DevOps, to name a few</t>
        </r>
      </text>
    </comment>
    <comment ref="B10" authorId="0" shapeId="0" xr:uid="{00000000-0006-0000-0C00-000004000000}">
      <text>
        <r>
          <rPr>
            <sz val="11"/>
            <color theme="1"/>
            <rFont val="Calibri"/>
            <family val="2"/>
            <scheme val="minor"/>
          </rPr>
          <t>======
ID#AAABiV2mmuY
tc={FA1C2058-DCDB-4BE6-8B45-ECFEB097F5DC}    (2025-04-21 17:58:11)
[Threaded comment]
Your version of Excel allows you to read this threaded comment; however, any edits to it will get removed if the file is opened in a newer version of Excel. Learn more: https://go.microsoft.com/fwlink/?linkid=870924
Comment:
    Adriannes contract to support all RZ and close projects/wrap them into proper handover tasks</t>
        </r>
      </text>
    </comment>
    <comment ref="B11" authorId="0" shapeId="0" xr:uid="{00000000-0006-0000-0C00-000005000000}">
      <text>
        <r>
          <rPr>
            <sz val="11"/>
            <color theme="1"/>
            <rFont val="Calibri"/>
            <family val="2"/>
            <scheme val="minor"/>
          </rPr>
          <t>======
ID#AAABiV2mmuM
tc={D3BAB379-A876-4120-A11C-5719B1F46491}    (2025-04-21 17:58:11)
[Threaded comment]
Your version of Excel allows you to read this threaded comment; however, any edits to it will get removed if the file is opened in a newer version of Excel. Learn more: https://go.microsoft.com/fwlink/?linkid=870924
Comment:
    Adriannes contract to support all RZ and close projects/wrap them into proper handover tasks</t>
        </r>
      </text>
    </comment>
    <comment ref="B15" authorId="0" shapeId="0" xr:uid="{00000000-0006-0000-0C00-000007000000}">
      <text>
        <r>
          <rPr>
            <sz val="11"/>
            <color theme="1"/>
            <rFont val="Calibri"/>
            <family val="2"/>
            <scheme val="minor"/>
          </rPr>
          <t>======
ID#AAABiV2mmt8
tc={8B905985-F978-46B4-BC03-8BBCF144460F}    (2025-04-21 17:58:11)
[Threaded comment]
Your version of Excel allows you to read this threaded comment; however, any edits to it will get removed if the file is opened in a newer version of Excel. Learn more: https://go.microsoft.com/fwlink/?linkid=870924
Comment:
    Direct marketing for new products launches</t>
        </r>
      </text>
    </comment>
    <comment ref="B16" authorId="0" shapeId="0" xr:uid="{00000000-0006-0000-0C00-00000B000000}">
      <text>
        <r>
          <rPr>
            <sz val="11"/>
            <color theme="1"/>
            <rFont val="Calibri"/>
            <family val="2"/>
            <scheme val="minor"/>
          </rPr>
          <t>======
ID#AAABiV2mmqQ
tc={1AE24668-80DF-41AA-9378-24EABA7D5A47}    (2025-04-21 17:58:11)
[Threaded comment]
Your version of Excel allows you to read this threaded comment; however, any edits to it will get removed if the file is opened in a newer version of Excel. Learn more: https://go.microsoft.com/fwlink/?linkid=870924
Comment:
    Includes all remaining contractors for CC support (blended costs)</t>
        </r>
      </text>
    </comment>
    <comment ref="B18" authorId="0" shapeId="0" xr:uid="{00000000-0006-0000-0C00-00000A000000}">
      <text>
        <r>
          <rPr>
            <sz val="11"/>
            <color theme="1"/>
            <rFont val="Calibri"/>
            <family val="2"/>
            <scheme val="minor"/>
          </rPr>
          <t>======
ID#AAABiV2mmtQ
tc={C141DED9-3B89-43DC-B2DB-01EEC6576EE3}    (2025-04-21 17:58:11)
[Threaded comment]
Your version of Excel allows you to read this threaded comment; however, any edits to it will get removed if the file is opened in a newer version of Excel. Learn more: https://go.microsoft.com/fwlink/?linkid=870924
Comment:
    Translation service (mostly for B12 Canada)</t>
        </r>
      </text>
    </comment>
    <comment ref="B21" authorId="0" shapeId="0" xr:uid="{00000000-0006-0000-0C00-00000F000000}">
      <text>
        <r>
          <rPr>
            <sz val="11"/>
            <color theme="1"/>
            <rFont val="Calibri"/>
            <family val="2"/>
            <scheme val="minor"/>
          </rPr>
          <t>======
ID#AAABiV2mmp0
tc={54FC23DF-1596-43A3-8115-618686EFBB76}    (2025-04-21 17:58:11)
[Threaded comment]
Your version of Excel allows you to read this threaded comment; however, any edits to it will get removed if the file is opened in a newer version of Excel. Learn more: https://go.microsoft.com/fwlink/?linkid=870924
Comment:
    6e ID Exclusivity</t>
        </r>
      </text>
    </comment>
    <comment ref="B22" authorId="0" shapeId="0" xr:uid="{00000000-0006-0000-0C00-000009000000}">
      <text>
        <r>
          <rPr>
            <sz val="11"/>
            <color theme="1"/>
            <rFont val="Calibri"/>
            <family val="2"/>
            <scheme val="minor"/>
          </rPr>
          <t>======
ID#AAABiV2mmtk
tc={AFFB9D8B-E8FA-4FF4-A303-3CFB3CB0616A}    (2025-04-21 17:58:11)
[Threaded comment]
Your version of Excel allows you to read this threaded comment; however, any edits to it will get removed if the file is opened in a newer version of Excel. Learn more: https://go.microsoft.com/fwlink/?linkid=870924
Comment:
    FCC, UL, ISED Certification</t>
        </r>
      </text>
    </comment>
    <comment ref="B23" authorId="0" shapeId="0" xr:uid="{00000000-0006-0000-0C00-000002000000}">
      <text>
        <r>
          <rPr>
            <sz val="11"/>
            <color theme="1"/>
            <rFont val="Calibri"/>
            <family val="2"/>
            <scheme val="minor"/>
          </rPr>
          <t>======
ID#AAABiV2mmuo
tc={54FA4E82-986F-4ECD-B863-886F9B996F09}    (2025-04-21 17:58:11)
[Threaded comment]
Your version of Excel allows you to read this threaded comment; however, any edits to it will get removed if the file is opened in a newer version of Excel. Learn more: https://go.microsoft.com/fwlink/?linkid=870924
Comment:
    Certification by CableLabs/Kyrio for MG8725</t>
        </r>
      </text>
    </comment>
    <comment ref="B24" authorId="0" shapeId="0" xr:uid="{00000000-0006-0000-0C00-000003000000}">
      <text>
        <r>
          <rPr>
            <sz val="11"/>
            <color theme="1"/>
            <rFont val="Calibri"/>
            <family val="2"/>
            <scheme val="minor"/>
          </rPr>
          <t>======
ID#AAABiV2mmuc
tc={BE69A1AE-51D6-4830-9832-39C181B4EC40}    (2025-04-21 17:58:11)
[Threaded comment]
Your version of Excel allows you to read this threaded comment; however, any edits to it will get removed if the file is opened in a newer version of Excel. Learn more: https://go.microsoft.com/fwlink/?linkid=870924
Comment:
    Certification from CableLabs/Kyrio MT8733</t>
        </r>
      </text>
    </comment>
    <comment ref="B30" authorId="0" shapeId="0" xr:uid="{00000000-0006-0000-0C00-000008000000}">
      <text>
        <r>
          <rPr>
            <sz val="11"/>
            <color theme="1"/>
            <rFont val="Calibri"/>
            <family val="2"/>
            <scheme val="minor"/>
          </rPr>
          <t>======
ID#AAABiV2mmtw
tc={29F94D83-E239-472D-BEBD-C5AFB02A7C57}    (2025-04-21 17:58:11)
[Threaded comment]
Your version of Excel allows you to read this threaded comment; however, any edits to it will get removed if the file is opened in a newer version of Excel. Learn more: https://go.microsoft.com/fwlink/?linkid=870924
Comment:
    DOCSIS 3.0 yearly registration</t>
        </r>
      </text>
    </comment>
    <comment ref="B31" authorId="0" shapeId="0" xr:uid="{00000000-0006-0000-0C00-000011000000}">
      <text>
        <r>
          <rPr>
            <sz val="11"/>
            <color theme="1"/>
            <rFont val="Calibri"/>
            <family val="2"/>
            <scheme val="minor"/>
          </rPr>
          <t>======
ID#AAABiV2mmps
tc={EB9FDFA6-0CEA-4F27-87F1-286BCB85032A}    (2025-04-21 17:58:11)
[Threaded comment]
Your version of Excel allows you to read this threaded comment; however, any edits to it will get removed if the file is opened in a newer version of Excel. Learn more: https://go.microsoft.com/fwlink/?linkid=870924
Comment:
    DOCSIS 3.1 yearly registration</t>
        </r>
      </text>
    </comment>
  </commentList>
  <extLst>
    <ext xmlns:r="http://schemas.openxmlformats.org/officeDocument/2006/relationships" uri="GoogleSheetsCustomDataVersion2">
      <go:sheetsCustomData xmlns:go="http://customooxmlschemas.google.com/" r:id="rId1" roundtripDataSignature="AMtx7mh04jmAT7fc1WJ9oHxPLnK2xZ1XzQ=="/>
    </ext>
  </extL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<sst xmlns="http://schemas.openxmlformats.org/spreadsheetml/2006/main" count="2080" uniqueCount="653">
  <si>
    <t>DEFINITION OF EACH LINE ITEM</t>
  </si>
  <si>
    <t>x</t>
  </si>
  <si>
    <t>OPERATING CASH INFLOWS</t>
  </si>
  <si>
    <t xml:space="preserve">Operating Cash Receipts </t>
  </si>
  <si>
    <t>Customer Cash Receipts from A/R</t>
  </si>
  <si>
    <t>Pulled from AR Aging report</t>
  </si>
  <si>
    <t>Customer Forecasted Receipts from Backlog</t>
  </si>
  <si>
    <t>Receipts for products/services that are in backlog and sale is not complete; pulled from ERP/MRP/Other infrastructure</t>
  </si>
  <si>
    <t>Customer Forecasted Receipts from Sales Forecast</t>
  </si>
  <si>
    <t xml:space="preserve">Forecasted receipts from products / services in pipeline; pulled from Salesforce and/or sales team reports built off Salesforce </t>
  </si>
  <si>
    <t>Other, non-customer related inflows</t>
  </si>
  <si>
    <t xml:space="preserve">Non-customer related inflows; this could include insurance payments, legal settlements, asset disposal, etc. </t>
  </si>
  <si>
    <t>TOTAL INCOMING CASH</t>
  </si>
  <si>
    <t>OPERATING CASH DISBURSEMENTS</t>
  </si>
  <si>
    <t>Must Pays</t>
  </si>
  <si>
    <t>Wages and benefits</t>
  </si>
  <si>
    <t>Weekly payroll (Salary + all benefits + bonus accruals + etc.); pulled from payroll systems</t>
  </si>
  <si>
    <t>Rent</t>
  </si>
  <si>
    <t>Rental invoice (vs. accrued rent)</t>
  </si>
  <si>
    <t>Insurance</t>
  </si>
  <si>
    <t xml:space="preserve">Insurance Invoice </t>
  </si>
  <si>
    <t>Sales Tax Expense</t>
  </si>
  <si>
    <t>Sales tax expense - payment cadence and date varies per nexus</t>
  </si>
  <si>
    <t>Credit Card Expense</t>
  </si>
  <si>
    <t>Credit card expense - payment is on autopayment</t>
  </si>
  <si>
    <t>Other</t>
  </si>
  <si>
    <t>Other, non-material weekly, monthly, or quarterly 'must pays'</t>
  </si>
  <si>
    <t>Total Must Pay</t>
  </si>
  <si>
    <t>Accounts Payable</t>
  </si>
  <si>
    <t>Payables by week</t>
  </si>
  <si>
    <t>Pulled from AP Aging report</t>
  </si>
  <si>
    <t>Recurring Non Inventory Payables not in Aging report</t>
  </si>
  <si>
    <t xml:space="preserve">Payables that recur that are not related to inventory and do not show up in AP aging report </t>
  </si>
  <si>
    <t>Estimated Inventory AP from Open Purchase Orders</t>
  </si>
  <si>
    <t>Forecast of cash outlays for AP on open purchase orders</t>
  </si>
  <si>
    <t>Estimated Inventory AP from MRP estimated purchases</t>
  </si>
  <si>
    <t xml:space="preserve">Forecast of cash outlays for AP on orders in MRP and/or forecasted for following 13 weeks </t>
  </si>
  <si>
    <t xml:space="preserve">Total Accounts Payable </t>
  </si>
  <si>
    <t>TOTAL OPERATING CASH OUTFLOWS</t>
  </si>
  <si>
    <t>OPERATING CASH FLOW (excl. financing activities)</t>
  </si>
  <si>
    <t>Forecasted cashflow from operations - does not include financing activities</t>
  </si>
  <si>
    <t>FUNDING REQUEST</t>
  </si>
  <si>
    <t>Tide Rock Capital Funding (LT Notes Payable)</t>
  </si>
  <si>
    <t>LT funding request for CapEx</t>
  </si>
  <si>
    <t>Tide Rock Cashflow Funding (ST Notes Payable)</t>
  </si>
  <si>
    <t>ST funding request for Working Capital</t>
  </si>
  <si>
    <t>TOTAL FUNDING REQUEST</t>
  </si>
  <si>
    <t>NON OPERATING CASH DISBURSEMENTS</t>
  </si>
  <si>
    <t>Tide Rock Notes Repayment</t>
  </si>
  <si>
    <t>Identify repayment plan and months for payment</t>
  </si>
  <si>
    <t>Tide Rock Interest Payments</t>
  </si>
  <si>
    <t>Tide Rock interest payments on outstanding line of credit</t>
  </si>
  <si>
    <t>Tide Rock Distributions (including MPs)</t>
  </si>
  <si>
    <t xml:space="preserve">Tide Rock distribution payments </t>
  </si>
  <si>
    <t>NET CASH FLOW</t>
  </si>
  <si>
    <t>Net cashflow when including financing activities</t>
  </si>
  <si>
    <t>Beginning Bank Balance</t>
  </si>
  <si>
    <t xml:space="preserve">Cash balance across all operating accounts </t>
  </si>
  <si>
    <t>Outstanding checks</t>
  </si>
  <si>
    <t>Outstanding checks that have been sent but not cashed by time of forecast</t>
  </si>
  <si>
    <t>ENDING BOOK BALANCE</t>
  </si>
  <si>
    <t>Ending bank balance across all operating accounts</t>
  </si>
  <si>
    <t>Forecast Start Date</t>
  </si>
  <si>
    <t>This should be the Monday of the first week you are forecasting (i.e., the Monday you send this to your accounting contact)</t>
  </si>
  <si>
    <t>Labor</t>
  </si>
  <si>
    <t>Month End</t>
  </si>
  <si>
    <t>2025 YTG</t>
  </si>
  <si>
    <t>Week Start</t>
  </si>
  <si>
    <t>Source</t>
  </si>
  <si>
    <t>Order</t>
  </si>
  <si>
    <t>ID</t>
  </si>
  <si>
    <t>Vendor</t>
  </si>
  <si>
    <t>Type</t>
  </si>
  <si>
    <t>Category</t>
  </si>
  <si>
    <t>hju</t>
  </si>
  <si>
    <t>ST Cash File (Manual)</t>
  </si>
  <si>
    <t>K31</t>
  </si>
  <si>
    <t>Askey</t>
  </si>
  <si>
    <t>Q20</t>
  </si>
  <si>
    <t>Inventory</t>
  </si>
  <si>
    <t>Q20RoW</t>
  </si>
  <si>
    <t>K30</t>
  </si>
  <si>
    <t>T&amp;W</t>
  </si>
  <si>
    <t>PO3</t>
  </si>
  <si>
    <t>K35</t>
  </si>
  <si>
    <t>Compal (CBN)</t>
  </si>
  <si>
    <t>B15 Inventory</t>
  </si>
  <si>
    <t>Atel</t>
  </si>
  <si>
    <t>P15</t>
  </si>
  <si>
    <t>CBN</t>
  </si>
  <si>
    <t>Q12</t>
  </si>
  <si>
    <t>Salom America</t>
  </si>
  <si>
    <t>Discount Inventory</t>
  </si>
  <si>
    <t>Flexport</t>
  </si>
  <si>
    <t>Shipping</t>
  </si>
  <si>
    <t>Returns (Individual/Shopify)</t>
  </si>
  <si>
    <t>Returns</t>
  </si>
  <si>
    <t>K37</t>
  </si>
  <si>
    <t>MTN PD</t>
  </si>
  <si>
    <t>Q15</t>
  </si>
  <si>
    <t>Q12 ROW</t>
  </si>
  <si>
    <t>MTN</t>
  </si>
  <si>
    <t>Q15 RoW</t>
  </si>
  <si>
    <t>Manual Estimate</t>
  </si>
  <si>
    <t>K47</t>
  </si>
  <si>
    <t>CBP</t>
  </si>
  <si>
    <t>Tariffs</t>
  </si>
  <si>
    <t>K48</t>
  </si>
  <si>
    <t>OL-USA</t>
  </si>
  <si>
    <t>Gryphon</t>
  </si>
  <si>
    <t>Contract</t>
  </si>
  <si>
    <t>NRE</t>
  </si>
  <si>
    <t>P15 NRE</t>
  </si>
  <si>
    <t>P15RoW</t>
  </si>
  <si>
    <t>MTN MMA</t>
  </si>
  <si>
    <t>Compal</t>
  </si>
  <si>
    <t>B15 RoW</t>
  </si>
  <si>
    <t>K33</t>
  </si>
  <si>
    <t>B15</t>
  </si>
  <si>
    <t>Motosync+</t>
  </si>
  <si>
    <t>SC File (Link)</t>
  </si>
  <si>
    <t>K4</t>
  </si>
  <si>
    <t>Contract/Weekly</t>
  </si>
  <si>
    <t>K23</t>
  </si>
  <si>
    <t>AWS</t>
  </si>
  <si>
    <t>Services</t>
  </si>
  <si>
    <t>OpEx</t>
  </si>
  <si>
    <t>K39</t>
  </si>
  <si>
    <t>CATV (Triage, Refurb, RMA)</t>
  </si>
  <si>
    <t>Manual Invoice</t>
  </si>
  <si>
    <t>K46</t>
  </si>
  <si>
    <t>Tide Rock</t>
  </si>
  <si>
    <t>Allocation</t>
  </si>
  <si>
    <t>K29</t>
  </si>
  <si>
    <t>CableLabs/Kyrio</t>
  </si>
  <si>
    <t>Cox</t>
  </si>
  <si>
    <t>Charter/Spectrum</t>
  </si>
  <si>
    <t>Comcast</t>
  </si>
  <si>
    <t>K7</t>
  </si>
  <si>
    <t>Arksaw</t>
  </si>
  <si>
    <t>K25</t>
  </si>
  <si>
    <t>JustCall</t>
  </si>
  <si>
    <t>K24</t>
  </si>
  <si>
    <t>Jira</t>
  </si>
  <si>
    <t>K26</t>
  </si>
  <si>
    <t>ReAamze</t>
  </si>
  <si>
    <t>K27</t>
  </si>
  <si>
    <t>Kiteworks</t>
  </si>
  <si>
    <t>K16</t>
  </si>
  <si>
    <t>Syntes Language Group</t>
  </si>
  <si>
    <t>Legal Fees/Accounting</t>
  </si>
  <si>
    <t>Other Audit cert Pro/Import</t>
  </si>
  <si>
    <t>K42</t>
  </si>
  <si>
    <t>BACL</t>
  </si>
  <si>
    <t>Q20 FCC Approval</t>
  </si>
  <si>
    <t>Travel</t>
  </si>
  <si>
    <t>Opex</t>
  </si>
  <si>
    <t>Other Marketing</t>
  </si>
  <si>
    <t>Marketing</t>
  </si>
  <si>
    <t>Exhibitions</t>
  </si>
  <si>
    <t>Gale Strategies</t>
  </si>
  <si>
    <t>K43</t>
  </si>
  <si>
    <t>Ramp</t>
  </si>
  <si>
    <t>Annual Subscription</t>
  </si>
  <si>
    <t>K44</t>
  </si>
  <si>
    <t>Klavio</t>
  </si>
  <si>
    <t>Berkley Tech</t>
  </si>
  <si>
    <t>Rosenthal</t>
  </si>
  <si>
    <t>Set up Fees/Maintenance</t>
  </si>
  <si>
    <t>Impello</t>
  </si>
  <si>
    <t>AR Insurance</t>
  </si>
  <si>
    <t>Admin Cost</t>
  </si>
  <si>
    <t>Factoring Invoice Cost</t>
  </si>
  <si>
    <t xml:space="preserve">Perenial Sales </t>
  </si>
  <si>
    <t>Commisson</t>
  </si>
  <si>
    <t>Joseph Resinger</t>
  </si>
  <si>
    <t>Harpia</t>
  </si>
  <si>
    <t>K13</t>
  </si>
  <si>
    <t>JG Group</t>
  </si>
  <si>
    <t>Labor Spend Tab (Link)</t>
  </si>
  <si>
    <t>K18</t>
  </si>
  <si>
    <t>Payroll</t>
  </si>
  <si>
    <t>Benefits</t>
  </si>
  <si>
    <t>K22</t>
  </si>
  <si>
    <t>CableLabs</t>
  </si>
  <si>
    <t>Project</t>
  </si>
  <si>
    <t>Actuarial Services</t>
  </si>
  <si>
    <t>OBS</t>
  </si>
  <si>
    <t>K45</t>
  </si>
  <si>
    <t>Interest</t>
  </si>
  <si>
    <t>Vietnam Project Team</t>
  </si>
  <si>
    <t>Gryphon (AWS Update/ Dev Ops)</t>
  </si>
  <si>
    <t>NRE/Dev Ops</t>
  </si>
  <si>
    <t>Trackstreet</t>
  </si>
  <si>
    <t>EMG</t>
  </si>
  <si>
    <t>Warehouse</t>
  </si>
  <si>
    <t>YTG</t>
  </si>
  <si>
    <t>R&amp;D</t>
  </si>
  <si>
    <t>Cert</t>
  </si>
  <si>
    <t>Total Spend</t>
  </si>
  <si>
    <t>Total Excl Inventory</t>
  </si>
  <si>
    <t>YTD ties</t>
  </si>
  <si>
    <t xml:space="preserve">Total Steve Inv </t>
  </si>
  <si>
    <t>64K turn right away</t>
  </si>
  <si>
    <t>Funding Sources</t>
  </si>
  <si>
    <t>YTD Spend to 11/03</t>
  </si>
  <si>
    <t>LT Spend 11/10 to 6/26</t>
  </si>
  <si>
    <t>Internal Cash YTD 9/30</t>
  </si>
  <si>
    <t>Internal Cash Sales (Bal of Year)</t>
  </si>
  <si>
    <t>Internal Cash  1 2026 to  3/30/26</t>
  </si>
  <si>
    <t>Internal Cash 4/6/26 Forward</t>
  </si>
  <si>
    <t>Investment</t>
  </si>
  <si>
    <t>Loans (TideRock)</t>
  </si>
  <si>
    <t>Total</t>
  </si>
  <si>
    <t>Check this againts the PL</t>
  </si>
  <si>
    <t>Check interest payments (look low)</t>
  </si>
  <si>
    <t>Check NRE against Boss budget</t>
  </si>
  <si>
    <t>Post 13 Week&gt;&gt;</t>
  </si>
  <si>
    <t>Monday of week</t>
  </si>
  <si>
    <t>AR Aging</t>
  </si>
  <si>
    <t>AR (Backlog)</t>
  </si>
  <si>
    <t>AR (Sales Forecast)</t>
  </si>
  <si>
    <t>Varies</t>
  </si>
  <si>
    <t>Biweekly Payroll</t>
  </si>
  <si>
    <t>Invoices</t>
  </si>
  <si>
    <t>Ad hoc</t>
  </si>
  <si>
    <t>Projected Payments</t>
  </si>
  <si>
    <t>AP Aging (by week)</t>
  </si>
  <si>
    <t>AP Forecast (non-inventory)</t>
  </si>
  <si>
    <t>AP Forecast (Open PO)</t>
  </si>
  <si>
    <t>AP Forecast (MRP)</t>
  </si>
  <si>
    <t>Repayment Plan</t>
  </si>
  <si>
    <t>Monthly Invoice (TR)</t>
  </si>
  <si>
    <t>Quarterly Distribution Schedule</t>
  </si>
  <si>
    <t>Include all bank accounts</t>
  </si>
  <si>
    <t>bank recon to update</t>
  </si>
  <si>
    <t>Low Cash</t>
  </si>
  <si>
    <t>Loans</t>
  </si>
  <si>
    <t>f</t>
  </si>
  <si>
    <t>Loan Tracker (Forecast) 11.03.25</t>
  </si>
  <si>
    <t>Loan 6/13 BB</t>
  </si>
  <si>
    <t>Loan 7/18</t>
  </si>
  <si>
    <t>Loan 7/23</t>
  </si>
  <si>
    <t>Loan 7/28</t>
  </si>
  <si>
    <t>Loan 8/18</t>
  </si>
  <si>
    <t>Total Loans</t>
  </si>
  <si>
    <t>Future Needs</t>
  </si>
  <si>
    <t>Total Requirements</t>
  </si>
  <si>
    <t>Repayment Due</t>
  </si>
  <si>
    <t>Loan Tracker (Forecast) 10.27.25</t>
  </si>
  <si>
    <t>Loan 11/17</t>
  </si>
  <si>
    <t>Loan 12/15</t>
  </si>
  <si>
    <t>Loan 12/22</t>
  </si>
  <si>
    <t xml:space="preserve">AR Cash Receipts </t>
  </si>
  <si>
    <t>Get Real Numbers</t>
  </si>
  <si>
    <t>Week 1</t>
  </si>
  <si>
    <t>Week 2</t>
  </si>
  <si>
    <t>Week 3</t>
  </si>
  <si>
    <t>Week 4</t>
  </si>
  <si>
    <t>Week 5</t>
  </si>
  <si>
    <t>Week 6</t>
  </si>
  <si>
    <t>Week 7</t>
  </si>
  <si>
    <t>Week 8</t>
  </si>
  <si>
    <t>Week 9</t>
  </si>
  <si>
    <t>Week 10</t>
  </si>
  <si>
    <t>Week 11</t>
  </si>
  <si>
    <t>Week 12</t>
  </si>
  <si>
    <t>Week 13</t>
  </si>
  <si>
    <t>Microcenter</t>
  </si>
  <si>
    <t>Amazon</t>
  </si>
  <si>
    <t>New Sales</t>
  </si>
  <si>
    <t>Total Cash Receipts</t>
  </si>
  <si>
    <t>- Copy and paste last week submission in this tab</t>
  </si>
  <si>
    <t>Week #</t>
  </si>
  <si>
    <t>- Paste Special -&gt; Values and Number Formats</t>
  </si>
  <si>
    <t>Wages and benefits (payroll)</t>
  </si>
  <si>
    <t>Weekly Payroll</t>
  </si>
  <si>
    <t>Monthly Invoice</t>
  </si>
  <si>
    <t>Monthly or Quarterly</t>
  </si>
  <si>
    <t>Health Benefits</t>
  </si>
  <si>
    <t>Monthly Auto Draw</t>
  </si>
  <si>
    <t>Comments</t>
  </si>
  <si>
    <t>ENDING BOOK BALANCE [CURRENT FORECAST]</t>
  </si>
  <si>
    <t>Pull from CASHFLOW FORECAST CURRENT WEEK</t>
  </si>
  <si>
    <t>ENDING BOOK BALANCE [LAST WEEK FORECAST]</t>
  </si>
  <si>
    <t>Pull from CASHFLOW FORECAST LAST WEEK - make sure it starts at week 2</t>
  </si>
  <si>
    <t>VARIANCE ($)</t>
  </si>
  <si>
    <t>Variance $ [Current - Forecast]</t>
  </si>
  <si>
    <t>VARIANCE (%)</t>
  </si>
  <si>
    <t>Variance % [Current - Forecast]</t>
  </si>
  <si>
    <t>VARIANCE EXPLANATIONS</t>
  </si>
  <si>
    <t>Current Cash Receipts from A/R</t>
  </si>
  <si>
    <t>Variance in AR Aging report</t>
  </si>
  <si>
    <t>Forecasted Receipts</t>
  </si>
  <si>
    <t>Variance in Revenue forecasts [Backlog + Forecast]</t>
  </si>
  <si>
    <t>Accured Payroll Expense (including Bonus)</t>
  </si>
  <si>
    <t xml:space="preserve">Variance in Payroll Liabilities / Accruals </t>
  </si>
  <si>
    <t>Accrued Rent</t>
  </si>
  <si>
    <t>Variance in Accrued Rent / Sales Tax</t>
  </si>
  <si>
    <t xml:space="preserve">Accounts Payable </t>
  </si>
  <si>
    <t>Variance in AP [Aging + Open PO + MRP]</t>
  </si>
  <si>
    <t>Accrued Sales Tax</t>
  </si>
  <si>
    <t>Variance in Accured Sales Tax Expense</t>
  </si>
  <si>
    <t>Accrued Credit Card Expense</t>
  </si>
  <si>
    <t>Variance in Accrued Credit Card Expense</t>
  </si>
  <si>
    <t>All Other</t>
  </si>
  <si>
    <t>All Others, add commentary</t>
  </si>
  <si>
    <t>Prior Week Cash Balance Impact</t>
  </si>
  <si>
    <t>Impact / carry-over from prior week</t>
  </si>
  <si>
    <t>Check</t>
  </si>
  <si>
    <t>Should sum to 0</t>
  </si>
  <si>
    <t>CASH CONVERSION CYCLE ASSUMPTIONS</t>
  </si>
  <si>
    <t>Current</t>
  </si>
  <si>
    <t>Forecasted</t>
  </si>
  <si>
    <t>Reason for Forecast</t>
  </si>
  <si>
    <t>(+) Days Sales Outstanding (DSO)</t>
  </si>
  <si>
    <t>(+) Days Inventory Outstanding (DIO)</t>
  </si>
  <si>
    <t>(-) Days Payable Outstanding (DPO)</t>
  </si>
  <si>
    <t>Cash to Cash Days</t>
  </si>
  <si>
    <t>COMMENTARY ON VARIANCE</t>
  </si>
  <si>
    <t>New Template</t>
  </si>
  <si>
    <t>Wages and Benefits / Accrued Bonus</t>
  </si>
  <si>
    <t>Week 24~~~~~To Date</t>
  </si>
  <si>
    <t>Week 29</t>
  </si>
  <si>
    <t>Week 30</t>
  </si>
  <si>
    <t>Week 31</t>
  </si>
  <si>
    <t>Week 32</t>
  </si>
  <si>
    <t>Week 33</t>
  </si>
  <si>
    <t>Week 34</t>
  </si>
  <si>
    <t>Week 35</t>
  </si>
  <si>
    <t>Week 36</t>
  </si>
  <si>
    <t>Week 37</t>
  </si>
  <si>
    <t>Week 38</t>
  </si>
  <si>
    <t>Week 39</t>
  </si>
  <si>
    <t>Week 40</t>
  </si>
  <si>
    <t>Week 41</t>
  </si>
  <si>
    <t>Week 42</t>
  </si>
  <si>
    <t>Week 43</t>
  </si>
  <si>
    <t>Week 44</t>
  </si>
  <si>
    <t>Week 45</t>
  </si>
  <si>
    <t>Week 46</t>
  </si>
  <si>
    <t>Week 47</t>
  </si>
  <si>
    <t>Week 48</t>
  </si>
  <si>
    <t>Week 49</t>
  </si>
  <si>
    <t>Week 50</t>
  </si>
  <si>
    <t>Week 51</t>
  </si>
  <si>
    <t>Week 52</t>
  </si>
  <si>
    <t>RLOC</t>
  </si>
  <si>
    <t>Debt for Dev and Opex and Inventory (Q15, Q21, B15, P15)</t>
  </si>
  <si>
    <t>NEW SKU's, MULTI-CHANNEL</t>
  </si>
  <si>
    <t>Revenue</t>
  </si>
  <si>
    <t>Q15, Q21, B15, P15 Sales</t>
  </si>
  <si>
    <t>B15 ExWorks</t>
  </si>
  <si>
    <t>Q15 ExWorks</t>
  </si>
  <si>
    <t>B15-E ExWorks</t>
  </si>
  <si>
    <t>Q21 ExWorks</t>
  </si>
  <si>
    <t>Q15 E ExWorks</t>
  </si>
  <si>
    <t>P15 ExWorks</t>
  </si>
  <si>
    <t>Q15 Sales</t>
  </si>
  <si>
    <t>B15 Sales</t>
  </si>
  <si>
    <t>Q21 Sales</t>
  </si>
  <si>
    <t>P15 Sales</t>
  </si>
  <si>
    <t>Q20 Sales</t>
  </si>
  <si>
    <t>Minim.co Inventory Revenue</t>
  </si>
  <si>
    <t>OLD SKU's, SINGLE CHANNEL</t>
  </si>
  <si>
    <t>Legacy All SKUs</t>
  </si>
  <si>
    <t>Evolving from legacy SKU's and single channel (Amazon) to multi-SKU/multi-channel in the USA (via EMG); allows further channel expansion via global disitrbutors</t>
  </si>
  <si>
    <t>STATEMENT on use of DOLLARS</t>
  </si>
  <si>
    <t>Product Development</t>
  </si>
  <si>
    <t>Q15, Q20,Q21, B15, P15</t>
  </si>
  <si>
    <t xml:space="preserve"> $                     -  </t>
  </si>
  <si>
    <t xml:space="preserve"> $             -  </t>
  </si>
  <si>
    <t xml:space="preserve"> $              -  </t>
  </si>
  <si>
    <t xml:space="preserve"> $                -  </t>
  </si>
  <si>
    <t xml:space="preserve"> $               -  </t>
  </si>
  <si>
    <t xml:space="preserve"> $                       -  </t>
  </si>
  <si>
    <t>Q15-RoW</t>
  </si>
  <si>
    <t xml:space="preserve"> $                                        -  </t>
  </si>
  <si>
    <t>B15-RoW</t>
  </si>
  <si>
    <t>Q21</t>
  </si>
  <si>
    <t>Q21-RoW</t>
  </si>
  <si>
    <t>P15-RoW</t>
  </si>
  <si>
    <t>Q20-RoW</t>
  </si>
  <si>
    <t>MotoSync PRO</t>
  </si>
  <si>
    <t>Motosync+ (p15)</t>
  </si>
  <si>
    <t>Product Inventory</t>
  </si>
  <si>
    <t>Sales</t>
  </si>
  <si>
    <t>Memory Chips</t>
  </si>
  <si>
    <t>B12</t>
  </si>
  <si>
    <t>Amazon SP</t>
  </si>
  <si>
    <t>Issoy SP</t>
  </si>
  <si>
    <t>Units Sold to Issoy</t>
  </si>
  <si>
    <t>Top line lost</t>
  </si>
  <si>
    <t>Retail Sales line</t>
  </si>
  <si>
    <t>Years (Date)</t>
  </si>
  <si>
    <t>Date</t>
  </si>
  <si>
    <t>Sum of Amount</t>
  </si>
  <si>
    <t>2025</t>
  </si>
  <si>
    <t>D q15</t>
  </si>
  <si>
    <t>D q15 Total</t>
  </si>
  <si>
    <t>D q21</t>
  </si>
  <si>
    <t>D q21 Total</t>
  </si>
  <si>
    <t>Dq21</t>
  </si>
  <si>
    <t>Dq21 Total</t>
  </si>
  <si>
    <t>I</t>
  </si>
  <si>
    <t>I Total</t>
  </si>
  <si>
    <t>I Q15</t>
  </si>
  <si>
    <t>I Q15 Total</t>
  </si>
  <si>
    <t>I Q21</t>
  </si>
  <si>
    <t>I Q21 Total</t>
  </si>
  <si>
    <t>2025 Total</t>
  </si>
  <si>
    <t>2026</t>
  </si>
  <si>
    <t>2026 Total</t>
  </si>
  <si>
    <t>Grand Total</t>
  </si>
  <si>
    <t>Payment Schedule</t>
    <phoneticPr fontId="3" type="noConversion"/>
  </si>
  <si>
    <t>Date</t>
    <phoneticPr fontId="3" type="noConversion"/>
  </si>
  <si>
    <t>Amount</t>
    <phoneticPr fontId="3" type="noConversion"/>
  </si>
  <si>
    <t>Project</t>
    <phoneticPr fontId="3" type="noConversion"/>
  </si>
  <si>
    <t>Premier&amp;Moto Model</t>
    <phoneticPr fontId="3" type="noConversion"/>
  </si>
  <si>
    <t>Note</t>
    <phoneticPr fontId="3" type="noConversion"/>
  </si>
  <si>
    <t>MNQ15 EU</t>
    <phoneticPr fontId="3" type="noConversion"/>
  </si>
  <si>
    <t>MNQ1525-30W-E</t>
  </si>
  <si>
    <t>50% of the development cost</t>
    <phoneticPr fontId="3" type="noConversion"/>
  </si>
  <si>
    <t>30% Deposit  of 5K PO</t>
    <phoneticPr fontId="3" type="noConversion"/>
  </si>
  <si>
    <t>MNQ15 ANZ</t>
  </si>
  <si>
    <t>MNQ1525-30W-A</t>
  </si>
  <si>
    <t>MNQ15 ANZ</t>
    <phoneticPr fontId="3" type="noConversion"/>
  </si>
  <si>
    <t>MNQ15&amp;MNQ21 DDR</t>
    <phoneticPr fontId="3" type="noConversion"/>
  </si>
  <si>
    <t>MNQ15&amp;MNQ21</t>
    <phoneticPr fontId="3" type="noConversion"/>
  </si>
  <si>
    <t>Deposit for 100K 1GB DDR4</t>
    <phoneticPr fontId="3" type="noConversion"/>
  </si>
  <si>
    <t xml:space="preserve">MNQ21 US </t>
  </si>
  <si>
    <t>MNQ1525-30W-U</t>
  </si>
  <si>
    <t>MNQ21 EU</t>
  </si>
  <si>
    <t>MNQ2126-30W-E</t>
  </si>
  <si>
    <t>MNQ21 ANZ</t>
  </si>
  <si>
    <t>MNQ2126-30W-A</t>
  </si>
  <si>
    <t>MNQ1525</t>
  </si>
  <si>
    <t>200Units Engneer sample and shipping cost</t>
    <phoneticPr fontId="3" type="noConversion"/>
  </si>
  <si>
    <t>Rest payment of the development cost</t>
    <phoneticPr fontId="3" type="noConversion"/>
  </si>
  <si>
    <t>Rest payment of the 10K PO before shippment</t>
    <phoneticPr fontId="3" type="noConversion"/>
  </si>
  <si>
    <t>Rest payment   of 5K PO</t>
    <phoneticPr fontId="3" type="noConversion"/>
  </si>
  <si>
    <t>30% Deposit  of 3K PO</t>
    <phoneticPr fontId="3" type="noConversion"/>
  </si>
  <si>
    <t>Rest payment   of 3K PO</t>
    <phoneticPr fontId="3" type="noConversion"/>
  </si>
  <si>
    <t>MNQ15 US  2pcs Packing</t>
    <phoneticPr fontId="3" type="noConversion"/>
  </si>
  <si>
    <t>MNQ1525-D30W-U</t>
  </si>
  <si>
    <t>MNQ1525-D30W-U  2K PO 30% Deposit</t>
    <phoneticPr fontId="3" type="noConversion"/>
  </si>
  <si>
    <t>MNQ15US  3pcs Packing</t>
    <phoneticPr fontId="3" type="noConversion"/>
  </si>
  <si>
    <t>MNQ1525-M30W-U</t>
    <phoneticPr fontId="3" type="noConversion"/>
  </si>
  <si>
    <t>MNQ1525-M30W-U 2K PO 30% Deposit</t>
    <phoneticPr fontId="3" type="noConversion"/>
  </si>
  <si>
    <t>MNQ1525-D30W-U</t>
    <phoneticPr fontId="3" type="noConversion"/>
  </si>
  <si>
    <t>MNQ1525-D30W-U  2K PO Rest Payment</t>
    <phoneticPr fontId="3" type="noConversion"/>
  </si>
  <si>
    <t>MNQ1525-M30W-U 2K PO  Rest Payment</t>
    <phoneticPr fontId="3" type="noConversion"/>
  </si>
  <si>
    <t>MNQ21 US  2pcs Packing</t>
    <phoneticPr fontId="3" type="noConversion"/>
  </si>
  <si>
    <t>MNQ2126-D30W-U</t>
  </si>
  <si>
    <t>MNQ2126-D30W-U 1K PO 30% Deposit</t>
    <phoneticPr fontId="3" type="noConversion"/>
  </si>
  <si>
    <t>MNQ21 US  3pcs Packing</t>
    <phoneticPr fontId="3" type="noConversion"/>
  </si>
  <si>
    <t>MNQ2126-M30W-U</t>
  </si>
  <si>
    <t>MNQ2126-M30W-U 1K PO   30% Deposit</t>
    <phoneticPr fontId="3" type="noConversion"/>
  </si>
  <si>
    <t>MNQ2126-D30W-U 1K PO Rest Payment</t>
    <phoneticPr fontId="3" type="noConversion"/>
  </si>
  <si>
    <t>MNQ2126-M30W-U 1K PO Rest Payment</t>
    <phoneticPr fontId="3" type="noConversion"/>
  </si>
  <si>
    <t>Projects</t>
  </si>
  <si>
    <t>Resource Cost Table (Monthly)</t>
  </si>
  <si>
    <t>SOW #5</t>
  </si>
  <si>
    <t>Resources</t>
  </si>
  <si>
    <t>May</t>
  </si>
  <si>
    <t>June</t>
  </si>
  <si>
    <t>July</t>
  </si>
  <si>
    <t>Aug</t>
  </si>
  <si>
    <t>Sept</t>
  </si>
  <si>
    <t>Firmware</t>
  </si>
  <si>
    <t>Linux, SPF12.5, Open WRT Security Updates</t>
  </si>
  <si>
    <t>No Security or Open WRT update until after MQ14 is done</t>
  </si>
  <si>
    <t>App</t>
  </si>
  <si>
    <t>QA</t>
  </si>
  <si>
    <t>Project Mgr</t>
  </si>
  <si>
    <t>Tier 2 Support</t>
  </si>
  <si>
    <t>Total Cost</t>
  </si>
  <si>
    <t>SOW #6</t>
  </si>
  <si>
    <t>MQ20 and 8972 release and Maintenance
1. Slow deployment of 8702 from Minim to Premier server.
2. Bug triage, rootcause, fix if resonable issues</t>
  </si>
  <si>
    <t>1. Launching MQ20 in July</t>
  </si>
  <si>
    <t xml:space="preserve">2 May-June: Factory support and </t>
  </si>
  <si>
    <t>8702 slow deployment</t>
  </si>
  <si>
    <t>3. EU language update and RF update</t>
  </si>
  <si>
    <t>4. No new features and no major issues</t>
  </si>
  <si>
    <t>SOW #7</t>
  </si>
  <si>
    <t>MQ15
1. This will be on SPF12.5, with updated OpenWRT and Linux kernel.
2. Same Firmware will be tested with MQ20</t>
  </si>
  <si>
    <t>1. Ramp in May</t>
  </si>
  <si>
    <t>2. No or minimal CSL involvement</t>
  </si>
  <si>
    <t xml:space="preserve">3. Any change in factory schedule, </t>
  </si>
  <si>
    <t>req change, accptance criteria will</t>
  </si>
  <si>
    <t>impact this number.</t>
  </si>
  <si>
    <t>No New features</t>
  </si>
  <si>
    <t>SOW #8</t>
  </si>
  <si>
    <t>1. AWS Server Support for all projects including MQ20, 8702, and MQ15, 
2. EU support
2.New AWS VPN server with  EU support</t>
  </si>
  <si>
    <t>covered by #7</t>
  </si>
  <si>
    <t>SOW #9 (optional)</t>
  </si>
  <si>
    <t>Homebound Feature Upgrade
1. New AWS VPN server with EU covered by #8
2. Re-Branding HomeBound App
3. FUT 1-month in July</t>
  </si>
  <si>
    <t>1. No CLS</t>
  </si>
  <si>
    <t>2. 1 month integration, 1 month FUT</t>
  </si>
  <si>
    <t>3. App rebranding limited to logo</t>
  </si>
  <si>
    <t>and color. No MULTI Lang support</t>
  </si>
  <si>
    <t xml:space="preserve">Covered by #8 </t>
  </si>
  <si>
    <t>Total Cost (All)</t>
  </si>
  <si>
    <t>Post 13 Week</t>
  </si>
  <si>
    <t>Week Ending</t>
  </si>
  <si>
    <t>Inventory (updated)</t>
  </si>
  <si>
    <t xml:space="preserve">CCC metrics; </t>
  </si>
  <si>
    <t>Weekly Avg</t>
  </si>
  <si>
    <t>ACTUAL</t>
  </si>
  <si>
    <t>FORECAST</t>
  </si>
  <si>
    <t>VARIANCE to ACTUAL</t>
  </si>
  <si>
    <t>PLAN</t>
  </si>
  <si>
    <t>MG8702</t>
  </si>
  <si>
    <t>order</t>
  </si>
  <si>
    <t>recv</t>
  </si>
  <si>
    <t>5k + 6k</t>
  </si>
  <si>
    <t>Revised Weekly Average</t>
  </si>
  <si>
    <t>Revenues Adjusted for Terms</t>
  </si>
  <si>
    <t>Gross Receipts by Channel</t>
  </si>
  <si>
    <t>DTC</t>
  </si>
  <si>
    <t>B2B</t>
  </si>
  <si>
    <t>Distribution</t>
  </si>
  <si>
    <t>Channel Deductions</t>
  </si>
  <si>
    <t>Net Receipts</t>
  </si>
  <si>
    <t>Biweekly</t>
  </si>
  <si>
    <t>K8</t>
  </si>
  <si>
    <t>Sales and Marketing (Dariush)</t>
  </si>
  <si>
    <t>K9</t>
  </si>
  <si>
    <t>Bonus</t>
  </si>
  <si>
    <t>K10</t>
  </si>
  <si>
    <t>Controller/Carolyn</t>
  </si>
  <si>
    <t>K11</t>
  </si>
  <si>
    <t>K12</t>
  </si>
  <si>
    <t>MD Garden</t>
  </si>
  <si>
    <t>K14</t>
  </si>
  <si>
    <t>Customer Care</t>
  </si>
  <si>
    <t>K17</t>
  </si>
  <si>
    <t>CTO &amp; VP Product Mgt, Amy, Simone</t>
  </si>
  <si>
    <t>Staff</t>
  </si>
  <si>
    <t>VP Transformation</t>
  </si>
  <si>
    <t>K*H</t>
  </si>
  <si>
    <t>An mo</t>
  </si>
  <si>
    <t>Prorata</t>
  </si>
  <si>
    <t>New Hire</t>
  </si>
  <si>
    <t>Later, Contract for now</t>
  </si>
  <si>
    <t>CTO</t>
  </si>
  <si>
    <t>Marketing Manager</t>
  </si>
  <si>
    <t>TBD</t>
  </si>
  <si>
    <t>CFO/Controller</t>
  </si>
  <si>
    <t>Current EE</t>
  </si>
  <si>
    <t>CDO</t>
  </si>
  <si>
    <t>CEO</t>
  </si>
  <si>
    <t>CPM</t>
  </si>
  <si>
    <t>Terminated</t>
  </si>
  <si>
    <t>VP Sales</t>
  </si>
  <si>
    <t>Project Management</t>
  </si>
  <si>
    <t>Customer Service</t>
  </si>
  <si>
    <t>Accounting</t>
  </si>
  <si>
    <t>Start with 25K until we get clarity on goals and EBITA requirment</t>
  </si>
  <si>
    <t xml:space="preserve">Benefits </t>
  </si>
  <si>
    <t>Medical</t>
  </si>
  <si>
    <t>401k</t>
  </si>
  <si>
    <t>Area</t>
  </si>
  <si>
    <t>Staff &amp; Contractors</t>
  </si>
  <si>
    <t>Direct to Consumer / Marketplace Sales</t>
  </si>
  <si>
    <t>MD House Garden</t>
  </si>
  <si>
    <t>Creative Development - Project Work</t>
  </si>
  <si>
    <t>Sydney Sugarman</t>
  </si>
  <si>
    <t>Creative Development - Fraqctional FTE</t>
  </si>
  <si>
    <t>TBC</t>
  </si>
  <si>
    <t>CRM Marketing</t>
  </si>
  <si>
    <t>Sales Operations - Fractional FTE</t>
  </si>
  <si>
    <t>Fractional CTO</t>
  </si>
  <si>
    <t>Head of Marketing / CMO</t>
  </si>
  <si>
    <t xml:space="preserve">PR </t>
  </si>
  <si>
    <t>Agency</t>
  </si>
  <si>
    <t>Incidentals - Press Releases</t>
  </si>
  <si>
    <t>Incidentals - Other</t>
  </si>
  <si>
    <t>Software</t>
  </si>
  <si>
    <t>Klaviyo - CRM Software</t>
  </si>
  <si>
    <t>Klaviyo</t>
  </si>
  <si>
    <t>Pipedrive - CRM Software / Replace SFDC</t>
  </si>
  <si>
    <t>Pipedrive</t>
  </si>
  <si>
    <t>IFA - Meeting Facility</t>
  </si>
  <si>
    <t>IFA</t>
  </si>
  <si>
    <t>CES 2025 - Meeting Room or Moto Stand</t>
  </si>
  <si>
    <t>CES 2025</t>
  </si>
  <si>
    <t>MWC 2025 - Meeting Room or Moto Stand</t>
  </si>
  <si>
    <t>MWC 2025</t>
  </si>
  <si>
    <t>Total All Spend</t>
  </si>
  <si>
    <t>Annual</t>
  </si>
  <si>
    <t xml:space="preserve">Added </t>
  </si>
  <si>
    <t>Product Management</t>
  </si>
  <si>
    <t>Joe</t>
  </si>
  <si>
    <t>bi weekly</t>
  </si>
  <si>
    <t>After 90 days</t>
  </si>
  <si>
    <t>Amy</t>
  </si>
  <si>
    <t>per month</t>
  </si>
  <si>
    <t>PO#</t>
  </si>
  <si>
    <t>Item No.</t>
  </si>
  <si>
    <t>T&amp;W PN</t>
  </si>
  <si>
    <t>Quantity(PCS)</t>
  </si>
  <si>
    <t>Unit Price(USD)</t>
  </si>
  <si>
    <t>Amount(USD)</t>
  </si>
  <si>
    <t>FF</t>
  </si>
  <si>
    <t>Invoice#</t>
  </si>
  <si>
    <t>25% Balance</t>
  </si>
  <si>
    <t>Due date</t>
  </si>
  <si>
    <t>PO#3</t>
  </si>
  <si>
    <t>B12-30-10</t>
  </si>
  <si>
    <t>CABLE-BCM131-0003</t>
  </si>
  <si>
    <t>flexport</t>
  </si>
  <si>
    <t>PRE2025032501</t>
  </si>
  <si>
    <t>MG8702-30-1</t>
  </si>
  <si>
    <t>CGAW-BCM051-0001</t>
  </si>
  <si>
    <t>PRE2025032201</t>
  </si>
  <si>
    <t>PRE2025032202</t>
  </si>
  <si>
    <t>Op Ex</t>
  </si>
  <si>
    <t>Company</t>
  </si>
  <si>
    <t>Notes</t>
  </si>
  <si>
    <t>K1</t>
  </si>
  <si>
    <t>SOW1</t>
  </si>
  <si>
    <t>K2</t>
  </si>
  <si>
    <t>SOW2</t>
  </si>
  <si>
    <t>K3</t>
  </si>
  <si>
    <t>SOW3-2b</t>
  </si>
  <si>
    <t>SOW3-2c</t>
  </si>
  <si>
    <t>K5</t>
  </si>
  <si>
    <t>SOW3-3</t>
  </si>
  <si>
    <t>K6</t>
  </si>
  <si>
    <t>Grpyhon</t>
  </si>
  <si>
    <t>6e Samples</t>
  </si>
  <si>
    <t>DB Transition</t>
  </si>
  <si>
    <t>AH Group</t>
  </si>
  <si>
    <t>Adriannes</t>
  </si>
  <si>
    <t>ATEL Oversight</t>
  </si>
  <si>
    <t>Controller/other consultant</t>
  </si>
  <si>
    <t>CK</t>
  </si>
  <si>
    <t>DV</t>
  </si>
  <si>
    <t>K15</t>
  </si>
  <si>
    <t>EPiDox</t>
  </si>
  <si>
    <t>Admin</t>
  </si>
  <si>
    <t>K19</t>
  </si>
  <si>
    <t>K20</t>
  </si>
  <si>
    <t>K21</t>
  </si>
  <si>
    <t>K28</t>
  </si>
  <si>
    <t>Google</t>
  </si>
  <si>
    <t>Microsoft</t>
  </si>
  <si>
    <t>Check to monthly spend</t>
  </si>
  <si>
    <t>Quickbooks</t>
  </si>
  <si>
    <t>AP Aging - PGL</t>
  </si>
  <si>
    <t>Susan Payroll</t>
  </si>
  <si>
    <t>TR Interest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</si>
</sst>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5" formatCode="&quot;$&quot;#,##0_);\(&quot;$&quot;#,##0\)"/>
    <numFmt numFmtId="6" formatCode="&quot;$&quot;#,##0_);[Red]\(&quot;$&quot;#,##0\)"/>
    <numFmt numFmtId="8" formatCode="&quot;$&quot;#,##0.00_);[Red]\(&quot;$&quot;#,##0.00\)"/>
    <numFmt numFmtId="44" formatCode="_(&quot;$&quot;* #,##0.00_);_(&quot;$&quot;* \(#,##0.00\);_(&quot;$&quot;* &quot;-&quot;??_);_(@_)"/>
    <numFmt numFmtId="43" formatCode="_(* #,##0.00_);_(* \(#,##0.00\);_(* &quot;-&quot;??_);_(@_)"/>
    <numFmt numFmtId="164" formatCode="[$-409]d\-mmm"/>
    <numFmt numFmtId="165" formatCode="_(* #,##0_);_(* \(#,##0\);_(* &quot;-&quot;??_);_(@_)"/>
    <numFmt numFmtId="166" formatCode="_(&quot;$&quot;* #,##0_);_(&quot;$&quot;* \(#,##0\);_(&quot;$&quot;* &quot;-&quot;??_);_(@_)"/>
    <numFmt numFmtId="167" formatCode="_-&quot;$&quot;* #,##0.00_-;\-&quot;$&quot;* #,##0.00_-;_-&quot;$&quot;* &quot;-&quot;??_-;_-@"/>
    <numFmt numFmtId="168" formatCode="&quot;$&quot;#,##0"/>
    <numFmt numFmtId="169" formatCode="\$#,##0.00;[Red]\$#,##0.00"/>
    <numFmt numFmtId="170" formatCode="0.00;[Red]0.00"/>
    <numFmt numFmtId="171" formatCode="\$#,##0_);[Red]\(\$#,##0\)"/>
    <numFmt numFmtId="172" formatCode="#,##0.00;[Red]#,##0.00"/>
    <numFmt numFmtId="173" formatCode="#,##0.0;[Red]#,##0.0"/>
    <numFmt numFmtId="174" formatCode="[$-F800]dddd\,\ mmmm\ dd\,\ yyyy"/>
  </numFmts>
  <fonts count="53"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b/>
      <sz val="14"/>
      <color theme="1"/>
      <name val="Calibri"/>
      <family val="2"/>
    </font>
    <font>
      <sz val="11"/>
      <name val="Calibri"/>
      <family val="2"/>
    </font>
    <font>
      <sz val="11"/>
      <color theme="1"/>
      <name val="Calibri"/>
      <family val="2"/>
    </font>
    <font>
      <b/>
      <sz val="11"/>
      <color theme="0"/>
      <name val="Calibri"/>
      <family val="2"/>
    </font>
    <font>
      <b/>
      <u/>
      <sz val="11"/>
      <color theme="0"/>
      <name val="Calibri"/>
      <family val="2"/>
    </font>
    <font>
      <b/>
      <sz val="11"/>
      <color theme="1"/>
      <name val="Calibri"/>
      <family val="2"/>
    </font>
    <font>
      <b/>
      <u/>
      <sz val="11"/>
      <color theme="1"/>
      <name val="Calibri"/>
      <family val="2"/>
    </font>
    <font>
      <sz val="11"/>
      <color rgb="FF4472C4"/>
      <name val="Calibri"/>
      <family val="2"/>
    </font>
    <font>
      <i/>
      <sz val="11"/>
      <color theme="1"/>
      <name val="Calibri"/>
      <family val="2"/>
    </font>
    <font>
      <b/>
      <sz val="11"/>
      <color rgb="FFFF0000"/>
      <name val="Calibri"/>
      <family val="2"/>
    </font>
    <font>
      <sz val="11"/>
      <color theme="4"/>
      <name val="Calibri"/>
      <family val="2"/>
    </font>
    <font>
      <sz val="11"/>
      <color theme="0"/>
      <name val="Calibri"/>
      <family val="2"/>
    </font>
    <font>
      <b/>
      <sz val="16"/>
      <color theme="1"/>
      <name val="Calibri"/>
      <family val="2"/>
    </font>
    <font>
      <b/>
      <sz val="12"/>
      <color theme="1"/>
      <name val="Calibri"/>
      <family val="2"/>
    </font>
    <font>
      <b/>
      <sz val="10"/>
      <color rgb="FF000000"/>
      <name val="Arial"/>
      <family val="2"/>
    </font>
    <font>
      <sz val="9"/>
      <color theme="1"/>
      <name val="Quattrocento Sans"/>
      <family val="2"/>
    </font>
    <font>
      <sz val="11"/>
      <color rgb="FFFF0000"/>
      <name val="Calibri"/>
      <family val="2"/>
    </font>
    <font>
      <sz val="11"/>
      <color theme="1"/>
      <name val="Calibri"/>
      <family val="2"/>
      <scheme val="minor"/>
    </font>
    <font>
      <b/>
      <sz val="11"/>
      <color theme="1"/>
      <name val="Calibri"/>
      <family val="2"/>
      <scheme val="minor"/>
    </font>
    <font>
      <sz val="11"/>
      <color theme="1"/>
      <name val="Calibri"/>
      <family val="2"/>
      <scheme val="minor"/>
    </font>
    <font>
      <b/>
      <sz val="12"/>
      <color theme="1"/>
      <name val="Calibri"/>
      <family val="2"/>
      <scheme val="minor"/>
    </font>
    <font>
      <b/>
      <sz val="10"/>
      <color rgb="FF000000"/>
      <name val="Tahoma"/>
      <family val="2"/>
    </font>
    <font>
      <sz val="10"/>
      <color rgb="FF000000"/>
      <name val="Tahoma"/>
      <family val="2"/>
    </font>
    <font>
      <b/>
      <sz val="12"/>
      <color theme="1"/>
      <name val="Calibri"/>
      <family val="3"/>
      <charset val="134"/>
      <scheme val="minor"/>
    </font>
    <font>
      <b/>
      <sz val="11"/>
      <color theme="1"/>
      <name val="Calibri"/>
      <family val="3"/>
      <charset val="134"/>
      <scheme val="minor"/>
    </font>
    <font>
      <sz val="11"/>
      <color theme="1"/>
      <name val="Calibri"/>
      <family val="3"/>
      <charset val="134"/>
      <scheme val="minor"/>
    </font>
    <font>
      <sz val="11"/>
      <color theme="4" tint="-0.249977111117893"/>
      <name val="Calibri"/>
      <family val="2"/>
      <scheme val="minor"/>
    </font>
    <font>
      <sz val="10"/>
      <color theme="1"/>
      <name val="Aptos"/>
      <family val="2"/>
    </font>
    <font>
      <sz val="10"/>
      <color rgb="FF000000"/>
      <name val="Aptos"/>
      <family val="2"/>
    </font>
    <font>
      <sz val="10"/>
      <color rgb="FF000000"/>
      <name val="Times New Roman"/>
      <family val="1"/>
    </font>
    <font>
      <b/>
      <sz val="10"/>
      <color rgb="FFFF0000"/>
      <name val="Aptos"/>
      <family val="2"/>
    </font>
    <font>
      <b/>
      <sz val="10"/>
      <color rgb="FFFF0000"/>
      <name val="Times New Roman"/>
      <family val="1"/>
    </font>
    <font>
      <sz val="8"/>
      <name val="Calibri"/>
      <family val="2"/>
      <scheme val="minor"/>
    </font>
    <font>
      <sz val="9"/>
      <color indexed="81"/>
      <name val="Tahoma"/>
      <family val="2"/>
    </font>
    <font>
      <b/>
      <sz val="9"/>
      <color indexed="81"/>
      <name val="Tahoma"/>
      <family val="2"/>
    </font>
    <font>
      <sz val="12"/>
      <color theme="1"/>
      <name val="Aptos Narrow"/>
      <family val="2"/>
    </font>
    <font>
      <sz val="12"/>
      <color theme="1"/>
      <name val="Calibri"/>
      <family val="2"/>
      <scheme val="minor"/>
    </font>
    <font>
      <b/>
      <sz val="22"/>
      <color theme="1"/>
      <name val="Calibri"/>
      <family val="2"/>
      <scheme val="minor"/>
    </font>
    <font>
      <b/>
      <sz val="16"/>
      <color theme="1"/>
      <name val="Calibri"/>
      <family val="2"/>
      <scheme val="minor"/>
    </font>
    <font>
      <b/>
      <i/>
      <sz val="11"/>
      <color theme="1"/>
      <name val="Calibri"/>
      <family val="2"/>
    </font>
    <font>
      <b/>
      <i/>
      <sz val="11"/>
      <color theme="0"/>
      <name val="Calibri"/>
      <family val="2"/>
    </font>
    <font>
      <b/>
      <i/>
      <sz val="11"/>
      <color theme="1"/>
      <name val="Calibri"/>
      <family val="2"/>
      <scheme val="minor"/>
    </font>
    <font>
      <b/>
      <sz val="9"/>
      <color rgb="FF000000"/>
      <name val="Tahoma"/>
      <family val="2"/>
    </font>
    <font>
      <sz val="9"/>
      <color rgb="FF000000"/>
      <name val="Tahoma"/>
      <family val="2"/>
    </font>
    <font>
      <sz val="11"/>
      <color rgb="FFFF0000"/>
      <name val="Calibri"/>
      <family val="2"/>
      <scheme val="minor"/>
    </font>
    <font>
      <b/>
      <sz val="11"/>
      <color rgb="FF000000"/>
      <name val="Calibri"/>
      <family val="2"/>
    </font>
    <font>
      <b/>
      <sz val="11"/>
      <name val="Calibri"/>
      <family val="2"/>
      <scheme val="minor"/>
    </font>
    <font>
      <b/>
      <sz val="8"/>
      <color rgb="FFFF0000"/>
      <name val="Arial"/>
      <family val="2"/>
    </font>
    <font>
      <strike/>
      <sz val="11"/>
      <color theme="1"/>
      <name val="Calibri"/>
      <family val="2"/>
    </font>
  </fonts>
  <fills count="63">
    <fill>
      <patternFill patternType="none"/>
    </fill>
    <fill>
      <patternFill patternType="gray125"/>
    </fill>
    <fill>
      <patternFill patternType="solid">
        <fgColor theme="0"/>
        <bgColor theme="0"/>
      </patternFill>
    </fill>
    <fill>
      <patternFill patternType="solid">
        <fgColor theme="4"/>
        <bgColor theme="4"/>
      </patternFill>
    </fill>
    <fill>
      <patternFill patternType="solid">
        <fgColor theme="7"/>
        <bgColor theme="7"/>
      </patternFill>
    </fill>
    <fill>
      <patternFill patternType="solid">
        <fgColor rgb="FFFEF2CB"/>
        <bgColor rgb="FFFEF2CB"/>
      </patternFill>
    </fill>
    <fill>
      <patternFill patternType="solid">
        <fgColor rgb="FFD9E2F3"/>
        <bgColor rgb="FFD9E2F3"/>
      </patternFill>
    </fill>
    <fill>
      <patternFill patternType="solid">
        <fgColor rgb="FF7F7F7F"/>
        <bgColor rgb="FF7F7F7F"/>
      </patternFill>
    </fill>
    <fill>
      <patternFill patternType="solid">
        <fgColor rgb="FFA5A5A5"/>
        <bgColor rgb="FFA5A5A5"/>
      </patternFill>
    </fill>
    <fill>
      <patternFill patternType="solid">
        <fgColor rgb="FFFFFF00"/>
        <bgColor rgb="FFFFFF00"/>
      </patternFill>
    </fill>
    <fill>
      <patternFill patternType="solid">
        <fgColor rgb="FF00FFFF"/>
        <bgColor rgb="FF00FFFF"/>
      </patternFill>
    </fill>
    <fill>
      <patternFill patternType="solid">
        <fgColor rgb="FFFF0000"/>
        <bgColor rgb="FFFF0000"/>
      </patternFill>
    </fill>
    <fill>
      <patternFill patternType="solid">
        <fgColor rgb="FFBFBFBF"/>
        <bgColor rgb="FFBFBFBF"/>
      </patternFill>
    </fill>
    <fill>
      <patternFill patternType="solid">
        <fgColor rgb="FFE5E5E5"/>
        <bgColor rgb="FFE5E5E5"/>
      </patternFill>
    </fill>
    <fill>
      <patternFill patternType="solid">
        <fgColor rgb="FFE69138"/>
        <bgColor rgb="FFE69138"/>
      </patternFill>
    </fill>
    <fill>
      <patternFill patternType="solid">
        <fgColor rgb="FFB6D7A8"/>
        <bgColor rgb="FFB6D7A8"/>
      </patternFill>
    </fill>
    <fill>
      <patternFill patternType="solid">
        <fgColor rgb="FFFFF2CC"/>
        <bgColor rgb="FFFFF2CC"/>
      </patternFill>
    </fill>
    <fill>
      <patternFill patternType="solid">
        <fgColor rgb="FFFFFFFF"/>
        <bgColor rgb="FFFFFFFF"/>
      </patternFill>
    </fill>
    <fill>
      <patternFill patternType="solid">
        <fgColor rgb="FFDEEAF6"/>
        <bgColor rgb="FFDEEAF6"/>
      </patternFill>
    </fill>
    <fill>
      <patternFill patternType="solid">
        <fgColor rgb="FFFFC000"/>
        <bgColor rgb="FFFFC000"/>
      </patternFill>
    </fill>
    <fill>
      <patternFill patternType="solid">
        <fgColor rgb="FFFFFF00"/>
        <bgColor indexed="64"/>
      </patternFill>
    </fill>
    <fill>
      <patternFill patternType="solid">
        <fgColor rgb="FFFF0000"/>
        <bgColor indexed="64"/>
      </patternFill>
    </fill>
    <fill>
      <patternFill patternType="solid">
        <fgColor theme="9"/>
        <bgColor indexed="64"/>
      </patternFill>
    </fill>
    <fill>
      <patternFill patternType="solid">
        <fgColor theme="8" tint="0.79998168889431442"/>
        <bgColor indexed="64"/>
      </patternFill>
    </fill>
    <fill>
      <patternFill patternType="solid">
        <fgColor theme="0"/>
        <bgColor indexed="64"/>
      </patternFill>
    </fill>
    <fill>
      <patternFill patternType="solid">
        <fgColor rgb="FFFFFFFF"/>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rgb="FF92D050"/>
        <bgColor indexed="64"/>
      </patternFill>
    </fill>
    <fill>
      <patternFill patternType="solid">
        <fgColor theme="5" tint="0.79998168889431442"/>
        <bgColor indexed="64"/>
      </patternFill>
    </fill>
    <fill>
      <patternFill patternType="solid">
        <fgColor theme="3" tint="0.89999084444715716"/>
        <bgColor indexed="64"/>
      </patternFill>
    </fill>
    <fill>
      <patternFill patternType="solid">
        <fgColor theme="9" tint="0.79998168889431442"/>
        <bgColor indexed="64"/>
      </patternFill>
    </fill>
    <fill>
      <patternFill patternType="solid">
        <fgColor theme="5" tint="0.79998168889431442"/>
        <bgColor rgb="FFFEF2CB"/>
      </patternFill>
    </fill>
    <fill>
      <patternFill patternType="solid">
        <fgColor theme="5" tint="0.79998168889431442"/>
        <bgColor rgb="FFE2EFD9"/>
      </patternFill>
    </fill>
    <fill>
      <patternFill patternType="solid">
        <fgColor theme="5" tint="0.79998168889431442"/>
        <bgColor rgb="FFFFFF00"/>
      </patternFill>
    </fill>
    <fill>
      <patternFill patternType="solid">
        <fgColor theme="7" tint="0.79998168889431442"/>
        <bgColor rgb="FFFEF2CB"/>
      </patternFill>
    </fill>
    <fill>
      <patternFill patternType="solid">
        <fgColor theme="7" tint="0.79998168889431442"/>
        <bgColor rgb="FFFFFF00"/>
      </patternFill>
    </fill>
    <fill>
      <patternFill patternType="solid">
        <fgColor theme="7" tint="0.79998168889431442"/>
        <bgColor indexed="64"/>
      </patternFill>
    </fill>
    <fill>
      <patternFill patternType="solid">
        <fgColor theme="7" tint="0.79998168889431442"/>
        <bgColor rgb="FFD8D8D8"/>
      </patternFill>
    </fill>
    <fill>
      <patternFill patternType="solid">
        <fgColor theme="7" tint="0.79998168889431442"/>
        <bgColor rgb="FF00FFFF"/>
      </patternFill>
    </fill>
    <fill>
      <patternFill patternType="solid">
        <fgColor theme="7" tint="0.79998168889431442"/>
        <bgColor rgb="FFE2EFD9"/>
      </patternFill>
    </fill>
    <fill>
      <patternFill patternType="solid">
        <fgColor theme="6" tint="0.79998168889431442"/>
        <bgColor rgb="FFFEF2CB"/>
      </patternFill>
    </fill>
    <fill>
      <patternFill patternType="solid">
        <fgColor theme="6" tint="0.79998168889431442"/>
        <bgColor rgb="FFD8D8D8"/>
      </patternFill>
    </fill>
    <fill>
      <patternFill patternType="solid">
        <fgColor theme="6" tint="0.79998168889431442"/>
        <bgColor indexed="64"/>
      </patternFill>
    </fill>
    <fill>
      <patternFill patternType="solid">
        <fgColor theme="6" tint="0.79998168889431442"/>
        <bgColor rgb="FFFFFF00"/>
      </patternFill>
    </fill>
    <fill>
      <patternFill patternType="solid">
        <fgColor theme="6" tint="0.79998168889431442"/>
        <bgColor rgb="FFE2EFD9"/>
      </patternFill>
    </fill>
    <fill>
      <patternFill patternType="solid">
        <fgColor theme="5" tint="0.79998168889431442"/>
        <bgColor rgb="FFD8D8D8"/>
      </patternFill>
    </fill>
    <fill>
      <patternFill patternType="solid">
        <fgColor theme="6" tint="0.79998168889431442"/>
        <bgColor rgb="FFFBE4D5"/>
      </patternFill>
    </fill>
    <fill>
      <patternFill patternType="solid">
        <fgColor theme="6" tint="0.79998168889431442"/>
        <bgColor rgb="FFFF0000"/>
      </patternFill>
    </fill>
    <fill>
      <patternFill patternType="solid">
        <fgColor theme="5" tint="0.79998168889431442"/>
        <bgColor rgb="FFFF0000"/>
      </patternFill>
    </fill>
    <fill>
      <patternFill patternType="solid">
        <fgColor theme="9" tint="0.79998168889431442"/>
        <bgColor rgb="FFFEF2CB"/>
      </patternFill>
    </fill>
    <fill>
      <patternFill patternType="solid">
        <fgColor theme="9" tint="0.59999389629810485"/>
        <bgColor rgb="FFFEF2CB"/>
      </patternFill>
    </fill>
    <fill>
      <patternFill patternType="solid">
        <fgColor theme="9" tint="0.39997558519241921"/>
        <bgColor indexed="64"/>
      </patternFill>
    </fill>
    <fill>
      <patternFill patternType="solid">
        <fgColor theme="9" tint="0.59999389629810485"/>
        <bgColor rgb="FFD8D8D8"/>
      </patternFill>
    </fill>
    <fill>
      <patternFill patternType="solid">
        <fgColor rgb="FFFFFF00"/>
        <bgColor rgb="FFFEF2CB"/>
      </patternFill>
    </fill>
    <fill>
      <patternFill patternType="solid">
        <fgColor rgb="FFFFC000"/>
        <bgColor indexed="64"/>
      </patternFill>
    </fill>
    <fill>
      <patternFill patternType="solid">
        <fgColor theme="5" tint="0.59999389629810485"/>
        <bgColor rgb="FFD8D8D8"/>
      </patternFill>
    </fill>
    <fill>
      <patternFill patternType="solid">
        <fgColor rgb="FFFFFF00"/>
        <bgColor rgb="FF00FFFF"/>
      </patternFill>
    </fill>
    <fill>
      <patternFill patternType="solid">
        <fgColor theme="7"/>
        <bgColor indexed="64"/>
      </patternFill>
    </fill>
    <fill>
      <patternFill patternType="solid">
        <fgColor rgb="FFFFFF00"/>
        <bgColor rgb="FFD8D8D8"/>
      </patternFill>
    </fill>
    <fill>
      <patternFill patternType="solid">
        <fgColor theme="9" tint="0.39997558519241921"/>
        <bgColor rgb="FFFEF2CB"/>
      </patternFill>
    </fill>
    <fill>
      <patternFill patternType="solid">
        <fgColor rgb="FFFFFF00"/>
        <bgColor rgb="FFFBE4D5"/>
      </patternFill>
    </fill>
    <fill>
      <patternFill patternType="solid">
        <fgColor rgb="FF92D050"/>
        <bgColor rgb="FFFEF2CB"/>
      </patternFill>
    </fill>
  </fills>
  <borders count="57">
    <border>
      <left/>
      <right/>
      <top/>
      <bottom/>
      <diagonal/>
    </border>
    <border>
      <left style="medium">
        <color rgb="FF000000"/>
      </left>
      <right/>
      <top/>
      <bottom/>
      <diagonal/>
    </border>
    <border>
      <left/>
      <right style="medium">
        <color rgb="FF000000"/>
      </right>
      <top/>
      <bottom/>
      <diagonal/>
    </border>
    <border>
      <left style="medium">
        <color rgb="FF000000"/>
      </left>
      <right/>
      <top/>
      <bottom style="thin">
        <color rgb="FF000000"/>
      </bottom>
      <diagonal/>
    </border>
    <border>
      <left/>
      <right style="medium">
        <color rgb="FF000000"/>
      </right>
      <top/>
      <bottom style="thin">
        <color rgb="FF000000"/>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bottom/>
      <diagonal/>
    </border>
    <border>
      <left/>
      <right/>
      <top style="thin">
        <color rgb="FF000000"/>
      </top>
      <bottom style="thin">
        <color rgb="FF000000"/>
      </bottom>
      <diagonal/>
    </border>
    <border>
      <left/>
      <right/>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style="medium">
        <color rgb="FF000000"/>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style="thin">
        <color rgb="FF000000"/>
      </bottom>
      <diagonal/>
    </border>
    <border>
      <left style="thin">
        <color rgb="FF000000"/>
      </left>
      <right/>
      <top/>
      <bottom/>
      <diagonal/>
    </border>
    <border>
      <left style="medium">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style="medium">
        <color rgb="FF000000"/>
      </bottom>
      <diagonal/>
    </border>
    <border>
      <left style="thin">
        <color rgb="FF000000"/>
      </left>
      <right style="medium">
        <color rgb="FF000000"/>
      </right>
      <top style="medium">
        <color rgb="FF000000"/>
      </top>
      <bottom style="thin">
        <color rgb="FF000000"/>
      </bottom>
      <diagonal/>
    </border>
    <border>
      <left/>
      <right style="thin">
        <color rgb="FF000000"/>
      </right>
      <top/>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style="thin">
        <color rgb="FF000000"/>
      </bottom>
      <diagonal/>
    </border>
    <border>
      <left style="medium">
        <color rgb="FF000000"/>
      </left>
      <right style="medium">
        <color rgb="FF000000"/>
      </right>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thin">
        <color rgb="FF000000"/>
      </bottom>
      <diagonal/>
    </border>
  </borders>
  <cellStyleXfs count="6">
    <xf numFmtId="0" fontId="0" fillId="0" borderId="0"/>
    <xf numFmtId="43" fontId="21" fillId="0" borderId="0" applyFont="0" applyFill="0" applyBorder="0" applyAlignment="0" applyProtection="0"/>
    <xf numFmtId="44" fontId="23" fillId="0" borderId="0" applyFont="0" applyFill="0" applyBorder="0" applyAlignment="0" applyProtection="0"/>
    <xf numFmtId="0" fontId="2" fillId="0" borderId="9"/>
    <xf numFmtId="0" fontId="40" fillId="0" borderId="9"/>
    <xf numFmtId="44" fontId="40" fillId="0" borderId="9" applyFont="0" applyFill="0" applyBorder="0" applyAlignment="0" applyProtection="0"/>
  </cellStyleXfs>
  <cellXfs count="443">
    <xf numFmtId="0" fontId="0" fillId="0" borderId="0" xfId="0"/>
    <xf numFmtId="0" fontId="6" fillId="0" borderId="0" xfId="0" applyFont="1"/>
    <xf numFmtId="0" fontId="9" fillId="0" borderId="1" xfId="0" applyFont="1" applyBorder="1"/>
    <xf numFmtId="0" fontId="10" fillId="0" borderId="2" xfId="0" applyFont="1" applyBorder="1" applyAlignment="1">
      <alignment horizontal="left"/>
    </xf>
    <xf numFmtId="0" fontId="6" fillId="0" borderId="1" xfId="0" applyFont="1" applyBorder="1" applyAlignment="1">
      <alignment horizontal="left"/>
    </xf>
    <xf numFmtId="0" fontId="6" fillId="0" borderId="2" xfId="0" applyFont="1" applyBorder="1" applyAlignment="1">
      <alignment horizontal="left"/>
    </xf>
    <xf numFmtId="0" fontId="6" fillId="0" borderId="3" xfId="0" applyFont="1" applyBorder="1" applyAlignment="1">
      <alignment horizontal="left"/>
    </xf>
    <xf numFmtId="0" fontId="6" fillId="0" borderId="4" xfId="0" applyFont="1" applyBorder="1" applyAlignment="1">
      <alignment horizontal="left"/>
    </xf>
    <xf numFmtId="0" fontId="9" fillId="0" borderId="2" xfId="0" applyFont="1" applyBorder="1" applyAlignment="1">
      <alignment horizontal="left"/>
    </xf>
    <xf numFmtId="0" fontId="9" fillId="0" borderId="5" xfId="0" applyFont="1" applyBorder="1"/>
    <xf numFmtId="0" fontId="6" fillId="0" borderId="6" xfId="0" applyFont="1" applyBorder="1" applyAlignment="1">
      <alignment horizontal="left"/>
    </xf>
    <xf numFmtId="0" fontId="6" fillId="0" borderId="1" xfId="0" applyFont="1" applyBorder="1"/>
    <xf numFmtId="0" fontId="6" fillId="0" borderId="3" xfId="0" applyFont="1" applyBorder="1"/>
    <xf numFmtId="0" fontId="9" fillId="2" borderId="7" xfId="0" applyFont="1" applyFill="1" applyBorder="1"/>
    <xf numFmtId="14" fontId="11" fillId="5" borderId="8" xfId="0" applyNumberFormat="1" applyFont="1" applyFill="1" applyBorder="1"/>
    <xf numFmtId="0" fontId="6" fillId="0" borderId="0" xfId="0" applyFont="1" applyAlignment="1">
      <alignment horizontal="center"/>
    </xf>
    <xf numFmtId="0" fontId="12" fillId="0" borderId="0" xfId="0" applyFont="1" applyAlignment="1">
      <alignment horizontal="center"/>
    </xf>
    <xf numFmtId="0" fontId="13" fillId="0" borderId="0" xfId="0" applyFont="1"/>
    <xf numFmtId="0" fontId="7" fillId="0" borderId="0" xfId="0" applyFont="1" applyAlignment="1">
      <alignment vertical="center"/>
    </xf>
    <xf numFmtId="0" fontId="7" fillId="3" borderId="9" xfId="0" applyFont="1" applyFill="1" applyBorder="1" applyAlignment="1">
      <alignment horizontal="right" vertical="center"/>
    </xf>
    <xf numFmtId="0" fontId="7" fillId="3" borderId="9" xfId="0" applyFont="1" applyFill="1" applyBorder="1" applyAlignment="1">
      <alignment horizontal="center" vertical="center"/>
    </xf>
    <xf numFmtId="164" fontId="7" fillId="3" borderId="9" xfId="0" applyNumberFormat="1" applyFont="1" applyFill="1" applyBorder="1" applyAlignment="1">
      <alignment horizontal="center" vertical="center"/>
    </xf>
    <xf numFmtId="0" fontId="7" fillId="3" borderId="9" xfId="0" applyFont="1" applyFill="1" applyBorder="1"/>
    <xf numFmtId="14" fontId="7" fillId="3" borderId="9" xfId="0" applyNumberFormat="1" applyFont="1" applyFill="1" applyBorder="1"/>
    <xf numFmtId="0" fontId="9" fillId="0" borderId="0" xfId="0" applyFont="1"/>
    <xf numFmtId="14" fontId="9" fillId="0" borderId="0" xfId="0" applyNumberFormat="1" applyFont="1"/>
    <xf numFmtId="0" fontId="6" fillId="0" borderId="0" xfId="0" applyFont="1" applyAlignment="1">
      <alignment horizontal="left"/>
    </xf>
    <xf numFmtId="165" fontId="6" fillId="0" borderId="0" xfId="0" applyNumberFormat="1" applyFont="1"/>
    <xf numFmtId="165" fontId="9" fillId="0" borderId="0" xfId="0" applyNumberFormat="1" applyFont="1"/>
    <xf numFmtId="0" fontId="7" fillId="3" borderId="9" xfId="0" applyFont="1" applyFill="1" applyBorder="1" applyAlignment="1">
      <alignment horizontal="center"/>
    </xf>
    <xf numFmtId="165" fontId="7" fillId="3" borderId="9" xfId="0" applyNumberFormat="1" applyFont="1" applyFill="1" applyBorder="1"/>
    <xf numFmtId="0" fontId="9" fillId="0" borderId="0" xfId="0" applyFont="1" applyAlignment="1">
      <alignment horizontal="center"/>
    </xf>
    <xf numFmtId="0" fontId="9" fillId="0" borderId="10" xfId="0" applyFont="1" applyBorder="1"/>
    <xf numFmtId="0" fontId="6" fillId="0" borderId="10" xfId="0" applyFont="1" applyBorder="1" applyAlignment="1">
      <alignment horizontal="center"/>
    </xf>
    <xf numFmtId="165" fontId="9" fillId="0" borderId="10" xfId="0" applyNumberFormat="1" applyFont="1" applyBorder="1"/>
    <xf numFmtId="0" fontId="9" fillId="4" borderId="9" xfId="0" applyFont="1" applyFill="1" applyBorder="1"/>
    <xf numFmtId="0" fontId="6" fillId="4" borderId="9" xfId="0" applyFont="1" applyFill="1" applyBorder="1" applyAlignment="1">
      <alignment horizontal="center"/>
    </xf>
    <xf numFmtId="165" fontId="9" fillId="4" borderId="9" xfId="0" applyNumberFormat="1" applyFont="1" applyFill="1" applyBorder="1"/>
    <xf numFmtId="165" fontId="9" fillId="6" borderId="9" xfId="0" applyNumberFormat="1" applyFont="1" applyFill="1" applyBorder="1"/>
    <xf numFmtId="165" fontId="9" fillId="6" borderId="11" xfId="0" applyNumberFormat="1" applyFont="1" applyFill="1" applyBorder="1"/>
    <xf numFmtId="165" fontId="6" fillId="6" borderId="9" xfId="0" applyNumberFormat="1" applyFont="1" applyFill="1" applyBorder="1"/>
    <xf numFmtId="166" fontId="6" fillId="0" borderId="0" xfId="0" applyNumberFormat="1" applyFont="1"/>
    <xf numFmtId="166" fontId="11" fillId="5" borderId="9" xfId="0" applyNumberFormat="1" applyFont="1" applyFill="1" applyBorder="1"/>
    <xf numFmtId="166" fontId="14" fillId="5" borderId="9" xfId="0" applyNumberFormat="1" applyFont="1" applyFill="1" applyBorder="1"/>
    <xf numFmtId="165" fontId="6" fillId="7" borderId="9" xfId="0" applyNumberFormat="1" applyFont="1" applyFill="1" applyBorder="1"/>
    <xf numFmtId="4" fontId="6" fillId="0" borderId="0" xfId="0" applyNumberFormat="1" applyFont="1"/>
    <xf numFmtId="0" fontId="6" fillId="2" borderId="9" xfId="0" applyFont="1" applyFill="1" applyBorder="1"/>
    <xf numFmtId="166" fontId="6" fillId="2" borderId="9" xfId="0" applyNumberFormat="1" applyFont="1" applyFill="1" applyBorder="1"/>
    <xf numFmtId="0" fontId="6" fillId="2" borderId="9" xfId="0" applyFont="1" applyFill="1" applyBorder="1" applyAlignment="1">
      <alignment horizontal="left"/>
    </xf>
    <xf numFmtId="166" fontId="6" fillId="7" borderId="9" xfId="0" applyNumberFormat="1" applyFont="1" applyFill="1" applyBorder="1"/>
    <xf numFmtId="0" fontId="9" fillId="2" borderId="12" xfId="0" applyFont="1" applyFill="1" applyBorder="1"/>
    <xf numFmtId="166" fontId="9" fillId="2" borderId="13" xfId="0" applyNumberFormat="1" applyFont="1" applyFill="1" applyBorder="1"/>
    <xf numFmtId="166" fontId="9" fillId="2" borderId="14" xfId="0" applyNumberFormat="1" applyFont="1" applyFill="1" applyBorder="1"/>
    <xf numFmtId="0" fontId="6" fillId="2" borderId="15" xfId="0" applyFont="1" applyFill="1" applyBorder="1"/>
    <xf numFmtId="9" fontId="6" fillId="7" borderId="9" xfId="0" applyNumberFormat="1" applyFont="1" applyFill="1" applyBorder="1"/>
    <xf numFmtId="0" fontId="9" fillId="2" borderId="9" xfId="0" applyFont="1" applyFill="1" applyBorder="1"/>
    <xf numFmtId="165" fontId="6" fillId="2" borderId="9" xfId="0" applyNumberFormat="1" applyFont="1" applyFill="1" applyBorder="1"/>
    <xf numFmtId="0" fontId="6" fillId="7" borderId="9" xfId="0" applyFont="1" applyFill="1" applyBorder="1"/>
    <xf numFmtId="0" fontId="6" fillId="2" borderId="11" xfId="0" applyFont="1" applyFill="1" applyBorder="1"/>
    <xf numFmtId="165" fontId="6" fillId="2" borderId="11" xfId="0" applyNumberFormat="1" applyFont="1" applyFill="1" applyBorder="1"/>
    <xf numFmtId="0" fontId="12" fillId="2" borderId="9" xfId="0" applyFont="1" applyFill="1" applyBorder="1"/>
    <xf numFmtId="166" fontId="12" fillId="2" borderId="9" xfId="0" applyNumberFormat="1" applyFont="1" applyFill="1" applyBorder="1"/>
    <xf numFmtId="0" fontId="7" fillId="3" borderId="9" xfId="0" applyFont="1" applyFill="1" applyBorder="1" applyAlignment="1">
      <alignment horizontal="center" wrapText="1"/>
    </xf>
    <xf numFmtId="0" fontId="15" fillId="3" borderId="9" xfId="0" applyFont="1" applyFill="1" applyBorder="1" applyAlignment="1">
      <alignment horizontal="center"/>
    </xf>
    <xf numFmtId="0" fontId="15" fillId="3" borderId="9" xfId="0" applyFont="1" applyFill="1" applyBorder="1"/>
    <xf numFmtId="0" fontId="6" fillId="6" borderId="9" xfId="0" applyFont="1" applyFill="1" applyBorder="1" applyAlignment="1">
      <alignment horizontal="center"/>
    </xf>
    <xf numFmtId="0" fontId="6" fillId="6" borderId="11" xfId="0" applyFont="1" applyFill="1" applyBorder="1" applyAlignment="1">
      <alignment horizontal="center"/>
    </xf>
    <xf numFmtId="0" fontId="7" fillId="3" borderId="7" xfId="0" applyFont="1" applyFill="1" applyBorder="1"/>
    <xf numFmtId="0" fontId="6" fillId="3" borderId="16" xfId="0" applyFont="1" applyFill="1" applyBorder="1"/>
    <xf numFmtId="0" fontId="6" fillId="3" borderId="8" xfId="0" applyFont="1" applyFill="1" applyBorder="1"/>
    <xf numFmtId="0" fontId="6" fillId="0" borderId="2" xfId="0" applyFont="1" applyBorder="1"/>
    <xf numFmtId="0" fontId="6" fillId="0" borderId="17" xfId="0" applyFont="1" applyBorder="1"/>
    <xf numFmtId="0" fontId="6" fillId="0" borderId="18" xfId="0" applyFont="1" applyBorder="1"/>
    <xf numFmtId="9" fontId="6" fillId="0" borderId="0" xfId="0" applyNumberFormat="1" applyFont="1"/>
    <xf numFmtId="14" fontId="6" fillId="0" borderId="0" xfId="0" applyNumberFormat="1" applyFont="1"/>
    <xf numFmtId="14" fontId="7" fillId="3" borderId="9" xfId="0" applyNumberFormat="1" applyFont="1" applyFill="1" applyBorder="1" applyAlignment="1">
      <alignment horizontal="center"/>
    </xf>
    <xf numFmtId="14" fontId="15" fillId="3" borderId="9" xfId="0" applyNumberFormat="1" applyFont="1" applyFill="1" applyBorder="1" applyAlignment="1">
      <alignment horizontal="center"/>
    </xf>
    <xf numFmtId="14" fontId="15" fillId="0" borderId="0" xfId="0" applyNumberFormat="1" applyFont="1" applyAlignment="1">
      <alignment horizontal="center"/>
    </xf>
    <xf numFmtId="165" fontId="6" fillId="9" borderId="9" xfId="0" applyNumberFormat="1" applyFont="1" applyFill="1" applyBorder="1"/>
    <xf numFmtId="165" fontId="6" fillId="8" borderId="9" xfId="0" applyNumberFormat="1" applyFont="1" applyFill="1" applyBorder="1"/>
    <xf numFmtId="165" fontId="6" fillId="10" borderId="9" xfId="0" applyNumberFormat="1" applyFont="1" applyFill="1" applyBorder="1"/>
    <xf numFmtId="0" fontId="6" fillId="12" borderId="9" xfId="0" applyFont="1" applyFill="1" applyBorder="1"/>
    <xf numFmtId="166" fontId="9" fillId="0" borderId="0" xfId="0" applyNumberFormat="1" applyFont="1"/>
    <xf numFmtId="166" fontId="9" fillId="0" borderId="0" xfId="0" applyNumberFormat="1" applyFont="1" applyAlignment="1">
      <alignment horizontal="right"/>
    </xf>
    <xf numFmtId="0" fontId="16" fillId="0" borderId="0" xfId="0" applyFont="1"/>
    <xf numFmtId="0" fontId="6" fillId="13" borderId="9" xfId="0" applyFont="1" applyFill="1" applyBorder="1" applyAlignment="1">
      <alignment horizontal="left"/>
    </xf>
    <xf numFmtId="0" fontId="17" fillId="0" borderId="19" xfId="0" applyFont="1" applyBorder="1"/>
    <xf numFmtId="0" fontId="9" fillId="0" borderId="20" xfId="0" applyFont="1" applyBorder="1" applyAlignment="1">
      <alignment horizontal="center"/>
    </xf>
    <xf numFmtId="0" fontId="9" fillId="6" borderId="21" xfId="0" applyFont="1" applyFill="1" applyBorder="1" applyAlignment="1">
      <alignment horizontal="center"/>
    </xf>
    <xf numFmtId="0" fontId="9" fillId="13" borderId="9" xfId="0" applyFont="1" applyFill="1" applyBorder="1" applyAlignment="1">
      <alignment horizontal="left"/>
    </xf>
    <xf numFmtId="44" fontId="6" fillId="0" borderId="0" xfId="0" applyNumberFormat="1" applyFont="1"/>
    <xf numFmtId="0" fontId="6" fillId="0" borderId="23" xfId="0" applyFont="1" applyBorder="1"/>
    <xf numFmtId="0" fontId="6" fillId="13" borderId="9" xfId="0" applyFont="1" applyFill="1" applyBorder="1" applyAlignment="1">
      <alignment horizontal="left" vertical="top" wrapText="1"/>
    </xf>
    <xf numFmtId="0" fontId="6" fillId="0" borderId="26" xfId="0" applyFont="1" applyBorder="1"/>
    <xf numFmtId="0" fontId="6" fillId="0" borderId="28" xfId="0" applyFont="1" applyBorder="1"/>
    <xf numFmtId="44" fontId="9" fillId="0" borderId="0" xfId="0" applyNumberFormat="1" applyFont="1"/>
    <xf numFmtId="44" fontId="6" fillId="13" borderId="9" xfId="0" applyNumberFormat="1" applyFont="1" applyFill="1" applyBorder="1" applyAlignment="1">
      <alignment horizontal="left"/>
    </xf>
    <xf numFmtId="0" fontId="9" fillId="0" borderId="29" xfId="0" applyFont="1" applyBorder="1" applyAlignment="1">
      <alignment horizontal="left"/>
    </xf>
    <xf numFmtId="0" fontId="6" fillId="0" borderId="29" xfId="0" applyFont="1" applyBorder="1" applyAlignment="1">
      <alignment horizontal="left"/>
    </xf>
    <xf numFmtId="0" fontId="6" fillId="0" borderId="0" xfId="0" applyFont="1" applyAlignment="1">
      <alignment horizontal="left" wrapText="1"/>
    </xf>
    <xf numFmtId="0" fontId="9" fillId="6" borderId="30" xfId="0" applyFont="1" applyFill="1" applyBorder="1" applyAlignment="1">
      <alignment horizontal="center"/>
    </xf>
    <xf numFmtId="0" fontId="9" fillId="6" borderId="31" xfId="0" applyFont="1" applyFill="1" applyBorder="1" applyAlignment="1">
      <alignment horizontal="center"/>
    </xf>
    <xf numFmtId="0" fontId="6" fillId="0" borderId="32" xfId="0" applyFont="1" applyBorder="1"/>
    <xf numFmtId="0" fontId="6" fillId="0" borderId="33" xfId="0" applyFont="1" applyBorder="1" applyAlignment="1">
      <alignment horizontal="left"/>
    </xf>
    <xf numFmtId="0" fontId="6" fillId="0" borderId="34" xfId="0" applyFont="1" applyBorder="1"/>
    <xf numFmtId="0" fontId="6" fillId="0" borderId="35" xfId="0" applyFont="1" applyBorder="1"/>
    <xf numFmtId="44" fontId="6" fillId="0" borderId="0" xfId="0" applyNumberFormat="1" applyFont="1" applyAlignment="1">
      <alignment horizontal="left"/>
    </xf>
    <xf numFmtId="167" fontId="6" fillId="13" borderId="9" xfId="0" applyNumberFormat="1" applyFont="1" applyFill="1" applyBorder="1" applyAlignment="1">
      <alignment horizontal="left"/>
    </xf>
    <xf numFmtId="165" fontId="6" fillId="14" borderId="9" xfId="0" applyNumberFormat="1" applyFont="1" applyFill="1" applyBorder="1"/>
    <xf numFmtId="168" fontId="6" fillId="0" borderId="0" xfId="0" applyNumberFormat="1" applyFont="1"/>
    <xf numFmtId="0" fontId="6" fillId="15" borderId="9" xfId="0" applyFont="1" applyFill="1" applyBorder="1"/>
    <xf numFmtId="0" fontId="6" fillId="16" borderId="9" xfId="0" applyFont="1" applyFill="1" applyBorder="1"/>
    <xf numFmtId="168" fontId="13" fillId="0" borderId="0" xfId="0" applyNumberFormat="1" applyFont="1"/>
    <xf numFmtId="0" fontId="6" fillId="0" borderId="0" xfId="0" quotePrefix="1" applyFont="1"/>
    <xf numFmtId="0" fontId="9" fillId="9" borderId="9" xfId="0" quotePrefix="1" applyFont="1" applyFill="1" applyBorder="1" applyAlignment="1">
      <alignment vertical="center" wrapText="1"/>
    </xf>
    <xf numFmtId="0" fontId="9" fillId="9" borderId="9" xfId="0" quotePrefix="1" applyFont="1" applyFill="1" applyBorder="1" applyAlignment="1">
      <alignment vertical="center"/>
    </xf>
    <xf numFmtId="0" fontId="17" fillId="0" borderId="36" xfId="0" applyFont="1" applyBorder="1"/>
    <xf numFmtId="17" fontId="17" fillId="6" borderId="37" xfId="0" applyNumberFormat="1" applyFont="1" applyFill="1" applyBorder="1"/>
    <xf numFmtId="0" fontId="17" fillId="0" borderId="24" xfId="0" applyFont="1" applyBorder="1"/>
    <xf numFmtId="166" fontId="17" fillId="6" borderId="9" xfId="0" applyNumberFormat="1" applyFont="1" applyFill="1" applyBorder="1"/>
    <xf numFmtId="0" fontId="6" fillId="0" borderId="24" xfId="0" applyFont="1" applyBorder="1" applyAlignment="1">
      <alignment horizontal="left"/>
    </xf>
    <xf numFmtId="0" fontId="17" fillId="0" borderId="24" xfId="0" applyFont="1" applyBorder="1" applyAlignment="1">
      <alignment horizontal="left"/>
    </xf>
    <xf numFmtId="0" fontId="6" fillId="0" borderId="38" xfId="0" applyFont="1" applyBorder="1" applyAlignment="1">
      <alignment horizontal="left"/>
    </xf>
    <xf numFmtId="44" fontId="6" fillId="5" borderId="9" xfId="0" applyNumberFormat="1" applyFont="1" applyFill="1" applyBorder="1"/>
    <xf numFmtId="0" fontId="18" fillId="17" borderId="19" xfId="0" applyFont="1" applyFill="1" applyBorder="1" applyAlignment="1">
      <alignment horizontal="center" vertical="center" wrapText="1"/>
    </xf>
    <xf numFmtId="0" fontId="18" fillId="17" borderId="8" xfId="0" applyFont="1" applyFill="1" applyBorder="1" applyAlignment="1">
      <alignment horizontal="center" vertical="center" wrapText="1"/>
    </xf>
    <xf numFmtId="0" fontId="18" fillId="17" borderId="39" xfId="0" applyFont="1" applyFill="1" applyBorder="1" applyAlignment="1">
      <alignment horizontal="center" vertical="center" wrapText="1"/>
    </xf>
    <xf numFmtId="8" fontId="6" fillId="0" borderId="0" xfId="0" applyNumberFormat="1" applyFont="1"/>
    <xf numFmtId="14" fontId="9" fillId="0" borderId="26" xfId="0" applyNumberFormat="1" applyFont="1" applyBorder="1" applyAlignment="1">
      <alignment horizontal="center" vertical="top"/>
    </xf>
    <xf numFmtId="14" fontId="17" fillId="6" borderId="9" xfId="0" applyNumberFormat="1" applyFont="1" applyFill="1" applyBorder="1"/>
    <xf numFmtId="6" fontId="6" fillId="0" borderId="0" xfId="0" applyNumberFormat="1" applyFont="1"/>
    <xf numFmtId="0" fontId="19" fillId="0" borderId="0" xfId="0" applyFont="1"/>
    <xf numFmtId="6" fontId="6" fillId="18" borderId="9" xfId="0" applyNumberFormat="1" applyFont="1" applyFill="1" applyBorder="1"/>
    <xf numFmtId="6" fontId="20" fillId="19" borderId="9" xfId="0" applyNumberFormat="1" applyFont="1" applyFill="1" applyBorder="1"/>
    <xf numFmtId="6" fontId="6" fillId="11" borderId="9" xfId="0" applyNumberFormat="1" applyFont="1" applyFill="1" applyBorder="1"/>
    <xf numFmtId="6" fontId="20" fillId="0" borderId="0" xfId="0" applyNumberFormat="1" applyFont="1"/>
    <xf numFmtId="0" fontId="17" fillId="0" borderId="0" xfId="0" applyFont="1"/>
    <xf numFmtId="5" fontId="17" fillId="0" borderId="0" xfId="0" applyNumberFormat="1" applyFont="1"/>
    <xf numFmtId="0" fontId="20" fillId="0" borderId="0" xfId="0" applyFont="1" applyAlignment="1">
      <alignment horizontal="right"/>
    </xf>
    <xf numFmtId="5" fontId="20" fillId="0" borderId="0" xfId="0" applyNumberFormat="1" applyFont="1" applyAlignment="1">
      <alignment horizontal="right"/>
    </xf>
    <xf numFmtId="43" fontId="6" fillId="0" borderId="0" xfId="0" applyNumberFormat="1" applyFont="1"/>
    <xf numFmtId="43" fontId="20" fillId="0" borderId="0" xfId="0" applyNumberFormat="1" applyFont="1"/>
    <xf numFmtId="0" fontId="20" fillId="0" borderId="0" xfId="0" applyFont="1"/>
    <xf numFmtId="43" fontId="0" fillId="0" borderId="0" xfId="1" applyFont="1"/>
    <xf numFmtId="165" fontId="0" fillId="0" borderId="0" xfId="1" applyNumberFormat="1" applyFont="1"/>
    <xf numFmtId="165" fontId="6" fillId="21" borderId="0" xfId="0" applyNumberFormat="1" applyFont="1" applyFill="1"/>
    <xf numFmtId="0" fontId="22" fillId="0" borderId="0" xfId="0" applyFont="1"/>
    <xf numFmtId="166" fontId="20" fillId="20" borderId="0" xfId="0" applyNumberFormat="1" applyFont="1" applyFill="1" applyAlignment="1">
      <alignment horizontal="center"/>
    </xf>
    <xf numFmtId="0" fontId="13" fillId="0" borderId="0" xfId="0" applyFont="1" applyAlignment="1">
      <alignment horizontal="right"/>
    </xf>
    <xf numFmtId="0" fontId="22" fillId="0" borderId="0" xfId="0" applyFont="1" applyAlignment="1">
      <alignment horizontal="center"/>
    </xf>
    <xf numFmtId="166" fontId="0" fillId="0" borderId="0" xfId="0" applyNumberFormat="1"/>
    <xf numFmtId="166" fontId="6" fillId="20" borderId="0" xfId="0" applyNumberFormat="1" applyFont="1" applyFill="1"/>
    <xf numFmtId="0" fontId="0" fillId="20" borderId="0" xfId="0" applyFill="1"/>
    <xf numFmtId="0" fontId="27" fillId="0" borderId="9" xfId="3" applyFont="1" applyAlignment="1">
      <alignment vertical="center"/>
    </xf>
    <xf numFmtId="0" fontId="2" fillId="0" borderId="9" xfId="3"/>
    <xf numFmtId="0" fontId="28" fillId="23" borderId="40" xfId="3" applyFont="1" applyFill="1" applyBorder="1" applyAlignment="1">
      <alignment vertical="center"/>
    </xf>
    <xf numFmtId="14" fontId="2" fillId="0" borderId="40" xfId="3" applyNumberFormat="1" applyBorder="1" applyAlignment="1">
      <alignment horizontal="left" vertical="center"/>
    </xf>
    <xf numFmtId="169" fontId="2" fillId="0" borderId="40" xfId="3" applyNumberFormat="1" applyBorder="1" applyAlignment="1">
      <alignment horizontal="left" vertical="center"/>
    </xf>
    <xf numFmtId="0" fontId="2" fillId="0" borderId="40" xfId="3" applyBorder="1" applyAlignment="1">
      <alignment vertical="center"/>
    </xf>
    <xf numFmtId="0" fontId="29" fillId="24" borderId="40" xfId="3" applyFont="1" applyFill="1" applyBorder="1" applyAlignment="1">
      <alignment vertical="center" wrapText="1"/>
    </xf>
    <xf numFmtId="0" fontId="29" fillId="24" borderId="41" xfId="3" applyFont="1" applyFill="1" applyBorder="1" applyAlignment="1">
      <alignment vertical="center" wrapText="1"/>
    </xf>
    <xf numFmtId="0" fontId="29" fillId="0" borderId="42" xfId="3" applyFont="1" applyBorder="1" applyAlignment="1">
      <alignment vertical="center" wrapText="1"/>
    </xf>
    <xf numFmtId="0" fontId="2" fillId="0" borderId="40" xfId="3" applyBorder="1" applyAlignment="1">
      <alignment vertical="center" wrapText="1"/>
    </xf>
    <xf numFmtId="0" fontId="2" fillId="0" borderId="41" xfId="3" applyBorder="1" applyAlignment="1">
      <alignment vertical="center" wrapText="1"/>
    </xf>
    <xf numFmtId="0" fontId="2" fillId="0" borderId="40" xfId="3" applyBorder="1" applyAlignment="1">
      <alignment horizontal="left" vertical="center"/>
    </xf>
    <xf numFmtId="0" fontId="2" fillId="0" borderId="9" xfId="3" applyAlignment="1">
      <alignment vertical="center"/>
    </xf>
    <xf numFmtId="16" fontId="31" fillId="25" borderId="9" xfId="3" applyNumberFormat="1" applyFont="1" applyFill="1" applyAlignment="1">
      <alignment horizontal="center" vertical="center" wrapText="1"/>
    </xf>
    <xf numFmtId="0" fontId="2" fillId="24" borderId="44" xfId="3" applyFill="1" applyBorder="1" applyAlignment="1">
      <alignment vertical="center" wrapText="1"/>
    </xf>
    <xf numFmtId="0" fontId="2" fillId="0" borderId="40" xfId="3" applyBorder="1"/>
    <xf numFmtId="0" fontId="32" fillId="25" borderId="9" xfId="3" applyFont="1" applyFill="1" applyAlignment="1">
      <alignment vertical="center" wrapText="1"/>
    </xf>
    <xf numFmtId="171" fontId="32" fillId="25" borderId="9" xfId="3" applyNumberFormat="1" applyFont="1" applyFill="1" applyAlignment="1">
      <alignment vertical="center" wrapText="1"/>
    </xf>
    <xf numFmtId="171" fontId="33" fillId="25" borderId="9" xfId="3" applyNumberFormat="1" applyFont="1" applyFill="1" applyAlignment="1">
      <alignment vertical="center" wrapText="1"/>
    </xf>
    <xf numFmtId="0" fontId="34" fillId="25" borderId="9" xfId="3" applyFont="1" applyFill="1" applyAlignment="1">
      <alignment vertical="center" wrapText="1"/>
    </xf>
    <xf numFmtId="0" fontId="33" fillId="25" borderId="9" xfId="3" applyFont="1" applyFill="1" applyAlignment="1">
      <alignment vertical="center" wrapText="1"/>
    </xf>
    <xf numFmtId="0" fontId="33" fillId="25" borderId="9" xfId="3" applyFont="1" applyFill="1" applyAlignment="1">
      <alignment horizontal="center" vertical="center" wrapText="1"/>
    </xf>
    <xf numFmtId="0" fontId="35" fillId="25" borderId="9" xfId="3" applyFont="1" applyFill="1" applyAlignment="1">
      <alignment vertical="center" wrapText="1"/>
    </xf>
    <xf numFmtId="14" fontId="2" fillId="26" borderId="40" xfId="3" applyNumberFormat="1" applyFill="1" applyBorder="1" applyAlignment="1">
      <alignment horizontal="left" vertical="center"/>
    </xf>
    <xf numFmtId="169" fontId="2" fillId="26" borderId="40" xfId="3" applyNumberFormat="1" applyFill="1" applyBorder="1" applyAlignment="1">
      <alignment horizontal="left" vertical="center"/>
    </xf>
    <xf numFmtId="14" fontId="2" fillId="27" borderId="40" xfId="3" applyNumberFormat="1" applyFill="1" applyBorder="1" applyAlignment="1">
      <alignment horizontal="left" vertical="center"/>
    </xf>
    <xf numFmtId="169" fontId="2" fillId="27" borderId="40" xfId="3" applyNumberFormat="1" applyFill="1" applyBorder="1" applyAlignment="1">
      <alignment horizontal="left" vertical="center"/>
    </xf>
    <xf numFmtId="169" fontId="30" fillId="26" borderId="40" xfId="3" applyNumberFormat="1" applyFont="1" applyFill="1" applyBorder="1" applyAlignment="1">
      <alignment horizontal="left" vertical="center"/>
    </xf>
    <xf numFmtId="170" fontId="2" fillId="26" borderId="40" xfId="3" applyNumberFormat="1" applyFill="1" applyBorder="1" applyAlignment="1">
      <alignment horizontal="left" vertical="center"/>
    </xf>
    <xf numFmtId="172" fontId="2" fillId="0" borderId="9" xfId="3" applyNumberFormat="1"/>
    <xf numFmtId="173" fontId="2" fillId="0" borderId="9" xfId="3" applyNumberFormat="1"/>
    <xf numFmtId="169" fontId="2" fillId="20" borderId="40" xfId="3" applyNumberFormat="1" applyFill="1" applyBorder="1" applyAlignment="1">
      <alignment horizontal="left" vertical="center"/>
    </xf>
    <xf numFmtId="0" fontId="0" fillId="0" borderId="0" xfId="0" pivotButton="1"/>
    <xf numFmtId="43" fontId="0" fillId="0" borderId="0" xfId="0" applyNumberFormat="1"/>
    <xf numFmtId="14" fontId="0" fillId="0" borderId="0" xfId="0" applyNumberFormat="1"/>
    <xf numFmtId="43" fontId="31" fillId="25" borderId="9" xfId="1" applyFont="1" applyFill="1" applyBorder="1" applyAlignment="1">
      <alignment horizontal="center" vertical="center" wrapText="1"/>
    </xf>
    <xf numFmtId="14" fontId="2" fillId="28" borderId="40" xfId="3" applyNumberFormat="1" applyFill="1" applyBorder="1" applyAlignment="1">
      <alignment horizontal="left" vertical="center"/>
    </xf>
    <xf numFmtId="0" fontId="7" fillId="3" borderId="1" xfId="0" applyFont="1" applyFill="1" applyBorder="1"/>
    <xf numFmtId="0" fontId="8" fillId="3" borderId="2" xfId="0" applyFont="1" applyFill="1" applyBorder="1" applyAlignment="1">
      <alignment horizontal="left"/>
    </xf>
    <xf numFmtId="0" fontId="7" fillId="3" borderId="2" xfId="0" applyFont="1" applyFill="1" applyBorder="1" applyAlignment="1">
      <alignment horizontal="left"/>
    </xf>
    <xf numFmtId="0" fontId="9" fillId="0" borderId="7" xfId="0" applyFont="1" applyBorder="1"/>
    <xf numFmtId="0" fontId="6" fillId="0" borderId="8" xfId="0" applyFont="1" applyBorder="1" applyAlignment="1">
      <alignment horizontal="left"/>
    </xf>
    <xf numFmtId="0" fontId="9" fillId="4" borderId="1" xfId="0" applyFont="1" applyFill="1" applyBorder="1"/>
    <xf numFmtId="0" fontId="6" fillId="4" borderId="2" xfId="0" applyFont="1" applyFill="1" applyBorder="1" applyAlignment="1">
      <alignment horizontal="left"/>
    </xf>
    <xf numFmtId="0" fontId="9" fillId="0" borderId="7" xfId="0" applyFont="1" applyBorder="1" applyAlignment="1">
      <alignment horizontal="left"/>
    </xf>
    <xf numFmtId="14" fontId="8" fillId="3" borderId="9" xfId="0" applyNumberFormat="1" applyFont="1" applyFill="1" applyBorder="1" applyAlignment="1">
      <alignment horizontal="center"/>
    </xf>
    <xf numFmtId="0" fontId="10" fillId="0" borderId="0" xfId="0" applyFont="1" applyAlignment="1">
      <alignment horizontal="center"/>
    </xf>
    <xf numFmtId="0" fontId="6" fillId="0" borderId="11" xfId="0" applyFont="1" applyBorder="1" applyAlignment="1">
      <alignment horizontal="left"/>
    </xf>
    <xf numFmtId="0" fontId="6" fillId="0" borderId="11" xfId="0" applyFont="1" applyBorder="1" applyAlignment="1">
      <alignment horizontal="center"/>
    </xf>
    <xf numFmtId="165" fontId="6" fillId="0" borderId="11" xfId="0" applyNumberFormat="1" applyFont="1" applyBorder="1"/>
    <xf numFmtId="0" fontId="6" fillId="0" borderId="16" xfId="0" applyFont="1" applyBorder="1" applyAlignment="1">
      <alignment horizontal="center"/>
    </xf>
    <xf numFmtId="165" fontId="9" fillId="0" borderId="16" xfId="0" applyNumberFormat="1" applyFont="1" applyBorder="1"/>
    <xf numFmtId="165" fontId="9" fillId="0" borderId="8" xfId="0" applyNumberFormat="1" applyFont="1" applyBorder="1"/>
    <xf numFmtId="0" fontId="6" fillId="0" borderId="11" xfId="0" applyFont="1" applyBorder="1"/>
    <xf numFmtId="0" fontId="9" fillId="0" borderId="16" xfId="0" applyFont="1" applyBorder="1" applyAlignment="1">
      <alignment horizontal="center"/>
    </xf>
    <xf numFmtId="166" fontId="9" fillId="0" borderId="16" xfId="0" applyNumberFormat="1" applyFont="1" applyBorder="1"/>
    <xf numFmtId="0" fontId="8" fillId="3" borderId="9" xfId="0" applyFont="1" applyFill="1" applyBorder="1" applyAlignment="1">
      <alignment horizontal="center"/>
    </xf>
    <xf numFmtId="9" fontId="6" fillId="2" borderId="17" xfId="0" applyNumberFormat="1" applyFont="1" applyFill="1" applyBorder="1"/>
    <xf numFmtId="9" fontId="6" fillId="2" borderId="18" xfId="0" applyNumberFormat="1" applyFont="1" applyFill="1" applyBorder="1"/>
    <xf numFmtId="0" fontId="6" fillId="2" borderId="1" xfId="0" applyFont="1" applyFill="1" applyBorder="1"/>
    <xf numFmtId="14" fontId="9" fillId="0" borderId="11" xfId="0" applyNumberFormat="1" applyFont="1" applyBorder="1"/>
    <xf numFmtId="0" fontId="9" fillId="6" borderId="29" xfId="0" applyFont="1" applyFill="1" applyBorder="1" applyAlignment="1">
      <alignment horizontal="left"/>
    </xf>
    <xf numFmtId="166" fontId="6" fillId="0" borderId="11" xfId="0" applyNumberFormat="1" applyFont="1" applyBorder="1"/>
    <xf numFmtId="0" fontId="18" fillId="17" borderId="18" xfId="0" applyFont="1" applyFill="1" applyBorder="1" applyAlignment="1">
      <alignment horizontal="center" vertical="center" wrapText="1"/>
    </xf>
    <xf numFmtId="8" fontId="18" fillId="17" borderId="18" xfId="0" applyNumberFormat="1" applyFont="1" applyFill="1" applyBorder="1" applyAlignment="1">
      <alignment horizontal="center" vertical="center" wrapText="1"/>
    </xf>
    <xf numFmtId="14" fontId="18" fillId="17" borderId="18" xfId="0" applyNumberFormat="1" applyFont="1" applyFill="1" applyBorder="1" applyAlignment="1">
      <alignment horizontal="center" vertical="center" wrapText="1"/>
    </xf>
    <xf numFmtId="165" fontId="0" fillId="0" borderId="0" xfId="0" applyNumberFormat="1"/>
    <xf numFmtId="166" fontId="39" fillId="0" borderId="9" xfId="0" applyNumberFormat="1" applyFont="1" applyBorder="1"/>
    <xf numFmtId="165" fontId="6" fillId="0" borderId="9" xfId="0" applyNumberFormat="1" applyFont="1" applyBorder="1"/>
    <xf numFmtId="16" fontId="22" fillId="0" borderId="45" xfId="0" applyNumberFormat="1" applyFont="1" applyBorder="1"/>
    <xf numFmtId="0" fontId="22" fillId="0" borderId="46" xfId="0" applyFont="1" applyBorder="1"/>
    <xf numFmtId="0" fontId="22" fillId="0" borderId="45" xfId="0" applyFont="1" applyBorder="1"/>
    <xf numFmtId="0" fontId="22" fillId="0" borderId="47" xfId="0" applyFont="1" applyBorder="1"/>
    <xf numFmtId="0" fontId="22" fillId="0" borderId="49" xfId="0" applyFont="1" applyBorder="1"/>
    <xf numFmtId="166" fontId="22" fillId="0" borderId="9" xfId="2" applyNumberFormat="1" applyFont="1" applyBorder="1"/>
    <xf numFmtId="166" fontId="22" fillId="0" borderId="48" xfId="2" applyNumberFormat="1" applyFont="1" applyBorder="1"/>
    <xf numFmtId="0" fontId="40" fillId="0" borderId="9" xfId="4"/>
    <xf numFmtId="15" fontId="40" fillId="0" borderId="9" xfId="4" applyNumberFormat="1"/>
    <xf numFmtId="166" fontId="0" fillId="0" borderId="9" xfId="5" applyNumberFormat="1" applyFont="1"/>
    <xf numFmtId="0" fontId="24" fillId="20" borderId="9" xfId="4" applyFont="1" applyFill="1" applyAlignment="1">
      <alignment horizontal="right"/>
    </xf>
    <xf numFmtId="0" fontId="40" fillId="29" borderId="9" xfId="4" applyFill="1"/>
    <xf numFmtId="0" fontId="40" fillId="0" borderId="9" xfId="4" applyAlignment="1">
      <alignment horizontal="right"/>
    </xf>
    <xf numFmtId="9" fontId="40" fillId="0" borderId="9" xfId="4" applyNumberFormat="1" applyAlignment="1">
      <alignment horizontal="right"/>
    </xf>
    <xf numFmtId="166" fontId="40" fillId="0" borderId="9" xfId="4" applyNumberFormat="1"/>
    <xf numFmtId="0" fontId="41" fillId="0" borderId="9" xfId="4" applyFont="1"/>
    <xf numFmtId="0" fontId="42" fillId="0" borderId="9" xfId="4" applyFont="1"/>
    <xf numFmtId="166" fontId="24" fillId="0" borderId="9" xfId="4" applyNumberFormat="1" applyFont="1"/>
    <xf numFmtId="166" fontId="40" fillId="28" borderId="9" xfId="4" applyNumberFormat="1" applyFill="1"/>
    <xf numFmtId="166" fontId="0" fillId="31" borderId="9" xfId="5" applyNumberFormat="1" applyFont="1" applyFill="1"/>
    <xf numFmtId="166" fontId="0" fillId="26" borderId="9" xfId="5" applyNumberFormat="1" applyFont="1" applyFill="1"/>
    <xf numFmtId="166" fontId="40" fillId="26" borderId="9" xfId="4" applyNumberFormat="1" applyFill="1"/>
    <xf numFmtId="16" fontId="0" fillId="0" borderId="0" xfId="0" applyNumberFormat="1"/>
    <xf numFmtId="165" fontId="6" fillId="0" borderId="0" xfId="1" applyNumberFormat="1" applyFont="1"/>
    <xf numFmtId="165" fontId="0" fillId="0" borderId="0" xfId="1" applyNumberFormat="1" applyFont="1" applyFill="1"/>
    <xf numFmtId="165" fontId="6" fillId="0" borderId="0" xfId="1" applyNumberFormat="1" applyFont="1" applyFill="1"/>
    <xf numFmtId="165" fontId="9" fillId="0" borderId="50" xfId="0" applyNumberFormat="1" applyFont="1" applyBorder="1"/>
    <xf numFmtId="0" fontId="13" fillId="0" borderId="0" xfId="0" applyFont="1" applyAlignment="1">
      <alignment horizontal="left"/>
    </xf>
    <xf numFmtId="165" fontId="40" fillId="0" borderId="9" xfId="1" applyNumberFormat="1" applyFont="1" applyBorder="1"/>
    <xf numFmtId="165" fontId="40" fillId="0" borderId="9" xfId="1" applyNumberFormat="1" applyFont="1" applyBorder="1" applyAlignment="1">
      <alignment horizontal="right"/>
    </xf>
    <xf numFmtId="165" fontId="40" fillId="30" borderId="9" xfId="1" applyNumberFormat="1" applyFont="1" applyFill="1" applyBorder="1"/>
    <xf numFmtId="165" fontId="40" fillId="31" borderId="9" xfId="1" applyNumberFormat="1" applyFont="1" applyFill="1" applyBorder="1"/>
    <xf numFmtId="165" fontId="24" fillId="20" borderId="9" xfId="1" applyNumberFormat="1" applyFont="1" applyFill="1" applyBorder="1" applyAlignment="1">
      <alignment horizontal="right"/>
    </xf>
    <xf numFmtId="165" fontId="6" fillId="32" borderId="9" xfId="0" applyNumberFormat="1" applyFont="1" applyFill="1" applyBorder="1"/>
    <xf numFmtId="165" fontId="6" fillId="33" borderId="9" xfId="0" applyNumberFormat="1" applyFont="1" applyFill="1" applyBorder="1"/>
    <xf numFmtId="165" fontId="6" fillId="34" borderId="9" xfId="0" applyNumberFormat="1" applyFont="1" applyFill="1" applyBorder="1"/>
    <xf numFmtId="14" fontId="6" fillId="29" borderId="0" xfId="0" applyNumberFormat="1" applyFont="1" applyFill="1"/>
    <xf numFmtId="0" fontId="0" fillId="29" borderId="0" xfId="0" applyFill="1"/>
    <xf numFmtId="165" fontId="6" fillId="29" borderId="0" xfId="0" applyNumberFormat="1" applyFont="1" applyFill="1"/>
    <xf numFmtId="165" fontId="6" fillId="35" borderId="9" xfId="0" applyNumberFormat="1" applyFont="1" applyFill="1" applyBorder="1"/>
    <xf numFmtId="165" fontId="6" fillId="36" borderId="9" xfId="0" applyNumberFormat="1" applyFont="1" applyFill="1" applyBorder="1"/>
    <xf numFmtId="14" fontId="6" fillId="37" borderId="0" xfId="0" applyNumberFormat="1" applyFont="1" applyFill="1"/>
    <xf numFmtId="0" fontId="0" fillId="37" borderId="0" xfId="0" applyFill="1"/>
    <xf numFmtId="165" fontId="6" fillId="37" borderId="0" xfId="0" applyNumberFormat="1" applyFont="1" applyFill="1"/>
    <xf numFmtId="165" fontId="6" fillId="38" borderId="9" xfId="0" applyNumberFormat="1" applyFont="1" applyFill="1" applyBorder="1"/>
    <xf numFmtId="165" fontId="6" fillId="39" borderId="9" xfId="0" applyNumberFormat="1" applyFont="1" applyFill="1" applyBorder="1"/>
    <xf numFmtId="165" fontId="6" fillId="40" borderId="9" xfId="0" applyNumberFormat="1" applyFont="1" applyFill="1" applyBorder="1"/>
    <xf numFmtId="165" fontId="6" fillId="41" borderId="9" xfId="0" applyNumberFormat="1" applyFont="1" applyFill="1" applyBorder="1"/>
    <xf numFmtId="165" fontId="6" fillId="42" borderId="9" xfId="0" applyNumberFormat="1" applyFont="1" applyFill="1" applyBorder="1"/>
    <xf numFmtId="3" fontId="6" fillId="41" borderId="9" xfId="0" applyNumberFormat="1" applyFont="1" applyFill="1" applyBorder="1"/>
    <xf numFmtId="165" fontId="6" fillId="43" borderId="0" xfId="0" applyNumberFormat="1" applyFont="1" applyFill="1"/>
    <xf numFmtId="0" fontId="0" fillId="43" borderId="0" xfId="0" applyFill="1"/>
    <xf numFmtId="165" fontId="6" fillId="44" borderId="9" xfId="0" applyNumberFormat="1" applyFont="1" applyFill="1" applyBorder="1"/>
    <xf numFmtId="165" fontId="6" fillId="45" borderId="9" xfId="0" applyNumberFormat="1" applyFont="1" applyFill="1" applyBorder="1"/>
    <xf numFmtId="165" fontId="6" fillId="46" borderId="9" xfId="0" applyNumberFormat="1" applyFont="1" applyFill="1" applyBorder="1"/>
    <xf numFmtId="165" fontId="6" fillId="47" borderId="9" xfId="0" applyNumberFormat="1" applyFont="1" applyFill="1" applyBorder="1"/>
    <xf numFmtId="165" fontId="6" fillId="48" borderId="9" xfId="0" applyNumberFormat="1" applyFont="1" applyFill="1" applyBorder="1"/>
    <xf numFmtId="0" fontId="43" fillId="8" borderId="9" xfId="0" applyFont="1" applyFill="1" applyBorder="1" applyAlignment="1">
      <alignment horizontal="center"/>
    </xf>
    <xf numFmtId="14" fontId="43" fillId="22" borderId="11" xfId="0" applyNumberFormat="1" applyFont="1" applyFill="1" applyBorder="1" applyAlignment="1">
      <alignment horizontal="center"/>
    </xf>
    <xf numFmtId="166" fontId="43" fillId="0" borderId="0" xfId="0" applyNumberFormat="1" applyFont="1"/>
    <xf numFmtId="14" fontId="44" fillId="3" borderId="51" xfId="0" applyNumberFormat="1" applyFont="1" applyFill="1" applyBorder="1" applyAlignment="1">
      <alignment horizontal="center"/>
    </xf>
    <xf numFmtId="0" fontId="43" fillId="8" borderId="9" xfId="0" applyFont="1" applyFill="1" applyBorder="1"/>
    <xf numFmtId="14" fontId="43" fillId="8" borderId="9" xfId="0" applyNumberFormat="1" applyFont="1" applyFill="1" applyBorder="1"/>
    <xf numFmtId="165" fontId="43" fillId="8" borderId="52" xfId="0" applyNumberFormat="1" applyFont="1" applyFill="1" applyBorder="1"/>
    <xf numFmtId="165" fontId="43" fillId="32" borderId="52" xfId="0" applyNumberFormat="1" applyFont="1" applyFill="1" applyBorder="1"/>
    <xf numFmtId="165" fontId="43" fillId="34" borderId="52" xfId="0" applyNumberFormat="1" applyFont="1" applyFill="1" applyBorder="1"/>
    <xf numFmtId="165" fontId="43" fillId="35" borderId="52" xfId="0" applyNumberFormat="1" applyFont="1" applyFill="1" applyBorder="1"/>
    <xf numFmtId="165" fontId="43" fillId="42" borderId="52" xfId="0" applyNumberFormat="1" applyFont="1" applyFill="1" applyBorder="1"/>
    <xf numFmtId="165" fontId="43" fillId="41" borderId="52" xfId="0" applyNumberFormat="1" applyFont="1" applyFill="1" applyBorder="1"/>
    <xf numFmtId="165" fontId="43" fillId="47" borderId="52" xfId="0" applyNumberFormat="1" applyFont="1" applyFill="1" applyBorder="1"/>
    <xf numFmtId="0" fontId="45" fillId="0" borderId="52" xfId="0" applyFont="1" applyBorder="1"/>
    <xf numFmtId="165" fontId="43" fillId="8" borderId="53" xfId="0" applyNumberFormat="1" applyFont="1" applyFill="1" applyBorder="1"/>
    <xf numFmtId="0" fontId="45" fillId="0" borderId="0" xfId="0" applyFont="1"/>
    <xf numFmtId="165" fontId="43" fillId="0" borderId="9" xfId="0" applyNumberFormat="1" applyFont="1" applyBorder="1"/>
    <xf numFmtId="6" fontId="45" fillId="0" borderId="0" xfId="0" applyNumberFormat="1" applyFont="1"/>
    <xf numFmtId="165" fontId="45" fillId="0" borderId="0" xfId="0" applyNumberFormat="1" applyFont="1"/>
    <xf numFmtId="166" fontId="45" fillId="0" borderId="0" xfId="0" applyNumberFormat="1" applyFont="1"/>
    <xf numFmtId="0" fontId="43" fillId="0" borderId="9" xfId="0" applyFont="1" applyBorder="1"/>
    <xf numFmtId="165" fontId="6" fillId="49" borderId="9" xfId="0" applyNumberFormat="1" applyFont="1" applyFill="1" applyBorder="1"/>
    <xf numFmtId="174" fontId="7" fillId="3" borderId="9" xfId="0" applyNumberFormat="1" applyFont="1" applyFill="1" applyBorder="1" applyAlignment="1">
      <alignment horizontal="center" vertical="center"/>
    </xf>
    <xf numFmtId="165" fontId="22" fillId="0" borderId="0" xfId="1" applyNumberFormat="1" applyFont="1"/>
    <xf numFmtId="165" fontId="6" fillId="50" borderId="9" xfId="0" applyNumberFormat="1" applyFont="1" applyFill="1" applyBorder="1"/>
    <xf numFmtId="165" fontId="6" fillId="51" borderId="9" xfId="0" applyNumberFormat="1" applyFont="1" applyFill="1" applyBorder="1"/>
    <xf numFmtId="166" fontId="0" fillId="0" borderId="9" xfId="5" applyNumberFormat="1" applyFont="1" applyFill="1"/>
    <xf numFmtId="44" fontId="0" fillId="0" borderId="0" xfId="0" applyNumberFormat="1"/>
    <xf numFmtId="0" fontId="0" fillId="31" borderId="0" xfId="0" applyFill="1"/>
    <xf numFmtId="166" fontId="0" fillId="28" borderId="9" xfId="5" applyNumberFormat="1" applyFont="1" applyFill="1"/>
    <xf numFmtId="166" fontId="0" fillId="52" borderId="9" xfId="5" applyNumberFormat="1" applyFont="1" applyFill="1"/>
    <xf numFmtId="166" fontId="40" fillId="52" borderId="9" xfId="4" applyNumberFormat="1" applyFill="1"/>
    <xf numFmtId="0" fontId="6" fillId="20" borderId="0" xfId="0" applyFont="1" applyFill="1" applyAlignment="1">
      <alignment horizontal="center"/>
    </xf>
    <xf numFmtId="0" fontId="40" fillId="31" borderId="0" xfId="0" applyFont="1" applyFill="1"/>
    <xf numFmtId="165" fontId="6" fillId="53" borderId="9" xfId="0" applyNumberFormat="1" applyFont="1" applyFill="1" applyBorder="1"/>
    <xf numFmtId="166" fontId="0" fillId="20" borderId="9" xfId="5" applyNumberFormat="1" applyFont="1" applyFill="1"/>
    <xf numFmtId="43" fontId="0" fillId="28" borderId="0" xfId="0" applyNumberFormat="1" applyFill="1"/>
    <xf numFmtId="165" fontId="6" fillId="54" borderId="9" xfId="0" applyNumberFormat="1" applyFont="1" applyFill="1" applyBorder="1"/>
    <xf numFmtId="165" fontId="6" fillId="55" borderId="9" xfId="0" applyNumberFormat="1" applyFont="1" applyFill="1" applyBorder="1"/>
    <xf numFmtId="0" fontId="24" fillId="0" borderId="0" xfId="0" applyFont="1"/>
    <xf numFmtId="17" fontId="24" fillId="0" borderId="0" xfId="0" applyNumberFormat="1" applyFont="1"/>
    <xf numFmtId="0" fontId="24" fillId="31" borderId="0" xfId="0" applyFont="1" applyFill="1"/>
    <xf numFmtId="0" fontId="40" fillId="0" borderId="0" xfId="0" applyFont="1"/>
    <xf numFmtId="0" fontId="40" fillId="30" borderId="0" xfId="0" applyFont="1" applyFill="1"/>
    <xf numFmtId="166" fontId="24" fillId="0" borderId="0" xfId="0" applyNumberFormat="1" applyFont="1"/>
    <xf numFmtId="165" fontId="5" fillId="56" borderId="9" xfId="0" applyNumberFormat="1" applyFont="1" applyFill="1" applyBorder="1"/>
    <xf numFmtId="166" fontId="48" fillId="20" borderId="9" xfId="5" applyNumberFormat="1" applyFont="1" applyFill="1"/>
    <xf numFmtId="165" fontId="0" fillId="28" borderId="0" xfId="1" applyNumberFormat="1" applyFont="1" applyFill="1"/>
    <xf numFmtId="43" fontId="0" fillId="20" borderId="0" xfId="0" applyNumberFormat="1" applyFill="1"/>
    <xf numFmtId="165" fontId="22" fillId="0" borderId="46" xfId="1" applyNumberFormat="1" applyFont="1" applyBorder="1"/>
    <xf numFmtId="165" fontId="22" fillId="0" borderId="46" xfId="0" applyNumberFormat="1" applyFont="1" applyBorder="1"/>
    <xf numFmtId="165" fontId="5" fillId="57" borderId="9" xfId="0" applyNumberFormat="1" applyFont="1" applyFill="1" applyBorder="1"/>
    <xf numFmtId="165" fontId="6" fillId="20" borderId="9" xfId="0" applyNumberFormat="1" applyFont="1" applyFill="1" applyBorder="1"/>
    <xf numFmtId="165" fontId="6" fillId="26" borderId="9" xfId="0" applyNumberFormat="1" applyFont="1" applyFill="1" applyBorder="1"/>
    <xf numFmtId="165" fontId="49" fillId="6" borderId="11" xfId="0" applyNumberFormat="1" applyFont="1" applyFill="1" applyBorder="1"/>
    <xf numFmtId="44" fontId="6" fillId="20" borderId="0" xfId="0" applyNumberFormat="1" applyFont="1" applyFill="1"/>
    <xf numFmtId="0" fontId="6" fillId="20" borderId="0" xfId="0" applyFont="1" applyFill="1"/>
    <xf numFmtId="165" fontId="6" fillId="55" borderId="0" xfId="0" applyNumberFormat="1" applyFont="1" applyFill="1"/>
    <xf numFmtId="165" fontId="6" fillId="58" borderId="9" xfId="0" applyNumberFormat="1" applyFont="1" applyFill="1" applyBorder="1"/>
    <xf numFmtId="165" fontId="6" fillId="20" borderId="0" xfId="0" applyNumberFormat="1" applyFont="1" applyFill="1"/>
    <xf numFmtId="165" fontId="6" fillId="24" borderId="0" xfId="0" applyNumberFormat="1" applyFont="1" applyFill="1"/>
    <xf numFmtId="164" fontId="7" fillId="24" borderId="9" xfId="0" applyNumberFormat="1" applyFont="1" applyFill="1" applyBorder="1" applyAlignment="1">
      <alignment horizontal="center" vertical="center"/>
    </xf>
    <xf numFmtId="166" fontId="9" fillId="24" borderId="9" xfId="2" applyNumberFormat="1" applyFont="1" applyFill="1" applyBorder="1"/>
    <xf numFmtId="166" fontId="22" fillId="24" borderId="9" xfId="2" applyNumberFormat="1" applyFont="1" applyFill="1" applyBorder="1"/>
    <xf numFmtId="16" fontId="22" fillId="24" borderId="9" xfId="0" applyNumberFormat="1" applyFont="1" applyFill="1" applyBorder="1"/>
    <xf numFmtId="0" fontId="22" fillId="24" borderId="9" xfId="0" applyFont="1" applyFill="1" applyBorder="1"/>
    <xf numFmtId="165" fontId="22" fillId="24" borderId="9" xfId="1" applyNumberFormat="1" applyFont="1" applyFill="1" applyBorder="1"/>
    <xf numFmtId="165" fontId="22" fillId="24" borderId="9" xfId="0" applyNumberFormat="1" applyFont="1" applyFill="1" applyBorder="1"/>
    <xf numFmtId="0" fontId="0" fillId="0" borderId="9" xfId="0" applyBorder="1"/>
    <xf numFmtId="0" fontId="22" fillId="0" borderId="9" xfId="0" applyFont="1" applyBorder="1"/>
    <xf numFmtId="165" fontId="0" fillId="55" borderId="0" xfId="0" applyNumberFormat="1" applyFill="1"/>
    <xf numFmtId="0" fontId="50" fillId="0" borderId="0" xfId="0" applyFont="1" applyAlignment="1">
      <alignment horizontal="center"/>
    </xf>
    <xf numFmtId="0" fontId="50" fillId="0" borderId="0" xfId="0" applyFont="1"/>
    <xf numFmtId="165" fontId="22" fillId="0" borderId="9" xfId="1" applyNumberFormat="1" applyFont="1" applyBorder="1"/>
    <xf numFmtId="165" fontId="22" fillId="0" borderId="9" xfId="0" applyNumberFormat="1" applyFont="1" applyBorder="1"/>
    <xf numFmtId="166" fontId="0" fillId="0" borderId="46" xfId="0" applyNumberFormat="1" applyBorder="1"/>
    <xf numFmtId="166" fontId="0" fillId="0" borderId="49" xfId="0" applyNumberFormat="1" applyBorder="1"/>
    <xf numFmtId="166" fontId="43" fillId="0" borderId="9" xfId="0" applyNumberFormat="1" applyFont="1" applyBorder="1"/>
    <xf numFmtId="0" fontId="1" fillId="0" borderId="0" xfId="0" applyFont="1"/>
    <xf numFmtId="0" fontId="1" fillId="20" borderId="0" xfId="0" applyFont="1" applyFill="1"/>
    <xf numFmtId="165" fontId="6" fillId="20" borderId="0" xfId="1" applyNumberFormat="1" applyFont="1" applyFill="1"/>
    <xf numFmtId="0" fontId="1" fillId="0" borderId="0" xfId="0" applyFont="1" applyAlignment="1">
      <alignment horizontal="left" wrapText="1"/>
    </xf>
    <xf numFmtId="165" fontId="1" fillId="0" borderId="0" xfId="1" applyNumberFormat="1" applyFont="1"/>
    <xf numFmtId="43" fontId="1" fillId="0" borderId="9" xfId="1" applyFont="1" applyBorder="1"/>
    <xf numFmtId="16" fontId="1" fillId="0" borderId="0" xfId="0" applyNumberFormat="1" applyFont="1"/>
    <xf numFmtId="16" fontId="1" fillId="20" borderId="0" xfId="0" applyNumberFormat="1" applyFont="1" applyFill="1"/>
    <xf numFmtId="43" fontId="1" fillId="0" borderId="0" xfId="0" applyNumberFormat="1" applyFont="1"/>
    <xf numFmtId="165" fontId="6" fillId="59" borderId="9" xfId="0" applyNumberFormat="1" applyFont="1" applyFill="1" applyBorder="1"/>
    <xf numFmtId="165" fontId="6" fillId="60" borderId="9" xfId="0" applyNumberFormat="1" applyFont="1" applyFill="1" applyBorder="1"/>
    <xf numFmtId="166" fontId="51" fillId="24" borderId="9" xfId="0" quotePrefix="1" applyNumberFormat="1" applyFont="1" applyFill="1" applyBorder="1" applyAlignment="1">
      <alignment horizontal="center"/>
    </xf>
    <xf numFmtId="165" fontId="6" fillId="61" borderId="9" xfId="0" applyNumberFormat="1" applyFont="1" applyFill="1" applyBorder="1"/>
    <xf numFmtId="165" fontId="6" fillId="62" borderId="9" xfId="0" applyNumberFormat="1" applyFont="1" applyFill="1" applyBorder="1"/>
    <xf numFmtId="0" fontId="22" fillId="0" borderId="9" xfId="0" applyFont="1" applyBorder="1" applyAlignment="1">
      <alignment horizontal="center"/>
    </xf>
    <xf numFmtId="0" fontId="6" fillId="0" borderId="9" xfId="0" applyFont="1" applyBorder="1"/>
    <xf numFmtId="14" fontId="6" fillId="0" borderId="9" xfId="0" applyNumberFormat="1" applyFont="1" applyBorder="1"/>
    <xf numFmtId="14" fontId="15" fillId="0" borderId="9" xfId="0" applyNumberFormat="1" applyFont="1" applyBorder="1" applyAlignment="1">
      <alignment horizontal="center"/>
    </xf>
    <xf numFmtId="0" fontId="0" fillId="37" borderId="9" xfId="0" applyFill="1" applyBorder="1"/>
    <xf numFmtId="166" fontId="6" fillId="0" borderId="9" xfId="0" applyNumberFormat="1" applyFont="1" applyBorder="1"/>
    <xf numFmtId="166" fontId="9" fillId="0" borderId="9" xfId="0" applyNumberFormat="1" applyFont="1" applyBorder="1"/>
    <xf numFmtId="166" fontId="0" fillId="0" borderId="9" xfId="0" applyNumberFormat="1" applyBorder="1"/>
    <xf numFmtId="0" fontId="0" fillId="0" borderId="54" xfId="0" applyBorder="1"/>
    <xf numFmtId="0" fontId="0" fillId="0" borderId="55" xfId="0" applyBorder="1"/>
    <xf numFmtId="0" fontId="22" fillId="0" borderId="55" xfId="0" applyFont="1" applyBorder="1" applyAlignment="1">
      <alignment horizontal="center"/>
    </xf>
    <xf numFmtId="0" fontId="6" fillId="0" borderId="55" xfId="0" applyFont="1" applyBorder="1"/>
    <xf numFmtId="14" fontId="6" fillId="0" borderId="55" xfId="0" applyNumberFormat="1" applyFont="1" applyBorder="1"/>
    <xf numFmtId="14" fontId="15" fillId="3" borderId="55" xfId="0" applyNumberFormat="1" applyFont="1" applyFill="1" applyBorder="1" applyAlignment="1">
      <alignment horizontal="center"/>
    </xf>
    <xf numFmtId="14" fontId="15" fillId="0" borderId="55" xfId="0" applyNumberFormat="1" applyFont="1" applyBorder="1" applyAlignment="1">
      <alignment horizontal="center"/>
    </xf>
    <xf numFmtId="165" fontId="6" fillId="32" borderId="55" xfId="0" applyNumberFormat="1" applyFont="1" applyFill="1" applyBorder="1"/>
    <xf numFmtId="165" fontId="6" fillId="35" borderId="55" xfId="0" applyNumberFormat="1" applyFont="1" applyFill="1" applyBorder="1"/>
    <xf numFmtId="165" fontId="6" fillId="55" borderId="55" xfId="0" applyNumberFormat="1" applyFont="1" applyFill="1" applyBorder="1"/>
    <xf numFmtId="165" fontId="6" fillId="41" borderId="55" xfId="0" applyNumberFormat="1" applyFont="1" applyFill="1" applyBorder="1"/>
    <xf numFmtId="165" fontId="6" fillId="42" borderId="55" xfId="0" applyNumberFormat="1" applyFont="1" applyFill="1" applyBorder="1"/>
    <xf numFmtId="165" fontId="6" fillId="47" borderId="55" xfId="0" applyNumberFormat="1" applyFont="1" applyFill="1" applyBorder="1"/>
    <xf numFmtId="165" fontId="6" fillId="8" borderId="55" xfId="0" applyNumberFormat="1" applyFont="1" applyFill="1" applyBorder="1"/>
    <xf numFmtId="14" fontId="9" fillId="0" borderId="56" xfId="0" applyNumberFormat="1" applyFont="1" applyBorder="1"/>
    <xf numFmtId="166" fontId="6" fillId="0" borderId="55" xfId="0" applyNumberFormat="1" applyFont="1" applyBorder="1"/>
    <xf numFmtId="166" fontId="9" fillId="0" borderId="55" xfId="0" applyNumberFormat="1" applyFont="1" applyBorder="1"/>
    <xf numFmtId="166" fontId="0" fillId="0" borderId="55" xfId="0" applyNumberFormat="1" applyBorder="1"/>
    <xf numFmtId="165" fontId="9" fillId="32" borderId="9" xfId="0" applyNumberFormat="1" applyFont="1" applyFill="1" applyBorder="1"/>
    <xf numFmtId="165" fontId="9" fillId="32" borderId="19" xfId="0" applyNumberFormat="1" applyFont="1" applyFill="1" applyBorder="1"/>
    <xf numFmtId="165" fontId="13" fillId="32" borderId="19" xfId="0" applyNumberFormat="1" applyFont="1" applyFill="1" applyBorder="1"/>
    <xf numFmtId="165" fontId="9" fillId="32" borderId="7" xfId="0" applyNumberFormat="1" applyFont="1" applyFill="1" applyBorder="1"/>
    <xf numFmtId="165" fontId="6" fillId="35" borderId="19" xfId="0" applyNumberFormat="1" applyFont="1" applyFill="1" applyBorder="1"/>
    <xf numFmtId="165" fontId="9" fillId="35" borderId="19" xfId="0" applyNumberFormat="1" applyFont="1" applyFill="1" applyBorder="1"/>
    <xf numFmtId="165" fontId="52" fillId="55" borderId="55" xfId="0" applyNumberFormat="1" applyFont="1" applyFill="1" applyBorder="1"/>
    <xf numFmtId="165" fontId="6" fillId="42" borderId="19" xfId="0" applyNumberFormat="1" applyFont="1" applyFill="1" applyBorder="1"/>
    <xf numFmtId="165" fontId="6" fillId="55" borderId="19" xfId="0" applyNumberFormat="1" applyFont="1" applyFill="1" applyBorder="1"/>
    <xf numFmtId="165" fontId="6" fillId="55" borderId="7" xfId="0" applyNumberFormat="1" applyFont="1" applyFill="1" applyBorder="1"/>
    <xf numFmtId="165" fontId="9" fillId="35" borderId="9" xfId="0" applyNumberFormat="1" applyFont="1" applyFill="1" applyBorder="1"/>
    <xf numFmtId="165" fontId="9" fillId="35" borderId="12" xfId="0" applyNumberFormat="1" applyFont="1" applyFill="1" applyBorder="1"/>
    <xf numFmtId="165" fontId="9" fillId="35" borderId="15" xfId="0" applyNumberFormat="1" applyFont="1" applyFill="1" applyBorder="1"/>
    <xf numFmtId="165" fontId="6" fillId="32" borderId="8" xfId="0" applyNumberFormat="1" applyFont="1" applyFill="1" applyBorder="1"/>
    <xf numFmtId="165" fontId="6" fillId="32" borderId="7" xfId="0" applyNumberFormat="1" applyFont="1" applyFill="1" applyBorder="1"/>
    <xf numFmtId="165" fontId="6" fillId="35" borderId="14" xfId="0" applyNumberFormat="1" applyFont="1" applyFill="1" applyBorder="1"/>
    <xf numFmtId="165" fontId="6" fillId="35" borderId="18" xfId="0" applyNumberFormat="1" applyFont="1" applyFill="1" applyBorder="1"/>
    <xf numFmtId="165" fontId="9" fillId="55" borderId="7" xfId="0" applyNumberFormat="1" applyFont="1" applyFill="1" applyBorder="1"/>
    <xf numFmtId="165" fontId="9" fillId="55" borderId="19" xfId="0" applyNumberFormat="1" applyFont="1" applyFill="1" applyBorder="1"/>
    <xf numFmtId="165" fontId="9" fillId="43" borderId="19" xfId="0" applyNumberFormat="1" applyFont="1" applyFill="1" applyBorder="1"/>
    <xf numFmtId="165" fontId="5" fillId="43" borderId="9" xfId="0" applyNumberFormat="1" applyFont="1" applyFill="1" applyBorder="1"/>
    <xf numFmtId="165" fontId="6" fillId="43" borderId="9" xfId="0" applyNumberFormat="1" applyFont="1" applyFill="1" applyBorder="1"/>
    <xf numFmtId="165" fontId="43" fillId="43" borderId="52" xfId="0" applyNumberFormat="1" applyFont="1" applyFill="1" applyBorder="1"/>
    <xf numFmtId="165" fontId="6" fillId="41" borderId="19" xfId="0" applyNumberFormat="1" applyFont="1" applyFill="1" applyBorder="1"/>
    <xf numFmtId="165" fontId="6" fillId="35" borderId="0" xfId="0" applyNumberFormat="1" applyFont="1" applyFill="1"/>
    <xf numFmtId="165" fontId="6" fillId="43" borderId="19" xfId="0" applyNumberFormat="1" applyFont="1" applyFill="1" applyBorder="1"/>
    <xf numFmtId="165" fontId="13" fillId="32" borderId="7" xfId="0" applyNumberFormat="1" applyFont="1" applyFill="1" applyBorder="1"/>
    <xf numFmtId="165" fontId="9" fillId="43" borderId="7" xfId="0" applyNumberFormat="1" applyFont="1" applyFill="1" applyBorder="1"/>
    <xf numFmtId="165" fontId="6" fillId="37" borderId="19" xfId="0" applyNumberFormat="1" applyFont="1" applyFill="1" applyBorder="1"/>
    <xf numFmtId="165" fontId="6" fillId="41" borderId="7" xfId="0" applyNumberFormat="1" applyFont="1" applyFill="1" applyBorder="1"/>
    <xf numFmtId="165" fontId="6" fillId="42" borderId="54" xfId="0" applyNumberFormat="1" applyFont="1" applyFill="1" applyBorder="1"/>
    <xf numFmtId="165" fontId="6" fillId="62" borderId="19" xfId="0" applyNumberFormat="1" applyFont="1" applyFill="1" applyBorder="1"/>
    <xf numFmtId="165" fontId="9" fillId="35" borderId="14" xfId="0" applyNumberFormat="1" applyFont="1" applyFill="1" applyBorder="1"/>
    <xf numFmtId="165" fontId="6" fillId="35" borderId="8" xfId="0" applyNumberFormat="1" applyFont="1" applyFill="1" applyBorder="1"/>
    <xf numFmtId="165" fontId="6" fillId="62" borderId="54" xfId="0" applyNumberFormat="1" applyFont="1" applyFill="1" applyBorder="1"/>
    <xf numFmtId="165" fontId="9" fillId="35" borderId="6" xfId="0" applyNumberFormat="1" applyFont="1" applyFill="1" applyBorder="1"/>
    <xf numFmtId="0" fontId="4" fillId="2" borderId="7" xfId="0" applyFont="1" applyFill="1" applyBorder="1" applyAlignment="1">
      <alignment horizontal="center"/>
    </xf>
    <xf numFmtId="0" fontId="5" fillId="0" borderId="8" xfId="0" applyFont="1" applyBorder="1"/>
    <xf numFmtId="16" fontId="31" fillId="25" borderId="43" xfId="3" applyNumberFormat="1" applyFont="1" applyFill="1" applyBorder="1" applyAlignment="1">
      <alignment horizontal="center" vertical="center" wrapText="1"/>
    </xf>
    <xf numFmtId="16" fontId="31" fillId="25" borderId="9" xfId="3" applyNumberFormat="1" applyFont="1" applyFill="1" applyAlignment="1">
      <alignment horizontal="center" vertical="center" wrapText="1"/>
    </xf>
    <xf numFmtId="0" fontId="33" fillId="25" borderId="9" xfId="3" applyFont="1" applyFill="1" applyAlignment="1">
      <alignment horizontal="center" vertical="center" wrapText="1"/>
    </xf>
    <xf numFmtId="0" fontId="6" fillId="0" borderId="22" xfId="0" applyFont="1" applyBorder="1" applyAlignment="1">
      <alignment vertical="top" wrapText="1"/>
    </xf>
    <xf numFmtId="0" fontId="5" fillId="0" borderId="25" xfId="0" applyFont="1" applyBorder="1"/>
    <xf numFmtId="0" fontId="5" fillId="0" borderId="27" xfId="0" applyFont="1" applyBorder="1"/>
    <xf numFmtId="0" fontId="6" fillId="0" borderId="24" xfId="0" applyFont="1" applyBorder="1" applyAlignment="1">
      <alignment horizontal="left" vertical="top" wrapText="1"/>
    </xf>
    <xf numFmtId="0" fontId="5" fillId="0" borderId="24" xfId="0" applyFont="1" applyBorder="1"/>
  </cellXfs>
  <cellStyles count="6">
    <cellStyle name="Comma" xfId="1" builtinId="3"/>
    <cellStyle name="Currency" xfId="2" builtinId="4"/>
    <cellStyle name="Currency 2" xfId="5" xr:uid="{6C188FD4-C738-4EEE-AD22-5D202CF45558}"/>
    <cellStyle name="Normal" xfId="0" builtinId="0"/>
    <cellStyle name="Normal 2" xfId="3" xr:uid="{0D386D1E-E564-4349-9F72-C5ACB36BB60D}"/>
    <cellStyle name="Normal 3" xfId="4" xr:uid="{3C74DA32-0B01-4218-B6D9-EF318D4C48D6}"/>
  </cellStyles>
  <dxfs count="6">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bgColor rgb="FFC6EFCE"/>
        </patternFill>
      </fill>
    </dxf>
    <dxf>
      <numFmt numFmtId="35" formatCode="_(* #,##0.00_);_(* \(#,##0.00\);_(* &quot;-&quot;??_);_(@_)"/>
    </dxf>
    <dxf>
      <numFmt numFmtId="35" formatCode="_(* #,##0.00_);_(* \(#,##0.0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1"/></Relationships>
</file>

<file path=xl/_rels/comments2.xml.rels><?xml version="1.0" encoding="UTF-8" standalone="yes"?>
<Relationships xmlns="http://schemas.openxmlformats.org/package/2006/relationships"><Relationship Id="rId1" Type="http://customschemas.google.com/relationships/workbookmetadata" Target="commentsmeta0"/></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5.xml.rels><?xml version="1.0" encoding="UTF-8" standalone="yes"?>
<Relationships xmlns="http://schemas.openxmlformats.org/package/2006/relationships"><Relationship Id="rId1" Type="http://customschemas.google.com/relationships/workbookmetadata" Target="commentsmeta3"/></Relationships>
</file>

<file path=xl/_rels/comments6.xml.rels><?xml version="1.0" encoding="UTF-8" standalone="yes"?>
<Relationships xmlns="http://schemas.openxmlformats.org/package/2006/relationships"><Relationship Id="rId1" Type="http://customschemas.google.com/relationships/workbookmetadata" Target="commentsmeta4"/></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externalLink" Target="externalLinks/externalLink1.xml"/><Relationship Id="rId63"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59"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62"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8" Type="http://schemas.openxmlformats.org/officeDocument/2006/relationships/theme" Target="theme/theme1.xml"/><Relationship Id="rId66"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57" Type="http://customschemas.google.com/relationships/workbookmetadata" Target="metadata"/><Relationship Id="rId61"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60" Type="http://schemas.openxmlformats.org/officeDocument/2006/relationships/sharedStrings" Target="sharedStrings.xml"/><Relationship Id="rId65"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1.xml"/><Relationship Id="rId6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13-WEEK (OPERATING CASH FLOW v NET CASH FLOW)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OPERATING CASH FLOW</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'CURRENT WEEK CASHFLOW FORECAST'!$D$2:$P$2</c:f>
              <c:strCache>
                <c:ptCount val="13"/>
                <c:pt idx="0">
                  <c:v>Week 1</c:v>
                </c:pt>
                <c:pt idx="1">
                  <c:v>Week 2</c:v>
                </c:pt>
                <c:pt idx="2">
                  <c:v>Week 3</c:v>
                </c:pt>
                <c:pt idx="3">
                  <c:v>Week 4</c:v>
                </c:pt>
                <c:pt idx="4">
                  <c:v>Week 5</c:v>
                </c:pt>
                <c:pt idx="5">
                  <c:v>Week 6</c:v>
                </c:pt>
                <c:pt idx="6">
                  <c:v>Week 7</c:v>
                </c:pt>
                <c:pt idx="7">
                  <c:v>Week 8</c:v>
                </c:pt>
                <c:pt idx="8">
                  <c:v>Week 9</c:v>
                </c:pt>
                <c:pt idx="9">
                  <c:v>Week 10</c:v>
                </c:pt>
                <c:pt idx="10">
                  <c:v>Week 11</c:v>
                </c:pt>
                <c:pt idx="11">
                  <c:v>Week 12</c:v>
                </c:pt>
                <c:pt idx="12">
                  <c:v>Week 13</c:v>
                </c:pt>
              </c:strCache>
            </c:strRef>
          </c:cat>
          <c:val>
            <c:numRef>
              <c:f>'CURRENT WEEK CASHFLOW FORECAST'!$D$31:$P$31</c:f>
              <c:numCache>
                <c:formatCode>_(* #,##0_);_(* \(#,##0\);_(* "-"??_);_(@_)</c:formatCode>
                <c:ptCount val="13"/>
                <c:pt idx="0">
                  <c:v>-56674.110000000015</c:v>
                </c:pt>
                <c:pt idx="1">
                  <c:v>33431</c:v>
                </c:pt>
                <c:pt idx="2">
                  <c:v>-204834.5</c:v>
                </c:pt>
                <c:pt idx="3">
                  <c:v>-406079.69230769231</c:v>
                </c:pt>
                <c:pt idx="4">
                  <c:v>-58696.66</c:v>
                </c:pt>
                <c:pt idx="5">
                  <c:v>-271316.69230769231</c:v>
                </c:pt>
                <c:pt idx="6">
                  <c:v>-60900</c:v>
                </c:pt>
                <c:pt idx="7">
                  <c:v>-528316.69230769225</c:v>
                </c:pt>
                <c:pt idx="8">
                  <c:v>-178835.25</c:v>
                </c:pt>
                <c:pt idx="9">
                  <c:v>-737266.94230769225</c:v>
                </c:pt>
                <c:pt idx="10">
                  <c:v>68193.75</c:v>
                </c:pt>
                <c:pt idx="11">
                  <c:v>-250722.94230769231</c:v>
                </c:pt>
                <c:pt idx="12">
                  <c:v>457575</c:v>
                </c:pt>
              </c:numCache>
            </c:numRef>
          </c:val>
          <c:extLst>
            <c:ext xmlns:c16="http://schemas.microsoft.com/office/drawing/2014/chart" uri="{C3380CC4-5D6E-409C-BE32-E72D297353CC}">
              <c16:uniqueId val="{00000000-7D45-A448-B853-7214BEA6D6B5}"/>
            </c:ext>
          </c:extLst>
        </c:ser>
        <c:dLbls>
          <c:showLegendKey val="0"/>
          <c:showVal val="0"/>
          <c:showCatName val="0"/>
          <c:showSerName val="0"/>
          <c:showPercent val="0"/>
          <c:showBubbleSize val="0"/>
        </c:dLbls>
        <c:gapWidth val="150"/>
        <c:axId val="270627535"/>
        <c:axId val="270629263"/>
      </c:barChart>
      <c:lineChart>
        <c:grouping val="standard"/>
        <c:varyColors val="0"/>
        <c:ser>
          <c:idx val="1"/>
          <c:order val="1"/>
          <c:tx>
            <c:v>NET CASH FLOW</c:v>
          </c:tx>
          <c:spPr>
            <a:ln w="28575" cap="rnd">
              <a:solidFill>
                <a:schemeClr val="accent2"/>
              </a:solidFill>
              <a:round/>
            </a:ln>
            <a:effectLst/>
          </c:spPr>
          <c:marker>
            <c:symbol val="circle"/>
            <c:size val="11"/>
            <c:spPr>
              <a:solidFill>
                <a:srgbClr val="FFC000"/>
              </a:solidFill>
              <a:ln w="9525">
                <a:solidFill>
                  <a:schemeClr val="accent2"/>
                </a:solidFill>
              </a:ln>
              <a:effectLst/>
            </c:spPr>
          </c:marker>
          <c:cat>
            <c:strRef>
              <c:f>'CURRENT WEEK CASHFLOW FORECAST'!$D$2:$P$2</c:f>
              <c:strCache>
                <c:ptCount val="13"/>
                <c:pt idx="0">
                  <c:v>Week 1</c:v>
                </c:pt>
                <c:pt idx="1">
                  <c:v>Week 2</c:v>
                </c:pt>
                <c:pt idx="2">
                  <c:v>Week 3</c:v>
                </c:pt>
                <c:pt idx="3">
                  <c:v>Week 4</c:v>
                </c:pt>
                <c:pt idx="4">
                  <c:v>Week 5</c:v>
                </c:pt>
                <c:pt idx="5">
                  <c:v>Week 6</c:v>
                </c:pt>
                <c:pt idx="6">
                  <c:v>Week 7</c:v>
                </c:pt>
                <c:pt idx="7">
                  <c:v>Week 8</c:v>
                </c:pt>
                <c:pt idx="8">
                  <c:v>Week 9</c:v>
                </c:pt>
                <c:pt idx="9">
                  <c:v>Week 10</c:v>
                </c:pt>
                <c:pt idx="10">
                  <c:v>Week 11</c:v>
                </c:pt>
                <c:pt idx="11">
                  <c:v>Week 12</c:v>
                </c:pt>
                <c:pt idx="12">
                  <c:v>Week 13</c:v>
                </c:pt>
              </c:strCache>
            </c:strRef>
          </c:cat>
          <c:val>
            <c:numRef>
              <c:f>'CURRENT WEEK CASHFLOW FORECAST'!$D$43:$P$43</c:f>
              <c:numCache>
                <c:formatCode>_("$"* #,##0_);_("$"* \(#,##0\);_("$"* "-"??_);_(@_)</c:formatCode>
                <c:ptCount val="13"/>
                <c:pt idx="0">
                  <c:v>-56674.110000000015</c:v>
                </c:pt>
                <c:pt idx="1">
                  <c:v>33431</c:v>
                </c:pt>
                <c:pt idx="2">
                  <c:v>-119834.5</c:v>
                </c:pt>
                <c:pt idx="3">
                  <c:v>93920.307692307688</c:v>
                </c:pt>
                <c:pt idx="4">
                  <c:v>-58696.66</c:v>
                </c:pt>
                <c:pt idx="5">
                  <c:v>-271316.69230769231</c:v>
                </c:pt>
                <c:pt idx="6">
                  <c:v>189100</c:v>
                </c:pt>
                <c:pt idx="7">
                  <c:v>206683.30769230775</c:v>
                </c:pt>
                <c:pt idx="8">
                  <c:v>-178835.25</c:v>
                </c:pt>
                <c:pt idx="9">
                  <c:v>-137266.94230769225</c:v>
                </c:pt>
                <c:pt idx="10">
                  <c:v>68193.75</c:v>
                </c:pt>
                <c:pt idx="11">
                  <c:v>-265722.94230769231</c:v>
                </c:pt>
                <c:pt idx="12">
                  <c:v>457575</c:v>
                </c:pt>
              </c:numCache>
            </c:numRef>
          </c:val>
          <c:smooth val="0"/>
          <c:extLst>
            <c:ext xmlns:c16="http://schemas.microsoft.com/office/drawing/2014/chart" uri="{C3380CC4-5D6E-409C-BE32-E72D297353CC}">
              <c16:uniqueId val="{00000001-7D45-A448-B853-7214BEA6D6B5}"/>
            </c:ext>
          </c:extLst>
        </c:ser>
        <c:dLbls>
          <c:showLegendKey val="0"/>
          <c:showVal val="0"/>
          <c:showCatName val="0"/>
          <c:showSerName val="0"/>
          <c:showPercent val="0"/>
          <c:showBubbleSize val="0"/>
        </c:dLbls>
        <c:marker val="1"/>
        <c:smooth val="0"/>
        <c:axId val="1995469328"/>
        <c:axId val="1995501888"/>
      </c:lineChart>
      <c:catAx>
        <c:axId val="270627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629263"/>
        <c:crosses val="autoZero"/>
        <c:auto val="1"/>
        <c:lblAlgn val="ctr"/>
        <c:lblOffset val="100"/>
        <c:noMultiLvlLbl val="0"/>
      </c:catAx>
      <c:valAx>
        <c:axId val="270629263"/>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627535"/>
        <c:crosses val="autoZero"/>
        <c:crossBetween val="between"/>
      </c:valAx>
      <c:valAx>
        <c:axId val="1995501888"/>
        <c:scaling>
          <c:orientation val="minMax"/>
        </c:scaling>
        <c:delete val="0"/>
        <c:axPos val="r"/>
        <c:numFmt formatCode="_(&quot;$&quot;* #,##0_);_(&quot;$&quot;* \(#,##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469328"/>
        <c:crosses val="max"/>
        <c:crossBetween val="between"/>
      </c:valAx>
      <c:catAx>
        <c:axId val="1995469328"/>
        <c:scaling>
          <c:orientation val="minMax"/>
        </c:scaling>
        <c:delete val="1"/>
        <c:axPos val="b"/>
        <c:numFmt formatCode="General" sourceLinked="1"/>
        <c:majorTickMark val="out"/>
        <c:minorTickMark val="none"/>
        <c:tickLblPos val="nextTo"/>
        <c:crossAx val="1995501888"/>
        <c:crosses val="autoZero"/>
        <c:auto val="1"/>
        <c:lblAlgn val="ctr"/>
        <c:lblOffset val="100"/>
        <c:noMultiLvlLbl val="0"/>
      </c:cat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13 Week Cashflow &amp; Variance to Last Week Forecast</a:t>
            </a:r>
          </a:p>
        </c:rich>
      </c:tx>
      <c:overlay val="0"/>
    </c:title>
    <c:autoTitleDeleted val="0"/>
    <c:plotArea>
      <c:layout>
        <c:manualLayout>
          <c:xMode val="edge"/>
          <c:yMode val="edge"/>
          <c:x val="8.7074475523304939E-2"/>
          <c:y val="0.16008747352772282"/>
          <c:w val="0.82503635662689823"/>
          <c:h val="0.79157046158703848"/>
        </c:manualLayout>
      </c:layout>
      <c:lineChart>
        <c:grouping val="standard"/>
        <c:varyColors val="1"/>
        <c:ser>
          <c:idx val="0"/>
          <c:order val="0"/>
          <c:tx>
            <c:v>ENDING BOOK BALANCE [CURRENT FORECAST]</c:v>
          </c:tx>
          <c:spPr>
            <a:ln w="28575" cmpd="sng">
              <a:solidFill>
                <a:schemeClr val="accent1"/>
              </a:solidFill>
            </a:ln>
          </c:spPr>
          <c:marker>
            <c:symbol val="circle"/>
            <c:size val="5"/>
            <c:spPr>
              <a:solidFill>
                <a:schemeClr val="accent1"/>
              </a:solidFill>
              <a:ln cmpd="sng">
                <a:solidFill>
                  <a:schemeClr val="accent1"/>
                </a:solidFill>
              </a:ln>
            </c:spPr>
          </c:marker>
          <c:cat>
            <c:numRef>
              <c:f>'CASHFLOW VARIANCE ANALYSIS'!$C$32:$O$32</c:f>
              <c:numCache>
                <c:formatCode>[$-409]d\-mmm</c:formatCode>
                <c:ptCount val="13"/>
                <c:pt idx="0">
                  <c:v>45971</c:v>
                </c:pt>
                <c:pt idx="1">
                  <c:v>45978</c:v>
                </c:pt>
                <c:pt idx="2">
                  <c:v>45985</c:v>
                </c:pt>
                <c:pt idx="3">
                  <c:v>45992</c:v>
                </c:pt>
                <c:pt idx="4">
                  <c:v>45999</c:v>
                </c:pt>
                <c:pt idx="5">
                  <c:v>46006</c:v>
                </c:pt>
                <c:pt idx="6">
                  <c:v>46013</c:v>
                </c:pt>
                <c:pt idx="7">
                  <c:v>46020</c:v>
                </c:pt>
                <c:pt idx="8">
                  <c:v>46027</c:v>
                </c:pt>
                <c:pt idx="9">
                  <c:v>46034</c:v>
                </c:pt>
                <c:pt idx="10">
                  <c:v>46041</c:v>
                </c:pt>
                <c:pt idx="11">
                  <c:v>46048</c:v>
                </c:pt>
                <c:pt idx="12">
                  <c:v>46055</c:v>
                </c:pt>
              </c:numCache>
            </c:numRef>
          </c:cat>
          <c:val>
            <c:numRef>
              <c:f>'CASHFLOW VARIANCE ANALYSIS'!$C$33:$O$33</c:f>
              <c:numCache>
                <c:formatCode>_("$"* #,##0_);_("$"* \(#,##0\);_("$"* "-"??_);_(@_)</c:formatCode>
                <c:ptCount val="13"/>
                <c:pt idx="0">
                  <c:v>713136.19000000006</c:v>
                </c:pt>
                <c:pt idx="1">
                  <c:v>746567.19000000006</c:v>
                </c:pt>
                <c:pt idx="2">
                  <c:v>626732.69000000006</c:v>
                </c:pt>
                <c:pt idx="3">
                  <c:v>720652.99769230769</c:v>
                </c:pt>
                <c:pt idx="4">
                  <c:v>661956.33769230766</c:v>
                </c:pt>
                <c:pt idx="5">
                  <c:v>390639.64538461535</c:v>
                </c:pt>
                <c:pt idx="6">
                  <c:v>579739.64538461529</c:v>
                </c:pt>
                <c:pt idx="7">
                  <c:v>786422.95307692303</c:v>
                </c:pt>
                <c:pt idx="8">
                  <c:v>607587.70307692303</c:v>
                </c:pt>
                <c:pt idx="9">
                  <c:v>470320.76076923078</c:v>
                </c:pt>
                <c:pt idx="10">
                  <c:v>538514.51076923078</c:v>
                </c:pt>
                <c:pt idx="11">
                  <c:v>272791.56846153847</c:v>
                </c:pt>
                <c:pt idx="12">
                  <c:v>730366.56846153853</c:v>
                </c:pt>
              </c:numCache>
            </c:numRef>
          </c:val>
          <c:smooth val="0"/>
          <c:extLst>
            <c:ext xmlns:c16="http://schemas.microsoft.com/office/drawing/2014/chart" uri="{C3380CC4-5D6E-409C-BE32-E72D297353CC}">
              <c16:uniqueId val="{00000000-D26B-42E4-B68C-C1F826AE519D}"/>
            </c:ext>
          </c:extLst>
        </c:ser>
        <c:ser>
          <c:idx val="1"/>
          <c:order val="1"/>
          <c:tx>
            <c:v>ENDING BOOK BALANCE [LAST WEEK FORECAST]</c:v>
          </c:tx>
          <c:spPr>
            <a:ln w="28575" cmpd="sng">
              <a:solidFill>
                <a:schemeClr val="accent1"/>
              </a:solidFill>
              <a:prstDash val="lgDash"/>
            </a:ln>
          </c:spPr>
          <c:marker>
            <c:symbol val="circle"/>
            <c:size val="5"/>
            <c:spPr>
              <a:solidFill>
                <a:schemeClr val="accent1"/>
              </a:solidFill>
              <a:ln cmpd="sng">
                <a:solidFill>
                  <a:schemeClr val="accent1"/>
                </a:solidFill>
              </a:ln>
            </c:spPr>
          </c:marker>
          <c:cat>
            <c:numRef>
              <c:f>'CASHFLOW VARIANCE ANALYSIS'!$C$32:$O$32</c:f>
              <c:numCache>
                <c:formatCode>[$-409]d\-mmm</c:formatCode>
                <c:ptCount val="13"/>
                <c:pt idx="0">
                  <c:v>45971</c:v>
                </c:pt>
                <c:pt idx="1">
                  <c:v>45978</c:v>
                </c:pt>
                <c:pt idx="2">
                  <c:v>45985</c:v>
                </c:pt>
                <c:pt idx="3">
                  <c:v>45992</c:v>
                </c:pt>
                <c:pt idx="4">
                  <c:v>45999</c:v>
                </c:pt>
                <c:pt idx="5">
                  <c:v>46006</c:v>
                </c:pt>
                <c:pt idx="6">
                  <c:v>46013</c:v>
                </c:pt>
                <c:pt idx="7">
                  <c:v>46020</c:v>
                </c:pt>
                <c:pt idx="8">
                  <c:v>46027</c:v>
                </c:pt>
                <c:pt idx="9">
                  <c:v>46034</c:v>
                </c:pt>
                <c:pt idx="10">
                  <c:v>46041</c:v>
                </c:pt>
                <c:pt idx="11">
                  <c:v>46048</c:v>
                </c:pt>
                <c:pt idx="12">
                  <c:v>46055</c:v>
                </c:pt>
              </c:numCache>
            </c:numRef>
          </c:cat>
          <c:val>
            <c:numRef>
              <c:f>'CASHFLOW VARIANCE ANALYSIS'!$C$34:$O$34</c:f>
              <c:numCache>
                <c:formatCode>_("$"* #,##0_);_("$"* \(#,##0\);_("$"* "-"??_);_(@_)</c:formatCode>
                <c:ptCount val="13"/>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1-D26B-42E4-B68C-C1F826AE519D}"/>
            </c:ext>
          </c:extLst>
        </c:ser>
        <c:ser>
          <c:idx val="2"/>
          <c:order val="2"/>
          <c:tx>
            <c:v>Variance ($)</c:v>
          </c:tx>
          <c:spPr>
            <a:ln w="28575" cmpd="sng">
              <a:solidFill>
                <a:srgbClr val="A5A5A5">
                  <a:alpha val="100000"/>
                </a:srgbClr>
              </a:solidFill>
            </a:ln>
          </c:spPr>
          <c:marker>
            <c:symbol val="circle"/>
            <c:size val="5"/>
            <c:spPr>
              <a:solidFill>
                <a:srgbClr val="A5A5A5">
                  <a:alpha val="100000"/>
                </a:srgbClr>
              </a:solidFill>
              <a:ln cmpd="sng">
                <a:solidFill>
                  <a:srgbClr val="A5A5A5">
                    <a:alpha val="100000"/>
                  </a:srgbClr>
                </a:solidFill>
              </a:ln>
            </c:spPr>
          </c:marker>
          <c:cat>
            <c:numRef>
              <c:f>'CASHFLOW VARIANCE ANALYSIS'!$C$32:$O$32</c:f>
              <c:numCache>
                <c:formatCode>[$-409]d\-mmm</c:formatCode>
                <c:ptCount val="13"/>
                <c:pt idx="0">
                  <c:v>45971</c:v>
                </c:pt>
                <c:pt idx="1">
                  <c:v>45978</c:v>
                </c:pt>
                <c:pt idx="2">
                  <c:v>45985</c:v>
                </c:pt>
                <c:pt idx="3">
                  <c:v>45992</c:v>
                </c:pt>
                <c:pt idx="4">
                  <c:v>45999</c:v>
                </c:pt>
                <c:pt idx="5">
                  <c:v>46006</c:v>
                </c:pt>
                <c:pt idx="6">
                  <c:v>46013</c:v>
                </c:pt>
                <c:pt idx="7">
                  <c:v>46020</c:v>
                </c:pt>
                <c:pt idx="8">
                  <c:v>46027</c:v>
                </c:pt>
                <c:pt idx="9">
                  <c:v>46034</c:v>
                </c:pt>
                <c:pt idx="10">
                  <c:v>46041</c:v>
                </c:pt>
                <c:pt idx="11">
                  <c:v>46048</c:v>
                </c:pt>
                <c:pt idx="12">
                  <c:v>46055</c:v>
                </c:pt>
              </c:numCache>
            </c:numRef>
          </c:cat>
          <c:val>
            <c:numRef>
              <c:f>'CASHFLOW VARIANCE ANALYSIS'!$D$36:$O$36</c:f>
              <c:numCache>
                <c:formatCode>_("$"* #,##0_);_("$"* \(#,##0\);_("$"* "-"??_);_(@_)</c:formatCode>
                <c:ptCount val="12"/>
                <c:pt idx="0">
                  <c:v>746567.19000000006</c:v>
                </c:pt>
                <c:pt idx="1">
                  <c:v>626732.69000000006</c:v>
                </c:pt>
                <c:pt idx="2">
                  <c:v>720652.99769230769</c:v>
                </c:pt>
                <c:pt idx="3">
                  <c:v>661956.33769230766</c:v>
                </c:pt>
                <c:pt idx="4">
                  <c:v>390639.64538461535</c:v>
                </c:pt>
                <c:pt idx="5">
                  <c:v>579739.64538461529</c:v>
                </c:pt>
                <c:pt idx="6">
                  <c:v>786422.95307692303</c:v>
                </c:pt>
                <c:pt idx="7">
                  <c:v>607587.70307692303</c:v>
                </c:pt>
                <c:pt idx="8">
                  <c:v>470320.76076923078</c:v>
                </c:pt>
                <c:pt idx="9">
                  <c:v>538514.51076923078</c:v>
                </c:pt>
                <c:pt idx="10">
                  <c:v>272791.56846153847</c:v>
                </c:pt>
              </c:numCache>
            </c:numRef>
          </c:val>
          <c:smooth val="0"/>
          <c:extLst>
            <c:ext xmlns:c16="http://schemas.microsoft.com/office/drawing/2014/chart" uri="{C3380CC4-5D6E-409C-BE32-E72D297353CC}">
              <c16:uniqueId val="{00000002-D26B-42E4-B68C-C1F826AE519D}"/>
            </c:ext>
          </c:extLst>
        </c:ser>
        <c:dLbls>
          <c:showLegendKey val="0"/>
          <c:showVal val="0"/>
          <c:showCatName val="0"/>
          <c:showSerName val="0"/>
          <c:showPercent val="0"/>
          <c:showBubbleSize val="0"/>
        </c:dLbls>
        <c:marker val="1"/>
        <c:smooth val="0"/>
        <c:axId val="1657067161"/>
        <c:axId val="715357554"/>
      </c:lineChart>
      <c:dateAx>
        <c:axId val="1657067161"/>
        <c:scaling>
          <c:orientation val="minMax"/>
        </c:scaling>
        <c:delete val="0"/>
        <c:axPos val="b"/>
        <c:title>
          <c:tx>
            <c:rich>
              <a:bodyPr/>
              <a:lstStyle/>
              <a:p>
                <a:pPr lvl="0">
                  <a:defRPr b="0">
                    <a:solidFill>
                      <a:srgbClr val="000000"/>
                    </a:solidFill>
                    <a:latin typeface="+mn-lt"/>
                  </a:defRPr>
                </a:pPr>
                <a:endParaRPr lang="en-US"/>
              </a:p>
            </c:rich>
          </c:tx>
          <c:overlay val="0"/>
        </c:title>
        <c:numFmt formatCode="[$-409]d\-mmm" sourceLinked="1"/>
        <c:majorTickMark val="out"/>
        <c:minorTickMark val="none"/>
        <c:tickLblPos val="nextTo"/>
        <c:txPr>
          <a:bodyPr/>
          <a:lstStyle/>
          <a:p>
            <a:pPr lvl="0">
              <a:defRPr b="0" i="0">
                <a:solidFill>
                  <a:srgbClr val="000000"/>
                </a:solidFill>
                <a:latin typeface="+mn-lt"/>
              </a:defRPr>
            </a:pPr>
            <a:endParaRPr lang="en-US"/>
          </a:p>
        </c:txPr>
        <c:crossAx val="715357554"/>
        <c:crosses val="autoZero"/>
        <c:auto val="1"/>
        <c:lblOffset val="100"/>
        <c:baseTimeUnit val="days"/>
      </c:dateAx>
      <c:valAx>
        <c:axId val="715357554"/>
        <c:scaling>
          <c:orientation val="minMax"/>
        </c:scaling>
        <c:delete val="0"/>
        <c:axPos val="l"/>
        <c:majorGridlines>
          <c:spPr>
            <a:ln>
              <a:solidFill>
                <a:srgbClr val="B7B7B7"/>
              </a:solidFill>
            </a:ln>
          </c:spPr>
        </c:majorGridlines>
        <c:title>
          <c:tx>
            <c:rich>
              <a:bodyPr/>
              <a:lstStyle/>
              <a:p>
                <a:pPr lvl="0">
                  <a:defRPr sz="1000" b="0" i="0">
                    <a:solidFill>
                      <a:srgbClr val="000000"/>
                    </a:solidFill>
                    <a:latin typeface="+mn-lt"/>
                  </a:defRPr>
                </a:pPr>
                <a:r>
                  <a:rPr lang="en-US" sz="1000" b="0" i="0">
                    <a:solidFill>
                      <a:srgbClr val="000000"/>
                    </a:solidFill>
                    <a:latin typeface="+mn-lt"/>
                  </a:rPr>
                  <a:t>Ending Book Balance ($)</a:t>
                </a:r>
              </a:p>
            </c:rich>
          </c:tx>
          <c:layout>
            <c:manualLayout>
              <c:xMode val="edge"/>
              <c:yMode val="edge"/>
              <c:x val="1.1773186153913111E-2"/>
              <c:y val="0.41088407712901343"/>
            </c:manualLayout>
          </c:layout>
          <c:overlay val="0"/>
        </c:title>
        <c:numFmt formatCode="_(&quot;$&quot;* #,##0_);_(&quot;$&quot;* \(#,##0\);_(&quot;$&quot;* &quot;-&quot;??_);_(@_)" sourceLinked="1"/>
        <c:majorTickMark val="out"/>
        <c:minorTickMark val="none"/>
        <c:tickLblPos val="nextTo"/>
        <c:spPr>
          <a:ln/>
        </c:spPr>
        <c:txPr>
          <a:bodyPr/>
          <a:lstStyle/>
          <a:p>
            <a:pPr lvl="0">
              <a:defRPr sz="900" b="0" i="0">
                <a:solidFill>
                  <a:srgbClr val="000000"/>
                </a:solidFill>
                <a:latin typeface="+mn-lt"/>
              </a:defRPr>
            </a:pPr>
            <a:endParaRPr lang="en-US"/>
          </a:p>
        </c:txPr>
        <c:crossAx val="1657067161"/>
        <c:crosses val="autoZero"/>
        <c:crossBetween val="between"/>
      </c:valAx>
    </c:plotArea>
    <c:legend>
      <c:legendPos val="t"/>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oneCellAnchor>
    <xdr:from>
      <xdr:col>1</xdr:col>
      <xdr:colOff>9525</xdr:colOff>
      <xdr:row>45</xdr:row>
      <xdr:rowOff>142875</xdr:rowOff>
    </xdr:from>
    <xdr:ext cx="11858625" cy="642937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14</xdr:col>
      <xdr:colOff>704850</xdr:colOff>
      <xdr:row>53</xdr:row>
      <xdr:rowOff>85725</xdr:rowOff>
    </xdr:from>
    <xdr:to>
      <xdr:col>22</xdr:col>
      <xdr:colOff>971550</xdr:colOff>
      <xdr:row>73</xdr:row>
      <xdr:rowOff>85725</xdr:rowOff>
    </xdr:to>
    <xdr:graphicFrame macro="">
      <xdr:nvGraphicFramePr>
        <xdr:cNvPr id="7" name="Chart 1">
          <a:extLst>
            <a:ext uri="{FF2B5EF4-FFF2-40B4-BE49-F238E27FC236}">
              <a16:creationId xmlns:a16="http://schemas.microsoft.com/office/drawing/2014/main" id="{7D9B7468-ECC5-1049-B513-76BC6ED72B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1</xdr:col>
      <xdr:colOff>2790825</xdr:colOff>
      <xdr:row>1</xdr:row>
      <xdr:rowOff>76200</xdr:rowOff>
    </xdr:from>
    <xdr:ext cx="15506700" cy="4810125"/>
    <xdr:graphicFrame macro="">
      <xdr:nvGraphicFramePr>
        <xdr:cNvPr id="1895252531" name="Chart 1">
          <a:extLst>
            <a:ext uri="{FF2B5EF4-FFF2-40B4-BE49-F238E27FC236}">
              <a16:creationId xmlns:a16="http://schemas.microsoft.com/office/drawing/2014/main" id="{00000000-0008-0000-0300-00003342F7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boundlessdevicesinc.sharepoint.com/sites/BoundlessDevices/Shared%20Documents/FINANCE/Financial%20Statements%20and%20Work%20Papers/9%202025%20ME/TR%20Reporting%20Package%20Sept%202025%2010.10%20final.xlsx" TargetMode="External"/><Relationship Id="rId1" Type="http://schemas.openxmlformats.org/officeDocument/2006/relationships/externalLinkPath" Target="https://boundlessdevicesinc.sharepoint.com/sites/BoundlessDevices/Shared%20Documents/FINANCE/Financial%20Statements%20and%20Work%20Papers/9%202025%20ME/TR%20Reporting%20Package%20Sept%202025%2010.10%20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KWrp05Qry06tNuz2YASUUF1H6tba4RhArFWU7dq2AjNFY2wzwdP9QYslcnvEaTTd" itemId="01ERWHWRJZQFIM5OIHCJEYWGKCFCCQBTTA">
      <xxl21:absoluteUrl r:id="rId2"/>
    </xxl21:alternateUrls>
    <sheetNames>
      <sheetName val="Sheet7"/>
      <sheetName val="Instructions"/>
      <sheetName val="Financial Highlights"/>
      <sheetName val="IS Proforma"/>
      <sheetName val="IS"/>
      <sheetName val="Add-Back Schedule"/>
      <sheetName val="KPI Data"/>
      <sheetName val="IS - Pre Acquisition"/>
      <sheetName val="IS Int"/>
      <sheetName val="Change Analysis"/>
      <sheetName val="Common Size"/>
      <sheetName val="BS"/>
      <sheetName val="CF (Indirect)"/>
      <sheetName val="CF"/>
      <sheetName val="Equity RF"/>
      <sheetName val="ERP DATA ---&gt;"/>
      <sheetName val="Master Workday Mapping"/>
      <sheetName val="TB Mapping"/>
      <sheetName val="Workday COA"/>
      <sheetName val="PY - TB"/>
      <sheetName val="CY - TB "/>
      <sheetName val="FINANCIAL SCHEDULES ---&gt;"/>
      <sheetName val="BUDGET ---&gt;"/>
      <sheetName val="P&amp;L Budget Compare proforma"/>
      <sheetName val="P&amp;L Budget Compare"/>
      <sheetName val="Monthly P&amp;L Budget"/>
      <sheetName val="Trial Balance"/>
    </sheetNames>
    <sheetDataSet>
      <sheetData sheetId="0"/>
      <sheetData sheetId="1"/>
      <sheetData sheetId="2"/>
      <sheetData sheetId="3"/>
      <sheetData sheetId="4">
        <row r="5">
          <cell r="T5">
            <v>183616.54999999996</v>
          </cell>
          <cell r="U5">
            <v>140452.03</v>
          </cell>
          <cell r="V5">
            <v>139895.86000000002</v>
          </cell>
          <cell r="W5">
            <v>187923.43</v>
          </cell>
          <cell r="X5">
            <v>305955.29000000004</v>
          </cell>
          <cell r="Y5">
            <v>968806.92</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ow r="4">
          <cell r="X4">
            <v>701606.66666666663</v>
          </cell>
        </row>
      </sheetData>
      <sheetData sheetId="25"/>
      <sheetData sheetId="26"/>
    </sheetDataSet>
  </externalBook>
</externalLink>
</file>

<file path=xl/persons/person.xml><?xml version="1.0" encoding="utf-8"?>
<personList xmlns="http://schemas.microsoft.com/office/spreadsheetml/2018/threadedcomments" xmlns:x="http://schemas.openxmlformats.org/spreadsheetml/2006/main">
  <person displayName="Hannah Mitchem" id="{960701F8-4556-4F38-8B86-9D2348A5F256}" userId="S::hmitchem@boundlessdevices.com::8a5f4026-eaaa-458f-a6a9-d753b5d3439c" providerId="AD"/>
  <person displayName="Karen Drennan" id="{FD5BC63E-2CC8-4379-9F0E-CAEEA77518B2}" userId="S::kdrennan@boundlessdevices.com::caa5f069-cb88-4e2a-8deb-0824174b8056"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en Drennan" refreshedDate="45849.648623379631" createdVersion="8" refreshedVersion="8" minRefreshableVersion="3" recordCount="32" xr:uid="{986D6831-EA11-4218-92FD-D6B23E0ABC73}">
  <cacheSource type="worksheet">
    <worksheetSource ref="B2:G34" sheet="MTN Payment Schedule Summary"/>
  </cacheSource>
  <cacheFields count="9">
    <cacheField name="Date" numFmtId="14">
      <sharedItems containsSemiMixedTypes="0" containsNonDate="0" containsDate="1" containsString="0" minDate="2025-07-18T00:00:00" maxDate="2026-01-31T00:00:00" count="8">
        <d v="2025-07-18T00:00:00"/>
        <d v="2025-07-20T00:00:00"/>
        <d v="2025-08-01T00:00:00"/>
        <d v="2025-08-12T00:00:00"/>
        <d v="2025-09-30T00:00:00"/>
        <d v="2025-10-30T00:00:00"/>
        <d v="2025-12-30T00:00:00"/>
        <d v="2026-01-30T00:00:00"/>
      </sharedItems>
      <fieldGroup par="8"/>
    </cacheField>
    <cacheField name="Amount" numFmtId="0">
      <sharedItems containsSemiMixedTypes="0" containsString="0" containsNumber="1" minValue="1225" maxValue="301000"/>
    </cacheField>
    <cacheField name="Project" numFmtId="0">
      <sharedItems/>
    </cacheField>
    <cacheField name="Premier&amp;Moto Model" numFmtId="0">
      <sharedItems/>
    </cacheField>
    <cacheField name="Note" numFmtId="0">
      <sharedItems/>
    </cacheField>
    <cacheField name="Type" numFmtId="0">
      <sharedItems count="6">
        <s v="D q15"/>
        <s v="I Q15"/>
        <s v="I"/>
        <s v="D q21"/>
        <s v="Dq21"/>
        <s v="I Q21"/>
      </sharedItems>
    </cacheField>
    <cacheField name="Months (Date)" numFmtId="0" databaseField="0">
      <fieldGroup base="0">
        <rangePr groupBy="months" startDate="2025-07-18T00:00:00" endDate="2026-01-31T00:00:00"/>
        <groupItems count="14">
          <s v="&lt;7/18/2025"/>
          <s v="Jan"/>
          <s v="Feb"/>
          <s v="Mar"/>
          <s v="Apr"/>
          <s v="May"/>
          <s v="Jun"/>
          <s v="Jul"/>
          <s v="Aug"/>
          <s v="Sep"/>
          <s v="Oct"/>
          <s v="Nov"/>
          <s v="Dec"/>
          <s v="&gt;1/31/2026"/>
        </groupItems>
      </fieldGroup>
    </cacheField>
    <cacheField name="Quarters (Date)" numFmtId="0" databaseField="0">
      <fieldGroup base="0">
        <rangePr groupBy="quarters" startDate="2025-07-18T00:00:00" endDate="2026-01-31T00:00:00"/>
        <groupItems count="6">
          <s v="&lt;7/18/2025"/>
          <s v="Qtr1"/>
          <s v="Qtr2"/>
          <s v="Qtr3"/>
          <s v="Qtr4"/>
          <s v="&gt;1/31/2026"/>
        </groupItems>
      </fieldGroup>
    </cacheField>
    <cacheField name="Years (Date)" numFmtId="0" databaseField="0">
      <fieldGroup base="0">
        <rangePr groupBy="years" startDate="2025-07-18T00:00:00" endDate="2026-01-31T00:00:00"/>
        <groupItems count="4">
          <s v="&lt;7/18/2025"/>
          <s v="2025"/>
          <s v="2026"/>
          <s v="&gt;1/31/2026"/>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
  <r>
    <x v="0"/>
    <n v="13827.5"/>
    <s v="MNQ15 EU"/>
    <s v="MNQ1525-30W-E"/>
    <s v="50% of the development cost"/>
    <x v="0"/>
  </r>
  <r>
    <x v="0"/>
    <n v="52200"/>
    <s v="MNQ15 EU"/>
    <s v="MNQ1525-30W-E"/>
    <s v="30% Deposit  of 5K PO"/>
    <x v="1"/>
  </r>
  <r>
    <x v="0"/>
    <n v="1225"/>
    <s v="MNQ15 ANZ"/>
    <s v="MNQ1525-30W-A"/>
    <s v="50% of the development cost"/>
    <x v="0"/>
  </r>
  <r>
    <x v="0"/>
    <n v="52500"/>
    <s v="MNQ15 ANZ"/>
    <s v="MNQ1525-30W-A"/>
    <s v="30% Deposit  of 5K PO"/>
    <x v="1"/>
  </r>
  <r>
    <x v="1"/>
    <n v="50000"/>
    <s v="MNQ15&amp;MNQ21 DDR"/>
    <s v="MNQ15&amp;MNQ21"/>
    <s v="Deposit for 100K 1GB DDR4"/>
    <x v="2"/>
  </r>
  <r>
    <x v="2"/>
    <n v="73223.350000000006"/>
    <s v="MNQ21 US "/>
    <s v="MNQ1525-30W-U"/>
    <s v="50% of the development cost"/>
    <x v="3"/>
  </r>
  <r>
    <x v="2"/>
    <n v="16287.5"/>
    <s v="MNQ21 EU"/>
    <s v="MNQ2126-30W-E"/>
    <s v="50% of the development cost"/>
    <x v="4"/>
  </r>
  <r>
    <x v="2"/>
    <n v="1225"/>
    <s v="MNQ21 ANZ"/>
    <s v="MNQ2126-30W-A"/>
    <s v="50% of the development cost"/>
    <x v="4"/>
  </r>
  <r>
    <x v="3"/>
    <n v="12350"/>
    <s v="MNQ1525"/>
    <s v="MNQ1525-30W-U"/>
    <s v="200Units Engneer sample and shipping cost"/>
    <x v="4"/>
  </r>
  <r>
    <x v="4"/>
    <n v="71118.69"/>
    <s v="MNQ1525"/>
    <s v="MNQ1525-30W-U"/>
    <s v="Rest payment of the development cost"/>
    <x v="0"/>
  </r>
  <r>
    <x v="4"/>
    <n v="249000"/>
    <s v="MNQ1525"/>
    <s v="MNQ1525-30W-U"/>
    <s v="Rest payment of the 10K PO before shippment"/>
    <x v="1"/>
  </r>
  <r>
    <x v="4"/>
    <n v="13827.5"/>
    <s v="MNQ15 EU"/>
    <s v="MNQ1525-30W-E"/>
    <s v="Rest payment of the development cost"/>
    <x v="0"/>
  </r>
  <r>
    <x v="4"/>
    <n v="121800"/>
    <s v="MNQ15 EU"/>
    <s v="MNQ1525-30W-E"/>
    <s v="Rest payment   of 5K PO"/>
    <x v="1"/>
  </r>
  <r>
    <x v="4"/>
    <n v="1225"/>
    <s v="MNQ15 ANZ"/>
    <s v="MNQ1525-30W-A"/>
    <s v="Rest payment of the development cost"/>
    <x v="0"/>
  </r>
  <r>
    <x v="4"/>
    <n v="122500"/>
    <s v="MNQ15 ANZ"/>
    <s v="MNQ1525-30W-A"/>
    <s v="Rest payment   of 5K PO"/>
    <x v="1"/>
  </r>
  <r>
    <x v="4"/>
    <n v="129000"/>
    <s v="MNQ21 US "/>
    <s v="MNQ1525-30W-U"/>
    <s v="30% Deposit  of 5K PO"/>
    <x v="5"/>
  </r>
  <r>
    <x v="5"/>
    <n v="77850"/>
    <s v="MNQ21 EU"/>
    <s v="MNQ2126-30W-E"/>
    <s v="30% Deposit  of 3K PO"/>
    <x v="5"/>
  </r>
  <r>
    <x v="5"/>
    <n v="78120"/>
    <s v="MNQ21 ANZ"/>
    <s v="MNQ2126-30W-A"/>
    <s v="30% Deposit  of 3K PO"/>
    <x v="5"/>
  </r>
  <r>
    <x v="6"/>
    <n v="73223.350000000006"/>
    <s v="MNQ21 US "/>
    <s v="MNQ1525-30W-U"/>
    <s v="Rest payment of the development cost"/>
    <x v="3"/>
  </r>
  <r>
    <x v="6"/>
    <n v="301000"/>
    <s v="MNQ21 US "/>
    <s v="MNQ1525-30W-U"/>
    <s v="Rest payment   of 5K PO"/>
    <x v="5"/>
  </r>
  <r>
    <x v="7"/>
    <n v="16287.5"/>
    <s v="MNQ21 EU"/>
    <s v="MNQ2126-30W-E"/>
    <s v="Rest payment of the development cost"/>
    <x v="3"/>
  </r>
  <r>
    <x v="7"/>
    <n v="181650"/>
    <s v="MNQ21 EU"/>
    <s v="MNQ2126-30W-E"/>
    <s v="Rest payment   of 3K PO"/>
    <x v="5"/>
  </r>
  <r>
    <x v="7"/>
    <n v="1225"/>
    <s v="MNQ21 ANZ"/>
    <s v="MNQ2126-30W-A"/>
    <s v="Rest payment of the development cost"/>
    <x v="3"/>
  </r>
  <r>
    <x v="7"/>
    <n v="182280"/>
    <s v="MNQ21 ANZ"/>
    <s v="MNQ2126-30W-A"/>
    <s v="Rest payment   of 3K PO"/>
    <x v="5"/>
  </r>
  <r>
    <x v="2"/>
    <n v="41400"/>
    <s v="MNQ15 US  2pcs Packing"/>
    <s v="MNQ1525-D30W-U"/>
    <s v="MNQ1525-D30W-U  2K PO 30% Deposit"/>
    <x v="1"/>
  </r>
  <r>
    <x v="2"/>
    <n v="62100"/>
    <s v="MNQ15US  3pcs Packing"/>
    <s v="MNQ1525-M30W-U"/>
    <s v="MNQ1525-M30W-U 2K PO 30% Deposit"/>
    <x v="1"/>
  </r>
  <r>
    <x v="5"/>
    <n v="96600"/>
    <s v="MNQ15 US  2pcs Packing"/>
    <s v="MNQ1525-D30W-U"/>
    <s v="MNQ1525-D30W-U  2K PO Rest Payment"/>
    <x v="1"/>
  </r>
  <r>
    <x v="5"/>
    <n v="144900"/>
    <s v="MNQ15US  3pcs Packing"/>
    <s v="MNQ1525-M30W-U"/>
    <s v="MNQ1525-M30W-U 2K PO  Rest Payment"/>
    <x v="1"/>
  </r>
  <r>
    <x v="2"/>
    <n v="51600"/>
    <s v="MNQ21 US  2pcs Packing"/>
    <s v="MNQ2126-D30W-U"/>
    <s v="MNQ2126-D30W-U 1K PO 30% Deposit"/>
    <x v="5"/>
  </r>
  <r>
    <x v="2"/>
    <n v="77400"/>
    <s v="MNQ21 US  3pcs Packing"/>
    <s v="MNQ2126-M30W-U"/>
    <s v="MNQ2126-M30W-U 1K PO   30% Deposit"/>
    <x v="5"/>
  </r>
  <r>
    <x v="6"/>
    <n v="120400"/>
    <s v="MNQ21 US  2pcs Packing"/>
    <s v="MNQ2126-D30W-U"/>
    <s v="MNQ2126-D30W-U 1K PO Rest Payment"/>
    <x v="5"/>
  </r>
  <r>
    <x v="6"/>
    <n v="180600"/>
    <s v="MNQ21 US  3pcs Packing"/>
    <s v="MNQ2126-M30W-U"/>
    <s v="MNQ2126-M30W-U 1K PO Rest Payment"/>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48F1940-32F7-444C-BD61-2A3A6CC090C2}" name="PivotTable1"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D31" firstHeaderRow="1" firstDataRow="1" firstDataCol="3"/>
  <pivotFields count="9">
    <pivotField axis="axisRow" compact="0" numFmtId="14" outline="0" subtotalTop="0" showAll="0" sortType="ascending">
      <items count="9">
        <item x="0"/>
        <item x="1"/>
        <item x="2"/>
        <item x="3"/>
        <item x="4"/>
        <item x="5"/>
        <item x="6"/>
        <item x="7"/>
        <item t="default"/>
      </items>
    </pivotField>
    <pivotField dataField="1" compact="0" outline="0" subtotalTop="0" showAll="0"/>
    <pivotField compact="0" outline="0" subtotalTop="0" showAll="0"/>
    <pivotField compact="0" outline="0" subtotalTop="0" showAll="0"/>
    <pivotField compact="0" outline="0" subtotalTop="0" showAll="0"/>
    <pivotField axis="axisRow" compact="0" outline="0" subtotalTop="0" showAll="0">
      <items count="7">
        <item x="0"/>
        <item x="3"/>
        <item x="4"/>
        <item x="2"/>
        <item x="1"/>
        <item x="5"/>
        <item t="default"/>
      </items>
    </pivotField>
    <pivotField compact="0" outline="0" subtotalTop="0" showAll="0">
      <items count="15">
        <item sd="0" x="0"/>
        <item sd="0" x="1"/>
        <item sd="0" x="2"/>
        <item sd="0" x="3"/>
        <item sd="0" x="4"/>
        <item sd="0" x="5"/>
        <item sd="0" x="6"/>
        <item x="7"/>
        <item x="8"/>
        <item x="9"/>
        <item sd="0" x="10"/>
        <item sd="0" x="11"/>
        <item sd="0" x="12"/>
        <item sd="0" x="13"/>
        <item t="default"/>
      </items>
    </pivotField>
    <pivotField compact="0" outline="0" subtotalTop="0" showAll="0">
      <items count="7">
        <item sd="0" x="0"/>
        <item sd="0" x="1"/>
        <item sd="0" x="2"/>
        <item sd="0" x="3"/>
        <item sd="0" x="4"/>
        <item sd="0" x="5"/>
        <item t="default"/>
      </items>
    </pivotField>
    <pivotField axis="axisRow" compact="0" outline="0" subtotalTop="0" showAll="0">
      <items count="5">
        <item sd="0" x="0"/>
        <item x="1"/>
        <item x="2"/>
        <item sd="0" x="3"/>
        <item t="default"/>
      </items>
    </pivotField>
  </pivotFields>
  <rowFields count="3">
    <field x="8"/>
    <field x="5"/>
    <field x="0"/>
  </rowFields>
  <rowItems count="28">
    <i>
      <x v="1"/>
      <x/>
      <x/>
    </i>
    <i r="2">
      <x v="4"/>
    </i>
    <i t="default" r="1">
      <x/>
    </i>
    <i r="1">
      <x v="1"/>
      <x v="2"/>
    </i>
    <i r="2">
      <x v="6"/>
    </i>
    <i t="default" r="1">
      <x v="1"/>
    </i>
    <i r="1">
      <x v="2"/>
      <x v="2"/>
    </i>
    <i r="2">
      <x v="3"/>
    </i>
    <i t="default" r="1">
      <x v="2"/>
    </i>
    <i r="1">
      <x v="3"/>
      <x v="1"/>
    </i>
    <i t="default" r="1">
      <x v="3"/>
    </i>
    <i r="1">
      <x v="4"/>
      <x/>
    </i>
    <i r="2">
      <x v="2"/>
    </i>
    <i r="2">
      <x v="4"/>
    </i>
    <i r="2">
      <x v="5"/>
    </i>
    <i t="default" r="1">
      <x v="4"/>
    </i>
    <i r="1">
      <x v="5"/>
      <x v="2"/>
    </i>
    <i r="2">
      <x v="4"/>
    </i>
    <i r="2">
      <x v="5"/>
    </i>
    <i r="2">
      <x v="6"/>
    </i>
    <i t="default" r="1">
      <x v="5"/>
    </i>
    <i t="default">
      <x v="1"/>
    </i>
    <i>
      <x v="2"/>
      <x v="1"/>
      <x v="7"/>
    </i>
    <i t="default" r="1">
      <x v="1"/>
    </i>
    <i r="1">
      <x v="5"/>
      <x v="7"/>
    </i>
    <i t="default" r="1">
      <x v="5"/>
    </i>
    <i t="default">
      <x v="2"/>
    </i>
    <i t="grand">
      <x/>
    </i>
  </rowItems>
  <colItems count="1">
    <i/>
  </colItems>
  <dataFields count="1">
    <dataField name="Sum of Amount" fld="1" baseField="0" baseItem="0"/>
  </dataFields>
  <formats count="2">
    <format dxfId="5">
      <pivotArea collapsedLevelsAreSubtotals="1" fieldPosition="0">
        <references count="1">
          <reference field="8" count="1">
            <x v="1"/>
          </reference>
        </references>
      </pivotArea>
    </format>
    <format dxfId="4">
      <pivotArea collapsedLevelsAreSubtotals="1" fieldPosition="0">
        <references count="1">
          <reference field="8"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6" dT="2025-10-22T16:38:02.58" personId="{960701F8-4556-4F38-8B86-9D2348A5F256}" id="{744D2D01-3817-452F-9DD1-ED33E875CC81}">
    <text>Typically Amazon</text>
  </threadedComment>
  <threadedComment ref="D8" dT="2025-10-22T16:37:23.28" personId="{960701F8-4556-4F38-8B86-9D2348A5F256}" id="{FB59FC15-19CD-46E7-A941-AA922A5ED010}">
    <text>ESI</text>
  </threadedComment>
  <threadedComment ref="E8" dT="2025-10-22T16:37:23.28" personId="{960701F8-4556-4F38-8B86-9D2348A5F256}" id="{8AEEBE05-C43E-46C0-80D7-1FBBA4965158}">
    <text>ESI</text>
  </threadedComment>
  <threadedComment ref="E8" dT="2025-11-05T20:48:02.48" personId="{FD5BC63E-2CC8-4379-9F0E-CAEEA77518B2}" id="{9336BACE-5B6B-4362-9277-5D3DFE5A75F1}" parentId="{8AEEBE05-C43E-46C0-80D7-1FBBA4965158}">
    <text>8611 Yossi</text>
  </threadedComment>
  <threadedComment ref="AC14" dT="2025-10-26T23:10:58.02" personId="{FD5BC63E-2CC8-4379-9F0E-CAEEA77518B2}" id="{AE7EEE36-4831-4FE8-B29E-D06033C0D5E2}">
    <text xml:space="preserve">Bonus Payout (should be MARCH)
</text>
  </threadedComment>
  <threadedComment ref="W19" dT="2025-10-26T23:12:24.42" personId="{FD5BC63E-2CC8-4379-9F0E-CAEEA77518B2}" id="{7934DC6A-0812-4E3B-9DD0-7E7C61C84FB9}">
    <text>B15 payment, 1st PO</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B912EC8-EB13-4F47-B029-87349ABC7168}">
  <we:reference id="wa200003784" version="1.2.0.2" store="en-GB" storeType="OMEX"/>
  <we:alternateReferences>
    <we:reference id="wa200003784" version="1.2.0.2" store="en-GB"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4.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FBFBF"/>
  </sheetPr>
  <dimension ref="A1:C1000"/>
  <sheetViews>
    <sheetView showGridLines="0" workbookViewId="0">
      <selection activeCell="B22" sqref="B22"/>
    </sheetView>
  </sheetViews>
  <sheetFormatPr baseColWidth="10" defaultColWidth="14.5" defaultRowHeight="15" customHeight="1" x14ac:dyDescent="0.2"/>
  <cols>
    <col min="1" max="1" width="3.1640625" customWidth="1"/>
    <col min="2" max="2" width="55" customWidth="1"/>
    <col min="3" max="3" width="123" customWidth="1"/>
    <col min="4" max="4" width="33.5" customWidth="1"/>
    <col min="5" max="26" width="8.83203125" customWidth="1"/>
  </cols>
  <sheetData>
    <row r="1" spans="1:3" ht="14.25" customHeight="1" x14ac:dyDescent="0.2"/>
    <row r="2" spans="1:3" ht="14.25" customHeight="1" x14ac:dyDescent="0.25">
      <c r="B2" s="433" t="s">
        <v>0</v>
      </c>
      <c r="C2" s="434"/>
    </row>
    <row r="3" spans="1:3" ht="14.25" customHeight="1" x14ac:dyDescent="0.2">
      <c r="A3" s="1" t="s">
        <v>1</v>
      </c>
      <c r="B3" s="190" t="s">
        <v>2</v>
      </c>
      <c r="C3" s="191"/>
    </row>
    <row r="4" spans="1:3" ht="14.25" customHeight="1" x14ac:dyDescent="0.2">
      <c r="B4" s="2" t="s">
        <v>3</v>
      </c>
      <c r="C4" s="3"/>
    </row>
    <row r="5" spans="1:3" ht="14.25" customHeight="1" x14ac:dyDescent="0.2">
      <c r="B5" s="4" t="s">
        <v>4</v>
      </c>
      <c r="C5" s="5" t="s">
        <v>5</v>
      </c>
    </row>
    <row r="6" spans="1:3" ht="14.25" customHeight="1" x14ac:dyDescent="0.2">
      <c r="B6" s="4" t="s">
        <v>6</v>
      </c>
      <c r="C6" s="5" t="s">
        <v>7</v>
      </c>
    </row>
    <row r="7" spans="1:3" ht="14.25" customHeight="1" x14ac:dyDescent="0.2">
      <c r="B7" s="4" t="s">
        <v>8</v>
      </c>
      <c r="C7" s="5" t="s">
        <v>9</v>
      </c>
    </row>
    <row r="8" spans="1:3" ht="14.25" customHeight="1" x14ac:dyDescent="0.2">
      <c r="B8" s="6" t="s">
        <v>10</v>
      </c>
      <c r="C8" s="7" t="s">
        <v>11</v>
      </c>
    </row>
    <row r="9" spans="1:3" ht="14.25" customHeight="1" x14ac:dyDescent="0.2">
      <c r="B9" s="2" t="s">
        <v>12</v>
      </c>
      <c r="C9" s="5"/>
    </row>
    <row r="10" spans="1:3" ht="14.25" customHeight="1" x14ac:dyDescent="0.2">
      <c r="B10" s="2"/>
      <c r="C10" s="5"/>
    </row>
    <row r="11" spans="1:3" ht="14.25" customHeight="1" x14ac:dyDescent="0.2">
      <c r="A11" s="1" t="s">
        <v>1</v>
      </c>
      <c r="B11" s="190" t="s">
        <v>13</v>
      </c>
      <c r="C11" s="192"/>
    </row>
    <row r="12" spans="1:3" ht="14.25" customHeight="1" x14ac:dyDescent="0.2">
      <c r="B12" s="2" t="s">
        <v>14</v>
      </c>
      <c r="C12" s="8"/>
    </row>
    <row r="13" spans="1:3" ht="14.25" customHeight="1" x14ac:dyDescent="0.2">
      <c r="B13" s="4" t="s">
        <v>15</v>
      </c>
      <c r="C13" s="5" t="s">
        <v>16</v>
      </c>
    </row>
    <row r="14" spans="1:3" ht="14.25" customHeight="1" x14ac:dyDescent="0.2">
      <c r="B14" s="4" t="s">
        <v>17</v>
      </c>
      <c r="C14" s="5" t="s">
        <v>18</v>
      </c>
    </row>
    <row r="15" spans="1:3" ht="14.25" customHeight="1" x14ac:dyDescent="0.2">
      <c r="B15" s="4" t="s">
        <v>19</v>
      </c>
      <c r="C15" s="5" t="s">
        <v>20</v>
      </c>
    </row>
    <row r="16" spans="1:3" ht="14.25" customHeight="1" x14ac:dyDescent="0.2">
      <c r="B16" s="4" t="s">
        <v>21</v>
      </c>
      <c r="C16" s="5" t="s">
        <v>22</v>
      </c>
    </row>
    <row r="17" spans="1:3" ht="14.25" customHeight="1" x14ac:dyDescent="0.2">
      <c r="B17" s="4" t="s">
        <v>23</v>
      </c>
      <c r="C17" s="5" t="s">
        <v>24</v>
      </c>
    </row>
    <row r="18" spans="1:3" ht="14.25" customHeight="1" x14ac:dyDescent="0.2">
      <c r="B18" s="6" t="s">
        <v>25</v>
      </c>
      <c r="C18" s="7" t="s">
        <v>26</v>
      </c>
    </row>
    <row r="19" spans="1:3" ht="14.25" customHeight="1" x14ac:dyDescent="0.2">
      <c r="B19" s="2" t="s">
        <v>27</v>
      </c>
      <c r="C19" s="5"/>
    </row>
    <row r="20" spans="1:3" ht="14.25" customHeight="1" x14ac:dyDescent="0.2">
      <c r="B20" s="2" t="s">
        <v>28</v>
      </c>
      <c r="C20" s="5"/>
    </row>
    <row r="21" spans="1:3" ht="14.25" customHeight="1" x14ac:dyDescent="0.2">
      <c r="B21" s="4" t="s">
        <v>29</v>
      </c>
      <c r="C21" s="5" t="s">
        <v>30</v>
      </c>
    </row>
    <row r="22" spans="1:3" ht="14.25" customHeight="1" x14ac:dyDescent="0.2">
      <c r="B22" s="4" t="s">
        <v>31</v>
      </c>
      <c r="C22" s="5" t="s">
        <v>32</v>
      </c>
    </row>
    <row r="23" spans="1:3" ht="14.25" customHeight="1" x14ac:dyDescent="0.2">
      <c r="B23" s="4" t="s">
        <v>33</v>
      </c>
      <c r="C23" s="5" t="s">
        <v>34</v>
      </c>
    </row>
    <row r="24" spans="1:3" ht="14.25" customHeight="1" x14ac:dyDescent="0.2">
      <c r="B24" s="6" t="s">
        <v>35</v>
      </c>
      <c r="C24" s="7" t="s">
        <v>36</v>
      </c>
    </row>
    <row r="25" spans="1:3" ht="14.25" customHeight="1" x14ac:dyDescent="0.2">
      <c r="B25" s="9" t="s">
        <v>37</v>
      </c>
      <c r="C25" s="10"/>
    </row>
    <row r="26" spans="1:3" ht="14.25" customHeight="1" x14ac:dyDescent="0.2">
      <c r="B26" s="2" t="s">
        <v>38</v>
      </c>
      <c r="C26" s="5"/>
    </row>
    <row r="27" spans="1:3" ht="14.25" customHeight="1" x14ac:dyDescent="0.2">
      <c r="B27" s="2"/>
      <c r="C27" s="5"/>
    </row>
    <row r="28" spans="1:3" ht="14.25" customHeight="1" x14ac:dyDescent="0.2">
      <c r="A28" s="1" t="s">
        <v>1</v>
      </c>
      <c r="B28" s="193" t="s">
        <v>39</v>
      </c>
      <c r="C28" s="194" t="s">
        <v>40</v>
      </c>
    </row>
    <row r="29" spans="1:3" ht="14.25" customHeight="1" x14ac:dyDescent="0.2">
      <c r="B29" s="2"/>
      <c r="C29" s="5"/>
    </row>
    <row r="30" spans="1:3" ht="14.25" customHeight="1" x14ac:dyDescent="0.2">
      <c r="A30" s="1" t="s">
        <v>1</v>
      </c>
      <c r="B30" s="195" t="s">
        <v>41</v>
      </c>
      <c r="C30" s="196"/>
    </row>
    <row r="31" spans="1:3" ht="14.25" customHeight="1" x14ac:dyDescent="0.2">
      <c r="B31" s="11" t="s">
        <v>42</v>
      </c>
      <c r="C31" s="5" t="s">
        <v>43</v>
      </c>
    </row>
    <row r="32" spans="1:3" ht="14.25" customHeight="1" x14ac:dyDescent="0.2">
      <c r="B32" s="12" t="s">
        <v>44</v>
      </c>
      <c r="C32" s="7" t="s">
        <v>45</v>
      </c>
    </row>
    <row r="33" spans="1:3" ht="14.25" customHeight="1" x14ac:dyDescent="0.2">
      <c r="B33" s="2" t="s">
        <v>46</v>
      </c>
      <c r="C33" s="5"/>
    </row>
    <row r="34" spans="1:3" ht="14.25" customHeight="1" x14ac:dyDescent="0.2">
      <c r="B34" s="2"/>
      <c r="C34" s="5"/>
    </row>
    <row r="35" spans="1:3" ht="14.25" customHeight="1" x14ac:dyDescent="0.2">
      <c r="A35" s="1" t="s">
        <v>1</v>
      </c>
      <c r="B35" s="195" t="s">
        <v>47</v>
      </c>
      <c r="C35" s="196"/>
    </row>
    <row r="36" spans="1:3" ht="14.25" customHeight="1" x14ac:dyDescent="0.2">
      <c r="B36" s="4" t="s">
        <v>48</v>
      </c>
      <c r="C36" s="5" t="s">
        <v>49</v>
      </c>
    </row>
    <row r="37" spans="1:3" ht="14.25" customHeight="1" x14ac:dyDescent="0.2">
      <c r="B37" s="4" t="s">
        <v>50</v>
      </c>
      <c r="C37" s="5" t="s">
        <v>51</v>
      </c>
    </row>
    <row r="38" spans="1:3" ht="14.25" customHeight="1" x14ac:dyDescent="0.2">
      <c r="B38" s="4" t="s">
        <v>52</v>
      </c>
      <c r="C38" s="5" t="s">
        <v>53</v>
      </c>
    </row>
    <row r="39" spans="1:3" ht="14.25" customHeight="1" x14ac:dyDescent="0.2">
      <c r="B39" s="2"/>
      <c r="C39" s="5"/>
    </row>
    <row r="40" spans="1:3" ht="14.25" customHeight="1" x14ac:dyDescent="0.2">
      <c r="A40" s="1" t="s">
        <v>1</v>
      </c>
      <c r="B40" s="197" t="s">
        <v>54</v>
      </c>
      <c r="C40" s="194" t="s">
        <v>55</v>
      </c>
    </row>
    <row r="41" spans="1:3" ht="14.25" customHeight="1" x14ac:dyDescent="0.2">
      <c r="B41" s="4"/>
      <c r="C41" s="5"/>
    </row>
    <row r="42" spans="1:3" ht="14.25" customHeight="1" x14ac:dyDescent="0.2">
      <c r="B42" s="4" t="s">
        <v>56</v>
      </c>
      <c r="C42" s="5" t="s">
        <v>57</v>
      </c>
    </row>
    <row r="43" spans="1:3" ht="14.25" customHeight="1" x14ac:dyDescent="0.2">
      <c r="B43" s="4" t="s">
        <v>58</v>
      </c>
      <c r="C43" s="5" t="s">
        <v>59</v>
      </c>
    </row>
    <row r="44" spans="1:3" ht="14.25" customHeight="1" x14ac:dyDescent="0.2">
      <c r="B44" s="4"/>
      <c r="C44" s="5"/>
    </row>
    <row r="45" spans="1:3" ht="14.25" customHeight="1" x14ac:dyDescent="0.2">
      <c r="A45" s="1" t="s">
        <v>1</v>
      </c>
      <c r="B45" s="193" t="s">
        <v>60</v>
      </c>
      <c r="C45" s="194" t="s">
        <v>61</v>
      </c>
    </row>
    <row r="46" spans="1:3" ht="14.25" customHeight="1" x14ac:dyDescent="0.2"/>
    <row r="47" spans="1:3" ht="14.25" customHeight="1" x14ac:dyDescent="0.2"/>
    <row r="48" spans="1:3"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mergeCells count="1">
    <mergeCell ref="B2:C2"/>
  </mergeCells>
  <pageMargins left="0.7" right="0.7" top="0.75" bottom="0.75" header="0" footer="0"/>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BFBFBF"/>
  </sheetPr>
  <dimension ref="B1:C1000"/>
  <sheetViews>
    <sheetView showGridLines="0" workbookViewId="0">
      <selection activeCell="C5" sqref="C5"/>
    </sheetView>
  </sheetViews>
  <sheetFormatPr baseColWidth="10" defaultColWidth="14.5" defaultRowHeight="15" customHeight="1" x14ac:dyDescent="0.2"/>
  <cols>
    <col min="1" max="1" width="8.83203125" customWidth="1"/>
    <col min="2" max="2" width="19.33203125" customWidth="1"/>
    <col min="3" max="3" width="11.1640625" customWidth="1"/>
    <col min="4" max="26" width="8.83203125" customWidth="1"/>
  </cols>
  <sheetData>
    <row r="1" spans="2:3" ht="14.25" customHeight="1" x14ac:dyDescent="0.2"/>
    <row r="2" spans="2:3" ht="14.25" customHeight="1" x14ac:dyDescent="0.2"/>
    <row r="3" spans="2:3" ht="14.25" customHeight="1" x14ac:dyDescent="0.2"/>
    <row r="4" spans="2:3" ht="14.25" customHeight="1" x14ac:dyDescent="0.2">
      <c r="B4" s="13" t="s">
        <v>62</v>
      </c>
      <c r="C4" s="14">
        <v>45971</v>
      </c>
    </row>
    <row r="5" spans="2:3" ht="14.25" customHeight="1" x14ac:dyDescent="0.2">
      <c r="C5" s="1" t="s">
        <v>63</v>
      </c>
    </row>
    <row r="6" spans="2:3" ht="14.25" customHeight="1" x14ac:dyDescent="0.2"/>
    <row r="7" spans="2:3" ht="14.25" customHeight="1" x14ac:dyDescent="0.2"/>
    <row r="8" spans="2:3" ht="14.25" customHeight="1" x14ac:dyDescent="0.2"/>
    <row r="9" spans="2:3" ht="14.25" customHeight="1" x14ac:dyDescent="0.2"/>
    <row r="10" spans="2:3" ht="14.25" customHeight="1" x14ac:dyDescent="0.2"/>
    <row r="11" spans="2:3" ht="14.25" customHeight="1" x14ac:dyDescent="0.2"/>
    <row r="12" spans="2:3" ht="14.25" customHeight="1" x14ac:dyDescent="0.2"/>
    <row r="13" spans="2:3" ht="14.25" customHeight="1" x14ac:dyDescent="0.2"/>
    <row r="14" spans="2:3" ht="14.25" customHeight="1" x14ac:dyDescent="0.2"/>
    <row r="15" spans="2:3" ht="14.25" customHeight="1" x14ac:dyDescent="0.2"/>
    <row r="16" spans="2:3"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DP1004"/>
  <sheetViews>
    <sheetView tabSelected="1" topLeftCell="M15" zoomScale="95" zoomScaleNormal="70" workbookViewId="0">
      <selection activeCell="AN38" sqref="AN38"/>
    </sheetView>
  </sheetViews>
  <sheetFormatPr baseColWidth="10" defaultColWidth="14.5" defaultRowHeight="15" customHeight="1" outlineLevelCol="2" x14ac:dyDescent="0.2"/>
  <cols>
    <col min="1" max="1" width="21.33203125" hidden="1" customWidth="1"/>
    <col min="2" max="3" width="13.33203125" hidden="1" customWidth="1"/>
    <col min="4" max="4" width="31.5" customWidth="1"/>
    <col min="5" max="5" width="18.83203125" customWidth="1"/>
    <col min="6" max="6" width="21.83203125" customWidth="1"/>
    <col min="7" max="7" width="17.5" customWidth="1" outlineLevel="1"/>
    <col min="8" max="8" width="21.5" customWidth="1" outlineLevel="1"/>
    <col min="9" max="9" width="14.5" customWidth="1" outlineLevel="1"/>
    <col min="10" max="10" width="17.1640625" customWidth="1" outlineLevel="1"/>
    <col min="11" max="11" width="29.5" customWidth="1" outlineLevel="1"/>
    <col min="12" max="12" width="14.5" customWidth="1" outlineLevel="1"/>
    <col min="13" max="13" width="13" customWidth="1" outlineLevel="1"/>
    <col min="14" max="14" width="13.5" style="294" hidden="1" customWidth="1"/>
    <col min="15" max="16" width="13.5" hidden="1" customWidth="1" outlineLevel="2"/>
    <col min="17" max="17" width="15.83203125" hidden="1" customWidth="1" outlineLevel="2"/>
    <col min="18" max="18" width="16.5" hidden="1" customWidth="1" outlineLevel="2"/>
    <col min="19" max="19" width="13.5" hidden="1" customWidth="1" collapsed="1"/>
    <col min="20" max="23" width="13.5" hidden="1" customWidth="1"/>
    <col min="24" max="24" width="15.33203125" hidden="1" customWidth="1"/>
    <col min="25" max="34" width="13.5" hidden="1" customWidth="1"/>
    <col min="35" max="39" width="13.5" customWidth="1"/>
    <col min="40" max="40" width="13.5" style="347" customWidth="1"/>
    <col min="41" max="41" width="13.5" style="380" customWidth="1"/>
    <col min="42" max="42" width="13.5" style="347" customWidth="1"/>
    <col min="43" max="100" width="13.5" customWidth="1"/>
    <col min="101" max="120" width="13.33203125" customWidth="1"/>
  </cols>
  <sheetData>
    <row r="1" spans="1:120" ht="14.25" customHeight="1" x14ac:dyDescent="0.2">
      <c r="N1" s="283"/>
      <c r="AO1" s="379"/>
    </row>
    <row r="2" spans="1:120" ht="14.25" customHeight="1" x14ac:dyDescent="0.2">
      <c r="N2" s="283"/>
    </row>
    <row r="3" spans="1:120" s="149" customFormat="1" ht="14.25" customHeight="1" x14ac:dyDescent="0.2">
      <c r="N3" s="279"/>
      <c r="O3" s="149" t="str">
        <f>IF(O8='CURRENT FORECAST START DATE'!$C$4,"CURRENT WEEK","")</f>
        <v/>
      </c>
      <c r="P3" s="149" t="str">
        <f>IF(P8='CURRENT FORECAST START DATE'!$C$4,"CURRENT WEEK","")</f>
        <v/>
      </c>
      <c r="Q3" s="149" t="str">
        <f>IF(Q8='CURRENT FORECAST START DATE'!$C$4,"CURRENT WEEK","")</f>
        <v/>
      </c>
      <c r="R3" s="149" t="str">
        <f>IF(R8='CURRENT FORECAST START DATE'!$C$4,"CURRENT WEEK","")</f>
        <v/>
      </c>
      <c r="S3" s="149" t="str">
        <f>IF(S8='CURRENT FORECAST START DATE'!$C$4,"CURRENT WEEK","")</f>
        <v/>
      </c>
      <c r="T3" s="149" t="str">
        <f>IF(T8='CURRENT FORECAST START DATE'!$C$4,"CURRENT WEEK","")</f>
        <v/>
      </c>
      <c r="U3" s="149" t="str">
        <f>IF(U8='CURRENT FORECAST START DATE'!$C$4,"CURRENT WEEK","")</f>
        <v/>
      </c>
      <c r="V3" s="149" t="str">
        <f>IF(V8='CURRENT FORECAST START DATE'!$C$4,"CURRENT WEEK","")</f>
        <v/>
      </c>
      <c r="W3" s="149" t="str">
        <f>IF(W8='CURRENT FORECAST START DATE'!$C$4,"CURRENT WEEK","")</f>
        <v/>
      </c>
      <c r="X3" s="149" t="str">
        <f>IF(X8='CURRENT FORECAST START DATE'!$C$4,"CURRENT WEEK","")</f>
        <v/>
      </c>
      <c r="Y3" s="149" t="str">
        <f>IF(Y8='CURRENT FORECAST START DATE'!$C$4,"CURRENT WEEK","")</f>
        <v/>
      </c>
      <c r="Z3" s="149" t="str">
        <f>IF(Z8='CURRENT FORECAST START DATE'!$C$4,"CURRENT WEEK","")</f>
        <v/>
      </c>
      <c r="AA3" s="149" t="str">
        <f>IF(AA8='CURRENT FORECAST START DATE'!$C$4,"CURRENT WEEK","")</f>
        <v/>
      </c>
      <c r="AB3" s="149" t="str">
        <f>IF(AB8='CURRENT FORECAST START DATE'!$C$4,"CURRENT WEEK","")</f>
        <v/>
      </c>
      <c r="AC3" s="149" t="str">
        <f>IF(AC8='CURRENT FORECAST START DATE'!$C$4,"CURRENT WEEK","")</f>
        <v/>
      </c>
      <c r="AD3" s="149" t="str">
        <f>IF(AD8='CURRENT FORECAST START DATE'!$C$4,"CURRENT WEEK","")</f>
        <v/>
      </c>
      <c r="AE3" s="149" t="str">
        <f>IF(AE8='CURRENT FORECAST START DATE'!$C$4,"CURRENT WEEK","")</f>
        <v/>
      </c>
      <c r="AF3" s="149" t="str">
        <f>IF(AF8='CURRENT FORECAST START DATE'!$C$4,"CURRENT WEEK","")</f>
        <v/>
      </c>
      <c r="AG3" s="149" t="str">
        <f>IF(AG8='CURRENT FORECAST START DATE'!$C$4,"CURRENT WEEK","")</f>
        <v/>
      </c>
      <c r="AH3" s="149" t="str">
        <f>IF(AH8='CURRENT FORECAST START DATE'!$C$4,"CURRENT WEEK","")</f>
        <v/>
      </c>
      <c r="AI3" s="149" t="str">
        <f>IF(AI8='CURRENT FORECAST START DATE'!$C$4,"CURRENT WEEK","")</f>
        <v/>
      </c>
      <c r="AJ3" s="149" t="str">
        <f>IF(AJ8='CURRENT FORECAST START DATE'!$C$4,"CURRENT WEEK","")</f>
        <v/>
      </c>
      <c r="AK3" s="149" t="str">
        <f>IF(AK8='CURRENT FORECAST START DATE'!$C$4,"CURRENT WEEK","")</f>
        <v/>
      </c>
      <c r="AL3" s="149" t="str">
        <f>IF(AL8='CURRENT FORECAST START DATE'!$C$4,"CURRENT WEEK","")</f>
        <v/>
      </c>
      <c r="AM3" s="149" t="str">
        <f>IF(AM8='CURRENT FORECAST START DATE'!$C$4,"CURRENT WEEK","")</f>
        <v/>
      </c>
      <c r="AN3" s="371" t="str">
        <f>IF(AN8='CURRENT FORECAST START DATE'!$C$4,"CURRENT WEEK","")</f>
        <v/>
      </c>
      <c r="AO3" s="381" t="str">
        <f>IF(AO8='CURRENT FORECAST START DATE'!$C$4,"CURRENT WEEK","")</f>
        <v>CURRENT WEEK</v>
      </c>
      <c r="AP3" s="371" t="str">
        <f>IF(AP8='CURRENT FORECAST START DATE'!$C$4,"CURRENT WEEK","")</f>
        <v/>
      </c>
      <c r="AQ3" s="149" t="str">
        <f>IF(AQ8='CURRENT FORECAST START DATE'!$C$4,"CURRENT WEEK","")</f>
        <v/>
      </c>
      <c r="AR3" s="149" t="str">
        <f>IF(AR8='CURRENT FORECAST START DATE'!$C$4,"CURRENT WEEK","")</f>
        <v/>
      </c>
      <c r="AS3" s="149" t="str">
        <f>IF(AS8='CURRENT FORECAST START DATE'!$C$4,"CURRENT WEEK","")</f>
        <v/>
      </c>
      <c r="AT3" s="149" t="str">
        <f>IF(AT8='CURRENT FORECAST START DATE'!$C$4,"CURRENT WEEK","")</f>
        <v/>
      </c>
      <c r="AU3" s="149" t="str">
        <f>IF(AU8='CURRENT FORECAST START DATE'!$C$4,"CURRENT WEEK","")</f>
        <v/>
      </c>
      <c r="AV3" s="149" t="str">
        <f>IF(AV8='CURRENT FORECAST START DATE'!$C$4,"CURRENT WEEK","")</f>
        <v/>
      </c>
      <c r="AW3" s="149" t="str">
        <f>IF(AW8='CURRENT FORECAST START DATE'!$C$4,"CURRENT WEEK","")</f>
        <v/>
      </c>
      <c r="AX3" s="149" t="str">
        <f>IF(AX8='CURRENT FORECAST START DATE'!$C$4,"CURRENT WEEK","")</f>
        <v/>
      </c>
      <c r="AY3" s="149" t="str">
        <f>IF(AY8='CURRENT FORECAST START DATE'!$C$4,"CURRENT WEEK","")</f>
        <v/>
      </c>
      <c r="AZ3" s="149" t="str">
        <f>IF(AZ8='CURRENT FORECAST START DATE'!$C$4,"CURRENT WEEK","")</f>
        <v/>
      </c>
      <c r="BA3" s="149" t="str">
        <f>IF(BA8='CURRENT FORECAST START DATE'!$C$4,"CURRENT WEEK","")</f>
        <v/>
      </c>
      <c r="BB3" s="149" t="str">
        <f>IF(BB8='CURRENT FORECAST START DATE'!$C$4,"CURRENT WEEK","")</f>
        <v/>
      </c>
      <c r="BC3" s="149" t="str">
        <f>IF(BC8='CURRENT FORECAST START DATE'!$C$4,"CURRENT WEEK","")</f>
        <v/>
      </c>
      <c r="BD3" s="149" t="str">
        <f>IF(BD8='CURRENT FORECAST START DATE'!$C$4,"CURRENT WEEK","")</f>
        <v/>
      </c>
      <c r="BE3" s="149" t="str">
        <f>IF(BE8='CURRENT FORECAST START DATE'!$C$4,"CURRENT WEEK","")</f>
        <v/>
      </c>
      <c r="BF3" s="149" t="str">
        <f>IF(BF8='CURRENT FORECAST START DATE'!$C$4,"CURRENT WEEK","")</f>
        <v/>
      </c>
      <c r="BG3" s="149" t="str">
        <f>IF(BG8='CURRENT FORECAST START DATE'!$C$4,"CURRENT WEEK","")</f>
        <v/>
      </c>
      <c r="BH3" s="149" t="str">
        <f>IF(BH8='CURRENT FORECAST START DATE'!$C$4,"CURRENT WEEK","")</f>
        <v/>
      </c>
      <c r="BI3" s="149" t="str">
        <f>IF(BI8='CURRENT FORECAST START DATE'!$C$4,"CURRENT WEEK","")</f>
        <v/>
      </c>
      <c r="BJ3" s="149" t="str">
        <f>IF(BJ8='CURRENT FORECAST START DATE'!$C$4,"CURRENT WEEK","")</f>
        <v/>
      </c>
      <c r="BK3" s="149" t="str">
        <f>IF(BK8='CURRENT FORECAST START DATE'!$C$4,"CURRENT WEEK","")</f>
        <v/>
      </c>
      <c r="BL3" s="149" t="str">
        <f>IF(BL8='CURRENT FORECAST START DATE'!$C$4,"CURRENT WEEK","")</f>
        <v/>
      </c>
      <c r="BM3" s="149" t="str">
        <f>IF(BM8='CURRENT FORECAST START DATE'!$C$4,"CURRENT WEEK","")</f>
        <v/>
      </c>
      <c r="BN3" s="149" t="str">
        <f>IF(BN8='CURRENT FORECAST START DATE'!$C$4,"CURRENT WEEK","")</f>
        <v/>
      </c>
      <c r="BO3" s="149" t="str">
        <f>IF(BO8='CURRENT FORECAST START DATE'!$C$4,"CURRENT WEEK","")</f>
        <v/>
      </c>
      <c r="BP3" s="149" t="str">
        <f>IF(BP8='CURRENT FORECAST START DATE'!$C$4,"CURRENT WEEK","")</f>
        <v/>
      </c>
      <c r="BQ3" s="149" t="str">
        <f>IF(BQ8='CURRENT FORECAST START DATE'!$C$4,"CURRENT WEEK","")</f>
        <v/>
      </c>
      <c r="BR3" s="149" t="str">
        <f>IF(BR8='CURRENT FORECAST START DATE'!$C$4,"CURRENT WEEK","")</f>
        <v/>
      </c>
      <c r="BS3" s="149" t="str">
        <f>IF(BS8='CURRENT FORECAST START DATE'!$C$4,"CURRENT WEEK","")</f>
        <v/>
      </c>
      <c r="BT3" s="149" t="str">
        <f>IF(BT8='CURRENT FORECAST START DATE'!$C$4,"CURRENT WEEK","")</f>
        <v/>
      </c>
      <c r="BU3" s="149" t="str">
        <f>IF(BU8='CURRENT FORECAST START DATE'!$C$4,"CURRENT WEEK","")</f>
        <v/>
      </c>
      <c r="BV3" s="149" t="str">
        <f>IF(BV8='CURRENT FORECAST START DATE'!$C$4,"CURRENT WEEK","")</f>
        <v/>
      </c>
      <c r="BW3" s="149" t="str">
        <f>IF(BW8='CURRENT FORECAST START DATE'!$C$4,"CURRENT WEEK","")</f>
        <v/>
      </c>
      <c r="BX3" s="149" t="str">
        <f>IF(BX8='CURRENT FORECAST START DATE'!$C$4,"CURRENT WEEK","")</f>
        <v/>
      </c>
      <c r="BY3" s="149" t="str">
        <f>IF(BY8='CURRENT FORECAST START DATE'!$C$4,"CURRENT WEEK","")</f>
        <v/>
      </c>
      <c r="BZ3" s="149" t="str">
        <f>IF(BZ8='CURRENT FORECAST START DATE'!$C$4,"CURRENT WEEK","")</f>
        <v/>
      </c>
      <c r="CA3" s="149" t="str">
        <f>IF(CA8='CURRENT FORECAST START DATE'!$C$4,"CURRENT WEEK","")</f>
        <v/>
      </c>
      <c r="CB3" s="149" t="str">
        <f>IF(CB8='CURRENT FORECAST START DATE'!$C$4,"CURRENT WEEK","")</f>
        <v/>
      </c>
      <c r="CC3" s="149" t="str">
        <f>IF(CC8='CURRENT FORECAST START DATE'!$C$4,"CURRENT WEEK","")</f>
        <v/>
      </c>
      <c r="CD3" s="149" t="str">
        <f>IF(CD8='CURRENT FORECAST START DATE'!$C$4,"CURRENT WEEK","")</f>
        <v/>
      </c>
      <c r="CE3" s="149" t="str">
        <f>IF(CE8='CURRENT FORECAST START DATE'!$C$4,"CURRENT WEEK","")</f>
        <v/>
      </c>
      <c r="CF3" s="149" t="str">
        <f>IF(CF8='CURRENT FORECAST START DATE'!$C$4,"CURRENT WEEK","")</f>
        <v/>
      </c>
      <c r="CG3" s="149" t="str">
        <f>IF(CG8='CURRENT FORECAST START DATE'!$C$4,"CURRENT WEEK","")</f>
        <v/>
      </c>
      <c r="CH3" s="149" t="str">
        <f>IF(CH8='CURRENT FORECAST START DATE'!$C$4,"CURRENT WEEK","")</f>
        <v/>
      </c>
      <c r="CI3" s="149" t="str">
        <f>IF(CI8='CURRENT FORECAST START DATE'!$C$4,"CURRENT WEEK","")</f>
        <v/>
      </c>
      <c r="CJ3" s="149" t="str">
        <f>IF(CJ8='CURRENT FORECAST START DATE'!$C$4,"CURRENT WEEK","")</f>
        <v/>
      </c>
      <c r="CK3" s="149" t="str">
        <f>IF(CK8='CURRENT FORECAST START DATE'!$C$4,"CURRENT WEEK","")</f>
        <v/>
      </c>
      <c r="CL3" s="149" t="str">
        <f>IF(CL8='CURRENT FORECAST START DATE'!$C$4,"CURRENT WEEK","")</f>
        <v/>
      </c>
      <c r="CM3" s="149" t="str">
        <f>IF(CM8='CURRENT FORECAST START DATE'!$C$4,"CURRENT WEEK","")</f>
        <v/>
      </c>
      <c r="CN3" s="149" t="str">
        <f>IF(CN8='CURRENT FORECAST START DATE'!$C$4,"CURRENT WEEK","")</f>
        <v/>
      </c>
      <c r="CO3" s="149" t="str">
        <f>IF(CO8='CURRENT FORECAST START DATE'!$C$4,"CURRENT WEEK","")</f>
        <v/>
      </c>
      <c r="CP3" s="149" t="str">
        <f>IF(CP8='CURRENT FORECAST START DATE'!$C$4,"CURRENT WEEK","")</f>
        <v/>
      </c>
      <c r="CQ3" s="149" t="str">
        <f>IF(CQ8='CURRENT FORECAST START DATE'!$C$4,"CURRENT WEEK","")</f>
        <v/>
      </c>
      <c r="CR3" s="149" t="str">
        <f>IF(CR8='CURRENT FORECAST START DATE'!$C$4,"CURRENT WEEK","")</f>
        <v/>
      </c>
      <c r="CS3" s="149" t="str">
        <f>IF(CS8='CURRENT FORECAST START DATE'!$C$4,"CURRENT WEEK","")</f>
        <v/>
      </c>
      <c r="CT3" s="149" t="str">
        <f>IF(CT8='CURRENT FORECAST START DATE'!$C$4,"CURRENT WEEK","")</f>
        <v/>
      </c>
      <c r="CU3" s="149" t="str">
        <f>IF(CU8='CURRENT FORECAST START DATE'!$C$4,"CURRENT WEEK","")</f>
        <v/>
      </c>
      <c r="CV3" s="149" t="str">
        <f>IF(CV8='CURRENT FORECAST START DATE'!$C$4,"CURRENT WEEK","")</f>
        <v/>
      </c>
    </row>
    <row r="4" spans="1:120" ht="14.25" customHeight="1" x14ac:dyDescent="0.2">
      <c r="H4" s="1" t="s">
        <v>64</v>
      </c>
      <c r="J4" s="1" t="s">
        <v>64</v>
      </c>
      <c r="L4" s="1" t="str">
        <f t="shared" ref="L4:M4" si="0">H4</f>
        <v>Labor</v>
      </c>
      <c r="M4" s="1">
        <f t="shared" si="0"/>
        <v>0</v>
      </c>
      <c r="N4" s="283"/>
      <c r="O4" s="1" t="str">
        <f t="shared" ref="O4:R4" si="1">J4</f>
        <v>Labor</v>
      </c>
      <c r="P4" s="1">
        <f t="shared" si="1"/>
        <v>0</v>
      </c>
      <c r="Q4" s="1" t="str">
        <f t="shared" si="1"/>
        <v>Labor</v>
      </c>
      <c r="R4" s="1">
        <f t="shared" si="1"/>
        <v>0</v>
      </c>
      <c r="S4" s="1" t="str">
        <f t="shared" ref="S4:CV4" si="2">O4</f>
        <v>Labor</v>
      </c>
      <c r="T4" s="1">
        <f t="shared" si="2"/>
        <v>0</v>
      </c>
      <c r="U4" s="1" t="str">
        <f t="shared" si="2"/>
        <v>Labor</v>
      </c>
      <c r="V4" s="1">
        <f t="shared" si="2"/>
        <v>0</v>
      </c>
      <c r="W4" s="1" t="str">
        <f t="shared" si="2"/>
        <v>Labor</v>
      </c>
      <c r="X4" s="1">
        <f t="shared" si="2"/>
        <v>0</v>
      </c>
      <c r="Y4" s="1" t="str">
        <f t="shared" si="2"/>
        <v>Labor</v>
      </c>
      <c r="Z4" s="1">
        <f t="shared" si="2"/>
        <v>0</v>
      </c>
      <c r="AA4" s="1" t="str">
        <f t="shared" si="2"/>
        <v>Labor</v>
      </c>
      <c r="AB4" s="1">
        <f t="shared" si="2"/>
        <v>0</v>
      </c>
      <c r="AC4" s="1" t="str">
        <f t="shared" si="2"/>
        <v>Labor</v>
      </c>
      <c r="AD4" s="1">
        <f t="shared" si="2"/>
        <v>0</v>
      </c>
      <c r="AE4" s="1" t="str">
        <f t="shared" si="2"/>
        <v>Labor</v>
      </c>
      <c r="AF4" s="1">
        <f t="shared" si="2"/>
        <v>0</v>
      </c>
      <c r="AG4" s="1" t="str">
        <f t="shared" si="2"/>
        <v>Labor</v>
      </c>
      <c r="AH4" s="1">
        <f t="shared" si="2"/>
        <v>0</v>
      </c>
      <c r="AI4" s="1" t="str">
        <f t="shared" si="2"/>
        <v>Labor</v>
      </c>
      <c r="AJ4" s="1">
        <f t="shared" si="2"/>
        <v>0</v>
      </c>
      <c r="AK4" s="1" t="str">
        <f t="shared" si="2"/>
        <v>Labor</v>
      </c>
      <c r="AL4" s="1">
        <f t="shared" si="2"/>
        <v>0</v>
      </c>
      <c r="AM4" s="1" t="str">
        <f t="shared" si="2"/>
        <v>Labor</v>
      </c>
      <c r="AN4" s="372">
        <f t="shared" si="2"/>
        <v>0</v>
      </c>
      <c r="AO4" s="382" t="str">
        <f t="shared" si="2"/>
        <v>Labor</v>
      </c>
      <c r="AP4" s="372">
        <f t="shared" si="2"/>
        <v>0</v>
      </c>
      <c r="AQ4" s="1" t="str">
        <f t="shared" si="2"/>
        <v>Labor</v>
      </c>
      <c r="AR4" s="1">
        <f t="shared" si="2"/>
        <v>0</v>
      </c>
      <c r="AS4" s="1" t="str">
        <f t="shared" si="2"/>
        <v>Labor</v>
      </c>
      <c r="AT4" s="1">
        <f t="shared" si="2"/>
        <v>0</v>
      </c>
      <c r="AU4" s="1" t="str">
        <f t="shared" si="2"/>
        <v>Labor</v>
      </c>
      <c r="AV4" s="1">
        <f t="shared" si="2"/>
        <v>0</v>
      </c>
      <c r="AW4" s="1" t="str">
        <f t="shared" si="2"/>
        <v>Labor</v>
      </c>
      <c r="AX4" s="1">
        <f t="shared" si="2"/>
        <v>0</v>
      </c>
      <c r="AY4" s="1" t="str">
        <f t="shared" si="2"/>
        <v>Labor</v>
      </c>
      <c r="AZ4" s="1">
        <f t="shared" si="2"/>
        <v>0</v>
      </c>
      <c r="BA4" s="1" t="str">
        <f t="shared" si="2"/>
        <v>Labor</v>
      </c>
      <c r="BB4" s="1">
        <f t="shared" si="2"/>
        <v>0</v>
      </c>
      <c r="BC4" s="1" t="str">
        <f t="shared" si="2"/>
        <v>Labor</v>
      </c>
      <c r="BD4" s="1">
        <f t="shared" si="2"/>
        <v>0</v>
      </c>
      <c r="BE4" s="1" t="str">
        <f t="shared" si="2"/>
        <v>Labor</v>
      </c>
      <c r="BF4" s="1">
        <f t="shared" si="2"/>
        <v>0</v>
      </c>
      <c r="BG4" s="1" t="str">
        <f t="shared" si="2"/>
        <v>Labor</v>
      </c>
      <c r="BH4" s="1">
        <f t="shared" si="2"/>
        <v>0</v>
      </c>
      <c r="BI4" s="1" t="str">
        <f t="shared" si="2"/>
        <v>Labor</v>
      </c>
      <c r="BJ4" s="1">
        <f t="shared" si="2"/>
        <v>0</v>
      </c>
      <c r="BK4" s="1" t="str">
        <f t="shared" si="2"/>
        <v>Labor</v>
      </c>
      <c r="BL4" s="1">
        <f t="shared" si="2"/>
        <v>0</v>
      </c>
      <c r="BM4" s="1" t="str">
        <f t="shared" si="2"/>
        <v>Labor</v>
      </c>
      <c r="BN4" s="1">
        <f t="shared" si="2"/>
        <v>0</v>
      </c>
      <c r="BO4" s="1" t="str">
        <f t="shared" si="2"/>
        <v>Labor</v>
      </c>
      <c r="BP4" s="1">
        <f t="shared" si="2"/>
        <v>0</v>
      </c>
      <c r="BQ4" s="1" t="str">
        <f t="shared" si="2"/>
        <v>Labor</v>
      </c>
      <c r="BR4" s="1">
        <f t="shared" si="2"/>
        <v>0</v>
      </c>
      <c r="BS4" s="1" t="str">
        <f t="shared" si="2"/>
        <v>Labor</v>
      </c>
      <c r="BT4" s="1">
        <f t="shared" si="2"/>
        <v>0</v>
      </c>
      <c r="BU4" s="1" t="str">
        <f t="shared" si="2"/>
        <v>Labor</v>
      </c>
      <c r="BV4" s="1">
        <f t="shared" si="2"/>
        <v>0</v>
      </c>
      <c r="BW4" s="1" t="str">
        <f t="shared" si="2"/>
        <v>Labor</v>
      </c>
      <c r="BX4" s="1">
        <f t="shared" si="2"/>
        <v>0</v>
      </c>
      <c r="BY4" s="1" t="str">
        <f t="shared" si="2"/>
        <v>Labor</v>
      </c>
      <c r="BZ4" s="1">
        <f t="shared" si="2"/>
        <v>0</v>
      </c>
      <c r="CA4" s="1" t="str">
        <f t="shared" si="2"/>
        <v>Labor</v>
      </c>
      <c r="CB4" s="1">
        <f t="shared" si="2"/>
        <v>0</v>
      </c>
      <c r="CC4" s="1" t="str">
        <f t="shared" si="2"/>
        <v>Labor</v>
      </c>
      <c r="CD4" s="1">
        <f t="shared" si="2"/>
        <v>0</v>
      </c>
      <c r="CE4" s="1" t="str">
        <f t="shared" si="2"/>
        <v>Labor</v>
      </c>
      <c r="CF4" s="1">
        <f t="shared" si="2"/>
        <v>0</v>
      </c>
      <c r="CG4" s="1" t="str">
        <f t="shared" si="2"/>
        <v>Labor</v>
      </c>
      <c r="CH4" s="1">
        <f t="shared" si="2"/>
        <v>0</v>
      </c>
      <c r="CI4" s="1" t="str">
        <f t="shared" si="2"/>
        <v>Labor</v>
      </c>
      <c r="CJ4" s="1">
        <f t="shared" si="2"/>
        <v>0</v>
      </c>
      <c r="CK4" s="1" t="str">
        <f t="shared" si="2"/>
        <v>Labor</v>
      </c>
      <c r="CL4" s="1">
        <f t="shared" si="2"/>
        <v>0</v>
      </c>
      <c r="CM4" s="1" t="str">
        <f t="shared" si="2"/>
        <v>Labor</v>
      </c>
      <c r="CN4" s="1">
        <f t="shared" si="2"/>
        <v>0</v>
      </c>
      <c r="CO4" s="1" t="str">
        <f t="shared" si="2"/>
        <v>Labor</v>
      </c>
      <c r="CP4" s="1">
        <f t="shared" si="2"/>
        <v>0</v>
      </c>
      <c r="CQ4" s="1" t="str">
        <f t="shared" si="2"/>
        <v>Labor</v>
      </c>
      <c r="CR4" s="1">
        <f t="shared" si="2"/>
        <v>0</v>
      </c>
      <c r="CS4" s="1" t="str">
        <f t="shared" si="2"/>
        <v>Labor</v>
      </c>
      <c r="CT4" s="1">
        <f t="shared" si="2"/>
        <v>0</v>
      </c>
      <c r="CU4" s="1" t="str">
        <f t="shared" si="2"/>
        <v>Labor</v>
      </c>
      <c r="CV4" s="1">
        <f t="shared" si="2"/>
        <v>0</v>
      </c>
    </row>
    <row r="5" spans="1:120" ht="14.25" customHeight="1" x14ac:dyDescent="0.2">
      <c r="C5" s="73"/>
      <c r="G5" s="1">
        <f t="shared" ref="G5:I5" si="3">WEEKNUM(G7)</f>
        <v>14</v>
      </c>
      <c r="H5" s="1">
        <f t="shared" si="3"/>
        <v>14</v>
      </c>
      <c r="I5" s="1">
        <f t="shared" si="3"/>
        <v>18</v>
      </c>
      <c r="J5" s="74" t="str">
        <f t="shared" ref="J5:M5" si="4">WEEKNUM(J7)&amp;YEAR(J7)</f>
        <v>182025</v>
      </c>
      <c r="K5" s="74" t="str">
        <f t="shared" si="4"/>
        <v>182025</v>
      </c>
      <c r="L5" s="74" t="str">
        <f t="shared" si="4"/>
        <v>182025</v>
      </c>
      <c r="M5" s="74" t="str">
        <f t="shared" si="4"/>
        <v>222025</v>
      </c>
      <c r="N5" s="284"/>
      <c r="O5" s="74" t="str">
        <f t="shared" ref="O5:CV5" si="5">WEEKNUM(O7)&amp;YEAR(O7)</f>
        <v>222025</v>
      </c>
      <c r="P5" s="74" t="str">
        <f t="shared" si="5"/>
        <v>222025</v>
      </c>
      <c r="Q5" s="74" t="str">
        <f t="shared" si="5"/>
        <v>222025</v>
      </c>
      <c r="R5" s="74" t="str">
        <f t="shared" si="5"/>
        <v>272025</v>
      </c>
      <c r="S5" s="74" t="str">
        <f t="shared" si="5"/>
        <v>272025</v>
      </c>
      <c r="T5" s="74" t="str">
        <f t="shared" si="5"/>
        <v>272025</v>
      </c>
      <c r="U5" s="74" t="str">
        <f t="shared" si="5"/>
        <v>272025</v>
      </c>
      <c r="V5" s="74" t="str">
        <f t="shared" si="5"/>
        <v>272025</v>
      </c>
      <c r="W5" s="74" t="str">
        <f t="shared" si="5"/>
        <v>312025</v>
      </c>
      <c r="X5" s="74" t="str">
        <f t="shared" si="5"/>
        <v>312025</v>
      </c>
      <c r="Y5" s="74" t="str">
        <f t="shared" si="5"/>
        <v>312025</v>
      </c>
      <c r="Z5" s="74" t="str">
        <f t="shared" si="5"/>
        <v>312025</v>
      </c>
      <c r="AA5" s="74" t="str">
        <f t="shared" si="5"/>
        <v>362025</v>
      </c>
      <c r="AB5" s="74" t="str">
        <f t="shared" si="5"/>
        <v>362025</v>
      </c>
      <c r="AC5" s="74" t="str">
        <f t="shared" si="5"/>
        <v>362025</v>
      </c>
      <c r="AD5" s="74" t="str">
        <f t="shared" si="5"/>
        <v>362025</v>
      </c>
      <c r="AE5" s="74" t="str">
        <f t="shared" si="5"/>
        <v>402025</v>
      </c>
      <c r="AF5" s="74" t="str">
        <f t="shared" si="5"/>
        <v>402025</v>
      </c>
      <c r="AG5" s="74" t="str">
        <f t="shared" si="5"/>
        <v>402025</v>
      </c>
      <c r="AH5" s="74" t="str">
        <f t="shared" si="5"/>
        <v>402025</v>
      </c>
      <c r="AI5" s="74" t="str">
        <f t="shared" si="5"/>
        <v>402025</v>
      </c>
      <c r="AJ5" s="74" t="str">
        <f t="shared" si="5"/>
        <v>442025</v>
      </c>
      <c r="AK5" s="74" t="str">
        <f t="shared" si="5"/>
        <v>442025</v>
      </c>
      <c r="AL5" s="74" t="str">
        <f t="shared" si="5"/>
        <v>442025</v>
      </c>
      <c r="AM5" s="74" t="str">
        <f t="shared" si="5"/>
        <v>442025</v>
      </c>
      <c r="AN5" s="373" t="str">
        <f t="shared" si="5"/>
        <v>492025</v>
      </c>
      <c r="AO5" s="383" t="str">
        <f t="shared" si="5"/>
        <v>492025</v>
      </c>
      <c r="AP5" s="373" t="str">
        <f t="shared" si="5"/>
        <v>492025</v>
      </c>
      <c r="AQ5" s="74" t="str">
        <f t="shared" si="5"/>
        <v>492025</v>
      </c>
      <c r="AR5" s="74" t="str">
        <f t="shared" si="5"/>
        <v>532025</v>
      </c>
      <c r="AS5" s="74" t="str">
        <f t="shared" si="5"/>
        <v>532025</v>
      </c>
      <c r="AT5" s="74" t="str">
        <f t="shared" si="5"/>
        <v>532025</v>
      </c>
      <c r="AU5" s="74" t="str">
        <f t="shared" si="5"/>
        <v>532025</v>
      </c>
      <c r="AV5" s="74" t="str">
        <f t="shared" si="5"/>
        <v>532025</v>
      </c>
      <c r="AW5" s="74" t="str">
        <f t="shared" si="5"/>
        <v>52026</v>
      </c>
      <c r="AX5" s="74" t="str">
        <f t="shared" si="5"/>
        <v>52026</v>
      </c>
      <c r="AY5" s="74" t="str">
        <f t="shared" si="5"/>
        <v>52026</v>
      </c>
      <c r="AZ5" s="74" t="str">
        <f t="shared" si="5"/>
        <v>52026</v>
      </c>
      <c r="BA5" s="74" t="str">
        <f t="shared" si="5"/>
        <v>92026</v>
      </c>
      <c r="BB5" s="74" t="str">
        <f t="shared" si="5"/>
        <v>92026</v>
      </c>
      <c r="BC5" s="74" t="str">
        <f t="shared" si="5"/>
        <v>92026</v>
      </c>
      <c r="BD5" s="74" t="str">
        <f t="shared" si="5"/>
        <v>92026</v>
      </c>
      <c r="BE5" s="74" t="str">
        <f t="shared" si="5"/>
        <v>142026</v>
      </c>
      <c r="BF5" s="74" t="str">
        <f t="shared" si="5"/>
        <v>142026</v>
      </c>
      <c r="BG5" s="74" t="str">
        <f t="shared" si="5"/>
        <v>142026</v>
      </c>
      <c r="BH5" s="74" t="str">
        <f t="shared" si="5"/>
        <v>142026</v>
      </c>
      <c r="BI5" s="74" t="str">
        <f t="shared" si="5"/>
        <v>142026</v>
      </c>
      <c r="BJ5" s="74" t="str">
        <f t="shared" si="5"/>
        <v>182026</v>
      </c>
      <c r="BK5" s="74" t="str">
        <f t="shared" si="5"/>
        <v>182026</v>
      </c>
      <c r="BL5" s="74" t="str">
        <f t="shared" si="5"/>
        <v>182026</v>
      </c>
      <c r="BM5" s="74" t="str">
        <f t="shared" si="5"/>
        <v>182026</v>
      </c>
      <c r="BN5" s="74" t="str">
        <f t="shared" si="5"/>
        <v>232026</v>
      </c>
      <c r="BO5" s="74" t="str">
        <f t="shared" si="5"/>
        <v>232026</v>
      </c>
      <c r="BP5" s="74" t="str">
        <f t="shared" si="5"/>
        <v>232026</v>
      </c>
      <c r="BQ5" s="74" t="str">
        <f t="shared" si="5"/>
        <v>232026</v>
      </c>
      <c r="BR5" s="74" t="str">
        <f t="shared" si="5"/>
        <v>272026</v>
      </c>
      <c r="BS5" s="74" t="str">
        <f t="shared" si="5"/>
        <v>272026</v>
      </c>
      <c r="BT5" s="74" t="str">
        <f t="shared" si="5"/>
        <v>272026</v>
      </c>
      <c r="BU5" s="74" t="str">
        <f t="shared" si="5"/>
        <v>272026</v>
      </c>
      <c r="BV5" s="74" t="str">
        <f t="shared" si="5"/>
        <v>272026</v>
      </c>
      <c r="BW5" s="74" t="str">
        <f t="shared" si="5"/>
        <v>312026</v>
      </c>
      <c r="BX5" s="74" t="str">
        <f t="shared" si="5"/>
        <v>312026</v>
      </c>
      <c r="BY5" s="74" t="str">
        <f t="shared" si="5"/>
        <v>312026</v>
      </c>
      <c r="BZ5" s="74" t="str">
        <f t="shared" si="5"/>
        <v>312026</v>
      </c>
      <c r="CA5" s="74" t="str">
        <f t="shared" si="5"/>
        <v>362026</v>
      </c>
      <c r="CB5" s="74" t="str">
        <f t="shared" si="5"/>
        <v>362026</v>
      </c>
      <c r="CC5" s="74" t="str">
        <f t="shared" si="5"/>
        <v>362026</v>
      </c>
      <c r="CD5" s="74" t="str">
        <f t="shared" si="5"/>
        <v>362026</v>
      </c>
      <c r="CE5" s="74" t="str">
        <f t="shared" si="5"/>
        <v>362026</v>
      </c>
      <c r="CF5" s="74" t="str">
        <f t="shared" si="5"/>
        <v>402026</v>
      </c>
      <c r="CG5" s="74" t="str">
        <f t="shared" si="5"/>
        <v>402026</v>
      </c>
      <c r="CH5" s="74" t="str">
        <f t="shared" si="5"/>
        <v>402026</v>
      </c>
      <c r="CI5" s="74" t="str">
        <f t="shared" si="5"/>
        <v>402026</v>
      </c>
      <c r="CJ5" s="74" t="str">
        <f t="shared" si="5"/>
        <v>442026</v>
      </c>
      <c r="CK5" s="74" t="str">
        <f t="shared" si="5"/>
        <v>442026</v>
      </c>
      <c r="CL5" s="74" t="str">
        <f t="shared" si="5"/>
        <v>442026</v>
      </c>
      <c r="CM5" s="74" t="str">
        <f t="shared" si="5"/>
        <v>442026</v>
      </c>
      <c r="CN5" s="74" t="str">
        <f t="shared" si="5"/>
        <v>492026</v>
      </c>
      <c r="CO5" s="74" t="str">
        <f t="shared" si="5"/>
        <v>492026</v>
      </c>
      <c r="CP5" s="74" t="str">
        <f t="shared" si="5"/>
        <v>492026</v>
      </c>
      <c r="CQ5" s="74" t="str">
        <f t="shared" si="5"/>
        <v>492026</v>
      </c>
      <c r="CR5" s="74" t="str">
        <f t="shared" si="5"/>
        <v>492026</v>
      </c>
      <c r="CS5" s="74" t="str">
        <f t="shared" si="5"/>
        <v>532026</v>
      </c>
      <c r="CT5" s="74" t="str">
        <f t="shared" si="5"/>
        <v>532026</v>
      </c>
      <c r="CU5" s="74" t="str">
        <f t="shared" si="5"/>
        <v>532026</v>
      </c>
      <c r="CV5" s="74" t="str">
        <f t="shared" si="5"/>
        <v>532026</v>
      </c>
    </row>
    <row r="6" spans="1:120" ht="14.25" customHeight="1" thickBot="1" x14ac:dyDescent="0.25">
      <c r="G6" s="1">
        <f t="shared" ref="G6:I6" si="6">WEEKNUM(G8)</f>
        <v>13</v>
      </c>
      <c r="H6" s="1">
        <f t="shared" si="6"/>
        <v>14</v>
      </c>
      <c r="I6" s="1">
        <f t="shared" si="6"/>
        <v>15</v>
      </c>
      <c r="J6" s="74" t="str">
        <f t="shared" ref="J6:M6" si="7">WEEKNUM(J8)&amp;YEAR(J8)</f>
        <v>162025</v>
      </c>
      <c r="K6" s="74" t="str">
        <f t="shared" si="7"/>
        <v>172025</v>
      </c>
      <c r="L6" s="74" t="str">
        <f t="shared" si="7"/>
        <v>182025</v>
      </c>
      <c r="M6" s="74" t="str">
        <f t="shared" si="7"/>
        <v>192025</v>
      </c>
      <c r="N6" s="284"/>
      <c r="O6" s="74" t="str">
        <f t="shared" ref="O6:CV6" si="8">WEEKNUM(O8)&amp;YEAR(O8)</f>
        <v>202025</v>
      </c>
      <c r="P6" s="74" t="str">
        <f t="shared" si="8"/>
        <v>212025</v>
      </c>
      <c r="Q6" s="74" t="str">
        <f t="shared" si="8"/>
        <v>222025</v>
      </c>
      <c r="R6" s="74" t="str">
        <f t="shared" si="8"/>
        <v>232025</v>
      </c>
      <c r="S6" s="74" t="str">
        <f t="shared" si="8"/>
        <v>242025</v>
      </c>
      <c r="T6" s="74" t="str">
        <f t="shared" si="8"/>
        <v>252025</v>
      </c>
      <c r="U6" s="74" t="str">
        <f t="shared" si="8"/>
        <v>262025</v>
      </c>
      <c r="V6" s="74" t="str">
        <f t="shared" si="8"/>
        <v>272025</v>
      </c>
      <c r="W6" s="74" t="str">
        <f t="shared" si="8"/>
        <v>282025</v>
      </c>
      <c r="X6" s="74" t="str">
        <f t="shared" si="8"/>
        <v>292025</v>
      </c>
      <c r="Y6" s="74" t="str">
        <f t="shared" si="8"/>
        <v>302025</v>
      </c>
      <c r="Z6" s="74" t="str">
        <f t="shared" si="8"/>
        <v>312025</v>
      </c>
      <c r="AA6" s="74" t="str">
        <f t="shared" si="8"/>
        <v>322025</v>
      </c>
      <c r="AB6" s="74" t="str">
        <f t="shared" si="8"/>
        <v>332025</v>
      </c>
      <c r="AC6" s="74" t="str">
        <f t="shared" si="8"/>
        <v>342025</v>
      </c>
      <c r="AD6" s="74" t="str">
        <f t="shared" si="8"/>
        <v>352025</v>
      </c>
      <c r="AE6" s="74" t="str">
        <f t="shared" si="8"/>
        <v>362025</v>
      </c>
      <c r="AF6" s="74" t="str">
        <f t="shared" si="8"/>
        <v>372025</v>
      </c>
      <c r="AG6" s="74" t="str">
        <f t="shared" si="8"/>
        <v>382025</v>
      </c>
      <c r="AH6" s="74" t="str">
        <f t="shared" si="8"/>
        <v>392025</v>
      </c>
      <c r="AI6" s="74" t="str">
        <f t="shared" si="8"/>
        <v>402025</v>
      </c>
      <c r="AJ6" s="74" t="str">
        <f t="shared" si="8"/>
        <v>412025</v>
      </c>
      <c r="AK6" s="74" t="str">
        <f t="shared" si="8"/>
        <v>422025</v>
      </c>
      <c r="AL6" s="74" t="str">
        <f t="shared" si="8"/>
        <v>432025</v>
      </c>
      <c r="AM6" s="74" t="str">
        <f t="shared" si="8"/>
        <v>442025</v>
      </c>
      <c r="AN6" s="373" t="str">
        <f t="shared" si="8"/>
        <v>452025</v>
      </c>
      <c r="AO6" s="383" t="str">
        <f t="shared" si="8"/>
        <v>462025</v>
      </c>
      <c r="AP6" s="373" t="str">
        <f t="shared" si="8"/>
        <v>472025</v>
      </c>
      <c r="AQ6" s="74" t="str">
        <f t="shared" si="8"/>
        <v>482025</v>
      </c>
      <c r="AR6" s="74" t="str">
        <f t="shared" si="8"/>
        <v>492025</v>
      </c>
      <c r="AS6" s="74" t="str">
        <f t="shared" si="8"/>
        <v>502025</v>
      </c>
      <c r="AT6" s="74" t="str">
        <f t="shared" si="8"/>
        <v>512025</v>
      </c>
      <c r="AU6" s="74" t="str">
        <f t="shared" si="8"/>
        <v>522025</v>
      </c>
      <c r="AV6" s="74" t="str">
        <f t="shared" si="8"/>
        <v>532025</v>
      </c>
      <c r="AW6" s="74" t="str">
        <f t="shared" si="8"/>
        <v>22026</v>
      </c>
      <c r="AX6" s="74" t="str">
        <f t="shared" si="8"/>
        <v>32026</v>
      </c>
      <c r="AY6" s="74" t="str">
        <f t="shared" si="8"/>
        <v>42026</v>
      </c>
      <c r="AZ6" s="74" t="str">
        <f t="shared" si="8"/>
        <v>52026</v>
      </c>
      <c r="BA6" s="74" t="str">
        <f t="shared" si="8"/>
        <v>62026</v>
      </c>
      <c r="BB6" s="74" t="str">
        <f t="shared" si="8"/>
        <v>72026</v>
      </c>
      <c r="BC6" s="74" t="str">
        <f t="shared" si="8"/>
        <v>82026</v>
      </c>
      <c r="BD6" s="74" t="str">
        <f t="shared" si="8"/>
        <v>92026</v>
      </c>
      <c r="BE6" s="74" t="str">
        <f t="shared" si="8"/>
        <v>102026</v>
      </c>
      <c r="BF6" s="74" t="str">
        <f t="shared" si="8"/>
        <v>112026</v>
      </c>
      <c r="BG6" s="74" t="str">
        <f t="shared" si="8"/>
        <v>122026</v>
      </c>
      <c r="BH6" s="74" t="str">
        <f t="shared" si="8"/>
        <v>132026</v>
      </c>
      <c r="BI6" s="74" t="str">
        <f t="shared" si="8"/>
        <v>142026</v>
      </c>
      <c r="BJ6" s="74" t="str">
        <f t="shared" si="8"/>
        <v>152026</v>
      </c>
      <c r="BK6" s="74" t="str">
        <f t="shared" si="8"/>
        <v>162026</v>
      </c>
      <c r="BL6" s="74" t="str">
        <f t="shared" si="8"/>
        <v>172026</v>
      </c>
      <c r="BM6" s="74" t="str">
        <f t="shared" si="8"/>
        <v>182026</v>
      </c>
      <c r="BN6" s="74" t="str">
        <f t="shared" si="8"/>
        <v>192026</v>
      </c>
      <c r="BO6" s="74" t="str">
        <f t="shared" si="8"/>
        <v>202026</v>
      </c>
      <c r="BP6" s="74" t="str">
        <f t="shared" si="8"/>
        <v>212026</v>
      </c>
      <c r="BQ6" s="74" t="str">
        <f t="shared" si="8"/>
        <v>222026</v>
      </c>
      <c r="BR6" s="74" t="str">
        <f t="shared" si="8"/>
        <v>232026</v>
      </c>
      <c r="BS6" s="74" t="str">
        <f t="shared" si="8"/>
        <v>242026</v>
      </c>
      <c r="BT6" s="74" t="str">
        <f t="shared" si="8"/>
        <v>252026</v>
      </c>
      <c r="BU6" s="74" t="str">
        <f t="shared" si="8"/>
        <v>262026</v>
      </c>
      <c r="BV6" s="74" t="str">
        <f t="shared" si="8"/>
        <v>272026</v>
      </c>
      <c r="BW6" s="74" t="str">
        <f t="shared" si="8"/>
        <v>282026</v>
      </c>
      <c r="BX6" s="74" t="str">
        <f t="shared" si="8"/>
        <v>292026</v>
      </c>
      <c r="BY6" s="74" t="str">
        <f t="shared" si="8"/>
        <v>302026</v>
      </c>
      <c r="BZ6" s="74" t="str">
        <f t="shared" si="8"/>
        <v>312026</v>
      </c>
      <c r="CA6" s="74" t="str">
        <f t="shared" si="8"/>
        <v>322026</v>
      </c>
      <c r="CB6" s="74" t="str">
        <f t="shared" si="8"/>
        <v>332026</v>
      </c>
      <c r="CC6" s="74" t="str">
        <f t="shared" si="8"/>
        <v>342026</v>
      </c>
      <c r="CD6" s="74" t="str">
        <f t="shared" si="8"/>
        <v>352026</v>
      </c>
      <c r="CE6" s="74" t="str">
        <f t="shared" si="8"/>
        <v>362026</v>
      </c>
      <c r="CF6" s="74" t="str">
        <f t="shared" si="8"/>
        <v>372026</v>
      </c>
      <c r="CG6" s="74" t="str">
        <f t="shared" si="8"/>
        <v>382026</v>
      </c>
      <c r="CH6" s="74" t="str">
        <f t="shared" si="8"/>
        <v>392026</v>
      </c>
      <c r="CI6" s="74" t="str">
        <f t="shared" si="8"/>
        <v>402026</v>
      </c>
      <c r="CJ6" s="74" t="str">
        <f t="shared" si="8"/>
        <v>412026</v>
      </c>
      <c r="CK6" s="74" t="str">
        <f t="shared" si="8"/>
        <v>422026</v>
      </c>
      <c r="CL6" s="74" t="str">
        <f t="shared" si="8"/>
        <v>432026</v>
      </c>
      <c r="CM6" s="74" t="str">
        <f t="shared" si="8"/>
        <v>442026</v>
      </c>
      <c r="CN6" s="74" t="str">
        <f t="shared" si="8"/>
        <v>452026</v>
      </c>
      <c r="CO6" s="74" t="str">
        <f t="shared" si="8"/>
        <v>462026</v>
      </c>
      <c r="CP6" s="74" t="str">
        <f t="shared" si="8"/>
        <v>472026</v>
      </c>
      <c r="CQ6" s="74" t="str">
        <f t="shared" si="8"/>
        <v>482026</v>
      </c>
      <c r="CR6" s="74" t="str">
        <f t="shared" si="8"/>
        <v>492026</v>
      </c>
      <c r="CS6" s="74" t="str">
        <f t="shared" si="8"/>
        <v>502026</v>
      </c>
      <c r="CT6" s="74" t="str">
        <f t="shared" si="8"/>
        <v>512026</v>
      </c>
      <c r="CU6" s="74" t="str">
        <f t="shared" si="8"/>
        <v>522026</v>
      </c>
      <c r="CV6" s="74" t="str">
        <f t="shared" si="8"/>
        <v>532026</v>
      </c>
    </row>
    <row r="7" spans="1:120" ht="14.25" customHeight="1" x14ac:dyDescent="0.2">
      <c r="F7" s="75" t="s">
        <v>65</v>
      </c>
      <c r="G7" s="76">
        <f t="shared" ref="G7:M7" si="9">EOMONTH(G8,0)</f>
        <v>45747</v>
      </c>
      <c r="H7" s="76">
        <f t="shared" si="9"/>
        <v>45747</v>
      </c>
      <c r="I7" s="76">
        <f t="shared" si="9"/>
        <v>45777</v>
      </c>
      <c r="J7" s="76">
        <f t="shared" si="9"/>
        <v>45777</v>
      </c>
      <c r="K7" s="76">
        <f t="shared" si="9"/>
        <v>45777</v>
      </c>
      <c r="L7" s="76">
        <f t="shared" si="9"/>
        <v>45777</v>
      </c>
      <c r="M7" s="76">
        <f t="shared" si="9"/>
        <v>45808</v>
      </c>
      <c r="N7" s="282" t="s">
        <v>66</v>
      </c>
      <c r="O7" s="76">
        <f t="shared" ref="O7:CV7" si="10">EOMONTH(O8,0)</f>
        <v>45808</v>
      </c>
      <c r="P7" s="76">
        <f t="shared" si="10"/>
        <v>45808</v>
      </c>
      <c r="Q7" s="76">
        <f t="shared" si="10"/>
        <v>45808</v>
      </c>
      <c r="R7" s="76">
        <f t="shared" si="10"/>
        <v>45838</v>
      </c>
      <c r="S7" s="76">
        <f t="shared" si="10"/>
        <v>45838</v>
      </c>
      <c r="T7" s="76">
        <f t="shared" si="10"/>
        <v>45838</v>
      </c>
      <c r="U7" s="76">
        <f t="shared" si="10"/>
        <v>45838</v>
      </c>
      <c r="V7" s="76">
        <f t="shared" si="10"/>
        <v>45838</v>
      </c>
      <c r="W7" s="76">
        <f t="shared" si="10"/>
        <v>45869</v>
      </c>
      <c r="X7" s="76">
        <f t="shared" si="10"/>
        <v>45869</v>
      </c>
      <c r="Y7" s="76">
        <f t="shared" si="10"/>
        <v>45869</v>
      </c>
      <c r="Z7" s="76">
        <f t="shared" si="10"/>
        <v>45869</v>
      </c>
      <c r="AA7" s="76">
        <f t="shared" si="10"/>
        <v>45900</v>
      </c>
      <c r="AB7" s="76">
        <f t="shared" si="10"/>
        <v>45900</v>
      </c>
      <c r="AC7" s="76">
        <f t="shared" si="10"/>
        <v>45900</v>
      </c>
      <c r="AD7" s="76">
        <f t="shared" si="10"/>
        <v>45900</v>
      </c>
      <c r="AE7" s="76">
        <f t="shared" si="10"/>
        <v>45930</v>
      </c>
      <c r="AF7" s="76">
        <f t="shared" si="10"/>
        <v>45930</v>
      </c>
      <c r="AG7" s="76">
        <f t="shared" si="10"/>
        <v>45930</v>
      </c>
      <c r="AH7" s="76">
        <f t="shared" si="10"/>
        <v>45930</v>
      </c>
      <c r="AI7" s="76">
        <f t="shared" si="10"/>
        <v>45930</v>
      </c>
      <c r="AJ7" s="76">
        <f t="shared" si="10"/>
        <v>45961</v>
      </c>
      <c r="AK7" s="76">
        <f t="shared" si="10"/>
        <v>45961</v>
      </c>
      <c r="AL7" s="76">
        <f t="shared" si="10"/>
        <v>45961</v>
      </c>
      <c r="AM7" s="76">
        <f t="shared" si="10"/>
        <v>45961</v>
      </c>
      <c r="AN7" s="76">
        <f t="shared" si="10"/>
        <v>45991</v>
      </c>
      <c r="AO7" s="384">
        <f t="shared" si="10"/>
        <v>45991</v>
      </c>
      <c r="AP7" s="76">
        <f t="shared" si="10"/>
        <v>45991</v>
      </c>
      <c r="AQ7" s="76">
        <f t="shared" si="10"/>
        <v>45991</v>
      </c>
      <c r="AR7" s="76">
        <f t="shared" si="10"/>
        <v>46022</v>
      </c>
      <c r="AS7" s="76">
        <f t="shared" si="10"/>
        <v>46022</v>
      </c>
      <c r="AT7" s="76">
        <f t="shared" si="10"/>
        <v>46022</v>
      </c>
      <c r="AU7" s="76">
        <f t="shared" si="10"/>
        <v>46022</v>
      </c>
      <c r="AV7" s="76">
        <f t="shared" si="10"/>
        <v>46022</v>
      </c>
      <c r="AW7" s="76">
        <f t="shared" si="10"/>
        <v>46053</v>
      </c>
      <c r="AX7" s="76">
        <f t="shared" si="10"/>
        <v>46053</v>
      </c>
      <c r="AY7" s="76">
        <f t="shared" si="10"/>
        <v>46053</v>
      </c>
      <c r="AZ7" s="76">
        <f t="shared" si="10"/>
        <v>46053</v>
      </c>
      <c r="BA7" s="76">
        <f t="shared" si="10"/>
        <v>46081</v>
      </c>
      <c r="BB7" s="76">
        <f t="shared" si="10"/>
        <v>46081</v>
      </c>
      <c r="BC7" s="76">
        <f t="shared" si="10"/>
        <v>46081</v>
      </c>
      <c r="BD7" s="76">
        <f t="shared" si="10"/>
        <v>46081</v>
      </c>
      <c r="BE7" s="76">
        <f t="shared" si="10"/>
        <v>46112</v>
      </c>
      <c r="BF7" s="76">
        <f t="shared" si="10"/>
        <v>46112</v>
      </c>
      <c r="BG7" s="76">
        <f t="shared" si="10"/>
        <v>46112</v>
      </c>
      <c r="BH7" s="76">
        <f t="shared" si="10"/>
        <v>46112</v>
      </c>
      <c r="BI7" s="76">
        <f t="shared" si="10"/>
        <v>46112</v>
      </c>
      <c r="BJ7" s="76">
        <f t="shared" si="10"/>
        <v>46142</v>
      </c>
      <c r="BK7" s="76">
        <f t="shared" si="10"/>
        <v>46142</v>
      </c>
      <c r="BL7" s="76">
        <f t="shared" si="10"/>
        <v>46142</v>
      </c>
      <c r="BM7" s="76">
        <f t="shared" si="10"/>
        <v>46142</v>
      </c>
      <c r="BN7" s="76">
        <f t="shared" si="10"/>
        <v>46173</v>
      </c>
      <c r="BO7" s="76">
        <f t="shared" si="10"/>
        <v>46173</v>
      </c>
      <c r="BP7" s="76">
        <f t="shared" si="10"/>
        <v>46173</v>
      </c>
      <c r="BQ7" s="76">
        <f t="shared" si="10"/>
        <v>46173</v>
      </c>
      <c r="BR7" s="76">
        <f t="shared" si="10"/>
        <v>46203</v>
      </c>
      <c r="BS7" s="76">
        <f t="shared" si="10"/>
        <v>46203</v>
      </c>
      <c r="BT7" s="76">
        <f t="shared" si="10"/>
        <v>46203</v>
      </c>
      <c r="BU7" s="76">
        <f t="shared" si="10"/>
        <v>46203</v>
      </c>
      <c r="BV7" s="76">
        <f t="shared" si="10"/>
        <v>46203</v>
      </c>
      <c r="BW7" s="76">
        <f t="shared" si="10"/>
        <v>46234</v>
      </c>
      <c r="BX7" s="76">
        <f t="shared" si="10"/>
        <v>46234</v>
      </c>
      <c r="BY7" s="76">
        <f t="shared" si="10"/>
        <v>46234</v>
      </c>
      <c r="BZ7" s="76">
        <f t="shared" si="10"/>
        <v>46234</v>
      </c>
      <c r="CA7" s="76">
        <f t="shared" si="10"/>
        <v>46265</v>
      </c>
      <c r="CB7" s="76">
        <f t="shared" si="10"/>
        <v>46265</v>
      </c>
      <c r="CC7" s="76">
        <f t="shared" si="10"/>
        <v>46265</v>
      </c>
      <c r="CD7" s="76">
        <f t="shared" si="10"/>
        <v>46265</v>
      </c>
      <c r="CE7" s="76">
        <f t="shared" si="10"/>
        <v>46265</v>
      </c>
      <c r="CF7" s="76">
        <f t="shared" si="10"/>
        <v>46295</v>
      </c>
      <c r="CG7" s="76">
        <f t="shared" si="10"/>
        <v>46295</v>
      </c>
      <c r="CH7" s="76">
        <f t="shared" si="10"/>
        <v>46295</v>
      </c>
      <c r="CI7" s="76">
        <f t="shared" si="10"/>
        <v>46295</v>
      </c>
      <c r="CJ7" s="76">
        <f t="shared" si="10"/>
        <v>46326</v>
      </c>
      <c r="CK7" s="76">
        <f t="shared" si="10"/>
        <v>46326</v>
      </c>
      <c r="CL7" s="76">
        <f t="shared" si="10"/>
        <v>46326</v>
      </c>
      <c r="CM7" s="76">
        <f t="shared" si="10"/>
        <v>46326</v>
      </c>
      <c r="CN7" s="76">
        <f t="shared" si="10"/>
        <v>46356</v>
      </c>
      <c r="CO7" s="76">
        <f t="shared" si="10"/>
        <v>46356</v>
      </c>
      <c r="CP7" s="76">
        <f t="shared" si="10"/>
        <v>46356</v>
      </c>
      <c r="CQ7" s="76">
        <f t="shared" si="10"/>
        <v>46356</v>
      </c>
      <c r="CR7" s="76">
        <f t="shared" si="10"/>
        <v>46356</v>
      </c>
      <c r="CS7" s="76">
        <f t="shared" si="10"/>
        <v>46387</v>
      </c>
      <c r="CT7" s="76">
        <f t="shared" si="10"/>
        <v>46387</v>
      </c>
      <c r="CU7" s="76">
        <f t="shared" si="10"/>
        <v>46387</v>
      </c>
      <c r="CV7" s="76">
        <f t="shared" si="10"/>
        <v>46387</v>
      </c>
      <c r="CW7" s="74"/>
      <c r="CX7" s="74"/>
      <c r="CY7" s="74"/>
    </row>
    <row r="8" spans="1:120" ht="14.25" customHeight="1" x14ac:dyDescent="0.2">
      <c r="F8" s="75" t="s">
        <v>67</v>
      </c>
      <c r="G8" s="76">
        <v>45740</v>
      </c>
      <c r="H8" s="76">
        <f t="shared" ref="H8:M8" si="11">+G8+7</f>
        <v>45747</v>
      </c>
      <c r="I8" s="76">
        <f t="shared" si="11"/>
        <v>45754</v>
      </c>
      <c r="J8" s="76">
        <f t="shared" si="11"/>
        <v>45761</v>
      </c>
      <c r="K8" s="76">
        <f t="shared" si="11"/>
        <v>45768</v>
      </c>
      <c r="L8" s="76">
        <f t="shared" si="11"/>
        <v>45775</v>
      </c>
      <c r="M8" s="76">
        <f t="shared" si="11"/>
        <v>45782</v>
      </c>
      <c r="N8" s="285"/>
      <c r="O8" s="76">
        <f>+M8+7</f>
        <v>45789</v>
      </c>
      <c r="P8" s="76">
        <f t="shared" ref="P8:CV8" si="12">+O8+7</f>
        <v>45796</v>
      </c>
      <c r="Q8" s="76">
        <f t="shared" si="12"/>
        <v>45803</v>
      </c>
      <c r="R8" s="76">
        <f t="shared" si="12"/>
        <v>45810</v>
      </c>
      <c r="S8" s="76">
        <f t="shared" si="12"/>
        <v>45817</v>
      </c>
      <c r="T8" s="76">
        <f t="shared" si="12"/>
        <v>45824</v>
      </c>
      <c r="U8" s="76">
        <f t="shared" si="12"/>
        <v>45831</v>
      </c>
      <c r="V8" s="76">
        <f t="shared" si="12"/>
        <v>45838</v>
      </c>
      <c r="W8" s="76">
        <f t="shared" si="12"/>
        <v>45845</v>
      </c>
      <c r="X8" s="76">
        <f t="shared" si="12"/>
        <v>45852</v>
      </c>
      <c r="Y8" s="76">
        <f t="shared" si="12"/>
        <v>45859</v>
      </c>
      <c r="Z8" s="76">
        <f t="shared" si="12"/>
        <v>45866</v>
      </c>
      <c r="AA8" s="76">
        <f t="shared" si="12"/>
        <v>45873</v>
      </c>
      <c r="AB8" s="76">
        <f t="shared" si="12"/>
        <v>45880</v>
      </c>
      <c r="AC8" s="76">
        <f t="shared" si="12"/>
        <v>45887</v>
      </c>
      <c r="AD8" s="76">
        <f t="shared" si="12"/>
        <v>45894</v>
      </c>
      <c r="AE8" s="76">
        <f t="shared" si="12"/>
        <v>45901</v>
      </c>
      <c r="AF8" s="76">
        <f t="shared" si="12"/>
        <v>45908</v>
      </c>
      <c r="AG8" s="76">
        <f t="shared" si="12"/>
        <v>45915</v>
      </c>
      <c r="AH8" s="76">
        <f t="shared" si="12"/>
        <v>45922</v>
      </c>
      <c r="AI8" s="76">
        <f t="shared" si="12"/>
        <v>45929</v>
      </c>
      <c r="AJ8" s="76">
        <f t="shared" si="12"/>
        <v>45936</v>
      </c>
      <c r="AK8" s="76">
        <f t="shared" si="12"/>
        <v>45943</v>
      </c>
      <c r="AL8" s="76">
        <f t="shared" si="12"/>
        <v>45950</v>
      </c>
      <c r="AM8" s="76">
        <f t="shared" si="12"/>
        <v>45957</v>
      </c>
      <c r="AN8" s="76">
        <f t="shared" si="12"/>
        <v>45964</v>
      </c>
      <c r="AO8" s="384">
        <f t="shared" si="12"/>
        <v>45971</v>
      </c>
      <c r="AP8" s="76">
        <f t="shared" si="12"/>
        <v>45978</v>
      </c>
      <c r="AQ8" s="76">
        <f t="shared" si="12"/>
        <v>45985</v>
      </c>
      <c r="AR8" s="76">
        <f t="shared" si="12"/>
        <v>45992</v>
      </c>
      <c r="AS8" s="76">
        <f t="shared" si="12"/>
        <v>45999</v>
      </c>
      <c r="AT8" s="76">
        <f t="shared" si="12"/>
        <v>46006</v>
      </c>
      <c r="AU8" s="76">
        <f t="shared" si="12"/>
        <v>46013</v>
      </c>
      <c r="AV8" s="76">
        <f t="shared" si="12"/>
        <v>46020</v>
      </c>
      <c r="AW8" s="76">
        <f t="shared" si="12"/>
        <v>46027</v>
      </c>
      <c r="AX8" s="76">
        <f t="shared" si="12"/>
        <v>46034</v>
      </c>
      <c r="AY8" s="76">
        <f t="shared" si="12"/>
        <v>46041</v>
      </c>
      <c r="AZ8" s="76">
        <f t="shared" si="12"/>
        <v>46048</v>
      </c>
      <c r="BA8" s="76">
        <f t="shared" si="12"/>
        <v>46055</v>
      </c>
      <c r="BB8" s="76">
        <f t="shared" si="12"/>
        <v>46062</v>
      </c>
      <c r="BC8" s="76">
        <f t="shared" si="12"/>
        <v>46069</v>
      </c>
      <c r="BD8" s="76">
        <f t="shared" si="12"/>
        <v>46076</v>
      </c>
      <c r="BE8" s="76">
        <f t="shared" si="12"/>
        <v>46083</v>
      </c>
      <c r="BF8" s="76">
        <f t="shared" si="12"/>
        <v>46090</v>
      </c>
      <c r="BG8" s="76">
        <f t="shared" si="12"/>
        <v>46097</v>
      </c>
      <c r="BH8" s="76">
        <f t="shared" si="12"/>
        <v>46104</v>
      </c>
      <c r="BI8" s="76">
        <f t="shared" si="12"/>
        <v>46111</v>
      </c>
      <c r="BJ8" s="76">
        <f t="shared" si="12"/>
        <v>46118</v>
      </c>
      <c r="BK8" s="76">
        <f t="shared" si="12"/>
        <v>46125</v>
      </c>
      <c r="BL8" s="76">
        <f t="shared" si="12"/>
        <v>46132</v>
      </c>
      <c r="BM8" s="76">
        <f t="shared" si="12"/>
        <v>46139</v>
      </c>
      <c r="BN8" s="76">
        <f t="shared" si="12"/>
        <v>46146</v>
      </c>
      <c r="BO8" s="76">
        <f t="shared" si="12"/>
        <v>46153</v>
      </c>
      <c r="BP8" s="76">
        <f t="shared" si="12"/>
        <v>46160</v>
      </c>
      <c r="BQ8" s="76">
        <f t="shared" si="12"/>
        <v>46167</v>
      </c>
      <c r="BR8" s="76">
        <f t="shared" si="12"/>
        <v>46174</v>
      </c>
      <c r="BS8" s="76">
        <f t="shared" si="12"/>
        <v>46181</v>
      </c>
      <c r="BT8" s="76">
        <f t="shared" si="12"/>
        <v>46188</v>
      </c>
      <c r="BU8" s="76">
        <f t="shared" si="12"/>
        <v>46195</v>
      </c>
      <c r="BV8" s="76">
        <f t="shared" si="12"/>
        <v>46202</v>
      </c>
      <c r="BW8" s="76">
        <f t="shared" si="12"/>
        <v>46209</v>
      </c>
      <c r="BX8" s="76">
        <f t="shared" si="12"/>
        <v>46216</v>
      </c>
      <c r="BY8" s="76">
        <f t="shared" si="12"/>
        <v>46223</v>
      </c>
      <c r="BZ8" s="76">
        <f t="shared" si="12"/>
        <v>46230</v>
      </c>
      <c r="CA8" s="76">
        <f t="shared" si="12"/>
        <v>46237</v>
      </c>
      <c r="CB8" s="76">
        <f t="shared" si="12"/>
        <v>46244</v>
      </c>
      <c r="CC8" s="76">
        <f t="shared" si="12"/>
        <v>46251</v>
      </c>
      <c r="CD8" s="76">
        <f t="shared" si="12"/>
        <v>46258</v>
      </c>
      <c r="CE8" s="76">
        <f t="shared" si="12"/>
        <v>46265</v>
      </c>
      <c r="CF8" s="76">
        <f t="shared" si="12"/>
        <v>46272</v>
      </c>
      <c r="CG8" s="76">
        <f t="shared" si="12"/>
        <v>46279</v>
      </c>
      <c r="CH8" s="76">
        <f t="shared" si="12"/>
        <v>46286</v>
      </c>
      <c r="CI8" s="76">
        <f t="shared" si="12"/>
        <v>46293</v>
      </c>
      <c r="CJ8" s="76">
        <f t="shared" si="12"/>
        <v>46300</v>
      </c>
      <c r="CK8" s="76">
        <f t="shared" si="12"/>
        <v>46307</v>
      </c>
      <c r="CL8" s="76">
        <f t="shared" si="12"/>
        <v>46314</v>
      </c>
      <c r="CM8" s="76">
        <f t="shared" si="12"/>
        <v>46321</v>
      </c>
      <c r="CN8" s="76">
        <f t="shared" si="12"/>
        <v>46328</v>
      </c>
      <c r="CO8" s="76">
        <f t="shared" si="12"/>
        <v>46335</v>
      </c>
      <c r="CP8" s="76">
        <f t="shared" si="12"/>
        <v>46342</v>
      </c>
      <c r="CQ8" s="76">
        <f t="shared" si="12"/>
        <v>46349</v>
      </c>
      <c r="CR8" s="76">
        <f t="shared" si="12"/>
        <v>46356</v>
      </c>
      <c r="CS8" s="76">
        <f t="shared" si="12"/>
        <v>46363</v>
      </c>
      <c r="CT8" s="76">
        <f t="shared" si="12"/>
        <v>46370</v>
      </c>
      <c r="CU8" s="76">
        <f t="shared" si="12"/>
        <v>46377</v>
      </c>
      <c r="CV8" s="76">
        <f t="shared" si="12"/>
        <v>46384</v>
      </c>
      <c r="CW8" s="74"/>
      <c r="CX8" s="74"/>
      <c r="CY8" s="74"/>
    </row>
    <row r="9" spans="1:120" ht="14.25" customHeight="1" x14ac:dyDescent="0.2">
      <c r="A9" s="31" t="s">
        <v>68</v>
      </c>
      <c r="B9" s="31" t="s">
        <v>69</v>
      </c>
      <c r="C9" s="31" t="s">
        <v>70</v>
      </c>
      <c r="D9" s="31" t="s">
        <v>71</v>
      </c>
      <c r="E9" s="31" t="s">
        <v>72</v>
      </c>
      <c r="F9" s="31" t="s">
        <v>73</v>
      </c>
      <c r="G9" s="77">
        <f t="shared" ref="G9:M9" si="13">G23</f>
        <v>0</v>
      </c>
      <c r="H9" s="77">
        <f t="shared" si="13"/>
        <v>0</v>
      </c>
      <c r="I9" s="77">
        <f t="shared" si="13"/>
        <v>0</v>
      </c>
      <c r="J9" s="77">
        <f t="shared" si="13"/>
        <v>0</v>
      </c>
      <c r="K9" s="77">
        <f t="shared" si="13"/>
        <v>0</v>
      </c>
      <c r="L9" s="77">
        <f t="shared" si="13"/>
        <v>0</v>
      </c>
      <c r="M9" s="77">
        <f t="shared" si="13"/>
        <v>5000</v>
      </c>
      <c r="N9"/>
      <c r="O9" s="77">
        <f t="shared" ref="O9:AT9" si="14">O23</f>
        <v>0</v>
      </c>
      <c r="P9" s="77">
        <f t="shared" si="14"/>
        <v>0</v>
      </c>
      <c r="Q9" s="77">
        <f t="shared" si="14"/>
        <v>0</v>
      </c>
      <c r="R9" s="77">
        <f t="shared" si="14"/>
        <v>0</v>
      </c>
      <c r="S9" s="77">
        <f t="shared" si="14"/>
        <v>0</v>
      </c>
      <c r="T9" s="77">
        <f t="shared" si="14"/>
        <v>0</v>
      </c>
      <c r="U9" s="77">
        <f t="shared" si="14"/>
        <v>100</v>
      </c>
      <c r="V9" s="77">
        <f t="shared" si="14"/>
        <v>0</v>
      </c>
      <c r="W9" s="77">
        <f t="shared" si="14"/>
        <v>0</v>
      </c>
      <c r="X9" s="77">
        <f t="shared" si="14"/>
        <v>0</v>
      </c>
      <c r="Y9" s="77">
        <f t="shared" si="14"/>
        <v>19000</v>
      </c>
      <c r="Z9" s="77">
        <f t="shared" si="14"/>
        <v>0</v>
      </c>
      <c r="AA9" s="77">
        <f t="shared" si="14"/>
        <v>0</v>
      </c>
      <c r="AB9" s="77">
        <f t="shared" si="14"/>
        <v>21000</v>
      </c>
      <c r="AC9" s="77">
        <f t="shared" si="14"/>
        <v>0</v>
      </c>
      <c r="AD9" s="77">
        <f t="shared" si="14"/>
        <v>0</v>
      </c>
      <c r="AE9" s="77">
        <f t="shared" si="14"/>
        <v>22064</v>
      </c>
      <c r="AF9" s="77">
        <f t="shared" si="14"/>
        <v>0</v>
      </c>
      <c r="AG9" s="77">
        <f t="shared" si="14"/>
        <v>15000</v>
      </c>
      <c r="AH9" s="77">
        <f t="shared" si="14"/>
        <v>0</v>
      </c>
      <c r="AI9" s="77">
        <f t="shared" si="14"/>
        <v>0</v>
      </c>
      <c r="AJ9" s="77" t="s">
        <v>74</v>
      </c>
      <c r="AK9" s="77">
        <f t="shared" si="14"/>
        <v>0</v>
      </c>
      <c r="AL9" s="77">
        <f t="shared" si="14"/>
        <v>15000</v>
      </c>
      <c r="AM9" s="77">
        <f t="shared" si="14"/>
        <v>0</v>
      </c>
      <c r="AN9" s="374">
        <f t="shared" si="14"/>
        <v>0</v>
      </c>
      <c r="AO9" s="385">
        <f t="shared" si="14"/>
        <v>10378</v>
      </c>
      <c r="AP9" s="374">
        <f t="shared" si="14"/>
        <v>0</v>
      </c>
      <c r="AQ9" s="77">
        <f t="shared" si="14"/>
        <v>0</v>
      </c>
      <c r="AR9" s="77">
        <f t="shared" si="14"/>
        <v>0</v>
      </c>
      <c r="AS9" s="77">
        <f t="shared" si="14"/>
        <v>0</v>
      </c>
      <c r="AT9" s="77">
        <f t="shared" si="14"/>
        <v>0</v>
      </c>
      <c r="AU9" s="77">
        <f t="shared" ref="AU9:BZ9" si="15">AU23</f>
        <v>19200</v>
      </c>
      <c r="AV9" s="77">
        <f t="shared" si="15"/>
        <v>0</v>
      </c>
      <c r="AW9" s="77">
        <f t="shared" si="15"/>
        <v>0</v>
      </c>
      <c r="AX9" s="77">
        <f t="shared" si="15"/>
        <v>0</v>
      </c>
      <c r="AY9" s="77">
        <f t="shared" si="15"/>
        <v>0</v>
      </c>
      <c r="AZ9" s="77">
        <f t="shared" si="15"/>
        <v>15000</v>
      </c>
      <c r="BA9" s="77">
        <f t="shared" si="15"/>
        <v>0</v>
      </c>
      <c r="BB9" s="77">
        <f t="shared" si="15"/>
        <v>0</v>
      </c>
      <c r="BC9" s="77">
        <f t="shared" si="15"/>
        <v>0</v>
      </c>
      <c r="BD9" s="77">
        <f t="shared" si="15"/>
        <v>0</v>
      </c>
      <c r="BE9" s="77">
        <f t="shared" si="15"/>
        <v>0</v>
      </c>
      <c r="BF9" s="77">
        <f t="shared" si="15"/>
        <v>0</v>
      </c>
      <c r="BG9" s="77">
        <f t="shared" si="15"/>
        <v>0</v>
      </c>
      <c r="BH9" s="77">
        <f t="shared" si="15"/>
        <v>0</v>
      </c>
      <c r="BI9" s="77">
        <f t="shared" si="15"/>
        <v>0</v>
      </c>
      <c r="BJ9" s="77">
        <f t="shared" si="15"/>
        <v>30000</v>
      </c>
      <c r="BK9" s="77">
        <f t="shared" si="15"/>
        <v>0</v>
      </c>
      <c r="BL9" s="77">
        <f t="shared" si="15"/>
        <v>0</v>
      </c>
      <c r="BM9" s="77">
        <f t="shared" si="15"/>
        <v>0</v>
      </c>
      <c r="BN9" s="77">
        <f t="shared" si="15"/>
        <v>0</v>
      </c>
      <c r="BO9" s="77">
        <f t="shared" si="15"/>
        <v>0</v>
      </c>
      <c r="BP9" s="77">
        <f t="shared" si="15"/>
        <v>0</v>
      </c>
      <c r="BQ9" s="77">
        <f t="shared" si="15"/>
        <v>0</v>
      </c>
      <c r="BR9" s="77">
        <f t="shared" si="15"/>
        <v>0</v>
      </c>
      <c r="BS9" s="77">
        <f t="shared" si="15"/>
        <v>0</v>
      </c>
      <c r="BT9" s="77">
        <f t="shared" si="15"/>
        <v>0</v>
      </c>
      <c r="BU9" s="77">
        <f t="shared" si="15"/>
        <v>0</v>
      </c>
      <c r="BV9" s="77">
        <f t="shared" si="15"/>
        <v>0</v>
      </c>
      <c r="BW9" s="77">
        <f t="shared" si="15"/>
        <v>0</v>
      </c>
      <c r="BX9" s="77">
        <f t="shared" si="15"/>
        <v>0</v>
      </c>
      <c r="BY9" s="77">
        <f t="shared" si="15"/>
        <v>0</v>
      </c>
      <c r="BZ9" s="77">
        <f t="shared" si="15"/>
        <v>0</v>
      </c>
      <c r="CA9" s="77">
        <f t="shared" ref="CA9:CV9" si="16">CA23</f>
        <v>0</v>
      </c>
      <c r="CB9" s="77">
        <f t="shared" si="16"/>
        <v>0</v>
      </c>
      <c r="CC9" s="77">
        <f t="shared" si="16"/>
        <v>0</v>
      </c>
      <c r="CD9" s="77">
        <f t="shared" si="16"/>
        <v>0</v>
      </c>
      <c r="CE9" s="77">
        <f t="shared" si="16"/>
        <v>0</v>
      </c>
      <c r="CF9" s="77">
        <f t="shared" si="16"/>
        <v>0</v>
      </c>
      <c r="CG9" s="77">
        <f t="shared" si="16"/>
        <v>0</v>
      </c>
      <c r="CH9" s="77">
        <f t="shared" si="16"/>
        <v>0</v>
      </c>
      <c r="CI9" s="77">
        <f t="shared" si="16"/>
        <v>0</v>
      </c>
      <c r="CJ9" s="77">
        <f t="shared" si="16"/>
        <v>0</v>
      </c>
      <c r="CK9" s="77">
        <f t="shared" si="16"/>
        <v>0</v>
      </c>
      <c r="CL9" s="77">
        <f t="shared" si="16"/>
        <v>0</v>
      </c>
      <c r="CM9" s="77">
        <f t="shared" si="16"/>
        <v>0</v>
      </c>
      <c r="CN9" s="77">
        <f t="shared" si="16"/>
        <v>0</v>
      </c>
      <c r="CO9" s="77">
        <f t="shared" si="16"/>
        <v>0</v>
      </c>
      <c r="CP9" s="77">
        <f t="shared" si="16"/>
        <v>0</v>
      </c>
      <c r="CQ9" s="77">
        <f t="shared" si="16"/>
        <v>0</v>
      </c>
      <c r="CR9" s="77">
        <f t="shared" si="16"/>
        <v>0</v>
      </c>
      <c r="CS9" s="77">
        <f t="shared" si="16"/>
        <v>0</v>
      </c>
      <c r="CT9" s="77">
        <f t="shared" si="16"/>
        <v>0</v>
      </c>
      <c r="CU9" s="77">
        <f t="shared" si="16"/>
        <v>0</v>
      </c>
      <c r="CV9" s="77">
        <f t="shared" si="16"/>
        <v>0</v>
      </c>
      <c r="CW9" s="27"/>
      <c r="CX9" s="27"/>
      <c r="CY9" s="27"/>
      <c r="CZ9" s="27"/>
      <c r="DA9" s="27"/>
      <c r="DB9" s="27"/>
      <c r="DC9" s="27"/>
      <c r="DD9" s="27"/>
      <c r="DE9" s="27"/>
      <c r="DF9" s="27"/>
      <c r="DG9" s="27"/>
      <c r="DH9" s="27"/>
      <c r="DI9" s="27"/>
      <c r="DJ9" s="27"/>
      <c r="DK9" s="27"/>
      <c r="DL9" s="27"/>
      <c r="DM9" s="27"/>
      <c r="DN9" s="27"/>
      <c r="DO9" s="27"/>
      <c r="DP9" s="27"/>
    </row>
    <row r="10" spans="1:120" s="259" customFormat="1" ht="15.75" customHeight="1" x14ac:dyDescent="0.2">
      <c r="A10" s="255" t="s">
        <v>75</v>
      </c>
      <c r="B10" s="255">
        <f>_xlfn.SINGLE(_xlfn.XLOOKUP(F10, $F$87:$F$95, $E$87:$E$95))</f>
        <v>6</v>
      </c>
      <c r="C10" s="255" t="s">
        <v>76</v>
      </c>
      <c r="D10" s="255" t="s">
        <v>77</v>
      </c>
      <c r="E10" s="255" t="s">
        <v>78</v>
      </c>
      <c r="F10" s="255" t="s">
        <v>79</v>
      </c>
      <c r="G10" s="255"/>
      <c r="H10" s="256">
        <v>530470</v>
      </c>
      <c r="I10" s="255"/>
      <c r="J10" s="255"/>
      <c r="K10" s="255"/>
      <c r="L10" s="257"/>
      <c r="M10" s="255"/>
      <c r="N10" s="286">
        <f>SUMIF($O$8:$AV$8,"&gt;="&amp;'CURRENT FORECAST START DATE'!$C$4,'Weekly Spend'!O10:AV10)</f>
        <v>0</v>
      </c>
      <c r="O10" s="255">
        <v>561009</v>
      </c>
      <c r="P10" s="255">
        <v>0</v>
      </c>
      <c r="Q10" s="255">
        <v>0</v>
      </c>
      <c r="R10" s="255">
        <v>0</v>
      </c>
      <c r="S10" s="255">
        <v>0</v>
      </c>
      <c r="T10" s="255">
        <v>0</v>
      </c>
      <c r="U10" s="255">
        <v>0</v>
      </c>
      <c r="V10" s="255">
        <v>0</v>
      </c>
      <c r="W10" s="255">
        <v>0</v>
      </c>
      <c r="X10" s="255">
        <v>0</v>
      </c>
      <c r="Y10" s="303">
        <v>294525</v>
      </c>
      <c r="Z10" s="255"/>
      <c r="AA10" s="255">
        <v>0</v>
      </c>
      <c r="AB10" s="255">
        <v>0</v>
      </c>
      <c r="AC10" s="255">
        <v>0</v>
      </c>
      <c r="AD10" s="255">
        <v>0</v>
      </c>
      <c r="AE10" s="255">
        <v>0</v>
      </c>
      <c r="AF10" s="255">
        <v>0</v>
      </c>
      <c r="AG10" s="255">
        <v>0</v>
      </c>
      <c r="AH10" s="255">
        <v>0</v>
      </c>
      <c r="AI10" s="255">
        <v>0</v>
      </c>
      <c r="AJ10" s="255">
        <v>0</v>
      </c>
      <c r="AK10" s="255">
        <v>0</v>
      </c>
      <c r="AL10" s="255">
        <v>0</v>
      </c>
      <c r="AM10" s="255">
        <v>0</v>
      </c>
      <c r="AN10" s="255">
        <v>0</v>
      </c>
      <c r="AO10" s="386">
        <v>0</v>
      </c>
      <c r="AP10" s="255">
        <v>0</v>
      </c>
      <c r="AQ10" s="255">
        <v>0</v>
      </c>
      <c r="AR10" s="255">
        <v>0</v>
      </c>
      <c r="AS10" s="255">
        <v>0</v>
      </c>
      <c r="AT10" s="255">
        <v>0</v>
      </c>
      <c r="AU10" s="255">
        <v>0</v>
      </c>
      <c r="AV10" s="255">
        <v>0</v>
      </c>
      <c r="AW10" s="255">
        <v>0</v>
      </c>
      <c r="AX10" s="255">
        <v>0</v>
      </c>
      <c r="AY10" s="255">
        <v>0</v>
      </c>
      <c r="AZ10" s="255">
        <v>0</v>
      </c>
      <c r="BA10" s="255">
        <v>0</v>
      </c>
      <c r="BB10" s="255">
        <v>0</v>
      </c>
      <c r="BC10" s="255">
        <v>0</v>
      </c>
      <c r="BD10" s="255">
        <v>0</v>
      </c>
      <c r="BE10" s="255">
        <v>0</v>
      </c>
      <c r="BF10" s="255">
        <v>0</v>
      </c>
      <c r="BG10" s="255">
        <v>0</v>
      </c>
      <c r="BH10" s="255">
        <v>0</v>
      </c>
      <c r="BI10" s="255">
        <v>0</v>
      </c>
      <c r="BJ10" s="255">
        <v>0</v>
      </c>
      <c r="BK10" s="255">
        <v>0</v>
      </c>
      <c r="BL10" s="255">
        <v>0</v>
      </c>
      <c r="BM10" s="255">
        <v>0</v>
      </c>
      <c r="BN10" s="255">
        <v>0</v>
      </c>
      <c r="BO10" s="255">
        <v>0</v>
      </c>
      <c r="BP10" s="255">
        <v>0</v>
      </c>
      <c r="BQ10" s="255">
        <v>0</v>
      </c>
      <c r="BR10" s="255">
        <v>0</v>
      </c>
      <c r="BS10" s="255">
        <v>0</v>
      </c>
      <c r="BT10" s="255">
        <v>0</v>
      </c>
      <c r="BU10" s="255">
        <v>0</v>
      </c>
      <c r="BV10" s="255">
        <v>0</v>
      </c>
      <c r="BW10" s="255">
        <v>0</v>
      </c>
      <c r="BX10" s="255">
        <v>0</v>
      </c>
      <c r="BY10" s="255">
        <v>0</v>
      </c>
      <c r="BZ10" s="255">
        <v>0</v>
      </c>
      <c r="CA10" s="255">
        <v>0</v>
      </c>
      <c r="CB10" s="255">
        <v>0</v>
      </c>
      <c r="CC10" s="255">
        <v>0</v>
      </c>
      <c r="CD10" s="255">
        <v>0</v>
      </c>
      <c r="CE10" s="255">
        <v>0</v>
      </c>
      <c r="CF10" s="255">
        <v>0</v>
      </c>
      <c r="CG10" s="255">
        <v>0</v>
      </c>
      <c r="CH10" s="255">
        <v>0</v>
      </c>
      <c r="CI10" s="255">
        <v>0</v>
      </c>
      <c r="CJ10" s="255">
        <v>0</v>
      </c>
      <c r="CK10" s="255">
        <v>0</v>
      </c>
      <c r="CL10" s="255">
        <v>0</v>
      </c>
      <c r="CM10" s="255">
        <v>0</v>
      </c>
      <c r="CN10" s="255">
        <v>0</v>
      </c>
      <c r="CO10" s="255">
        <v>0</v>
      </c>
      <c r="CP10" s="255">
        <v>0</v>
      </c>
      <c r="CQ10" s="255">
        <v>0</v>
      </c>
      <c r="CR10" s="255">
        <v>0</v>
      </c>
      <c r="CS10" s="255">
        <v>0</v>
      </c>
      <c r="CT10" s="255">
        <v>0</v>
      </c>
      <c r="CU10" s="255">
        <v>0</v>
      </c>
      <c r="CV10" s="255">
        <v>0</v>
      </c>
      <c r="CW10" s="258"/>
      <c r="CX10" s="258"/>
      <c r="CY10" s="258"/>
    </row>
    <row r="11" spans="1:120" s="259" customFormat="1" ht="15.75" customHeight="1" x14ac:dyDescent="0.2">
      <c r="A11" s="255"/>
      <c r="B11" s="255"/>
      <c r="C11" s="255"/>
      <c r="D11" s="255" t="s">
        <v>77</v>
      </c>
      <c r="E11" s="255" t="s">
        <v>80</v>
      </c>
      <c r="F11" s="255" t="s">
        <v>79</v>
      </c>
      <c r="G11" s="255"/>
      <c r="H11" s="256"/>
      <c r="I11" s="255"/>
      <c r="J11" s="255"/>
      <c r="K11" s="255"/>
      <c r="L11" s="257"/>
      <c r="M11" s="255"/>
      <c r="N11" s="286">
        <f>SUMIF($O$8:$AV$8,"&gt;="&amp;'CURRENT FORECAST START DATE'!$C$4,'Weekly Spend'!O11:AV11)</f>
        <v>0</v>
      </c>
      <c r="O11" s="255">
        <v>0</v>
      </c>
      <c r="P11" s="255">
        <v>0</v>
      </c>
      <c r="Q11" s="255">
        <v>0</v>
      </c>
      <c r="R11" s="255">
        <v>0</v>
      </c>
      <c r="S11" s="255">
        <v>0</v>
      </c>
      <c r="T11" s="255">
        <v>0</v>
      </c>
      <c r="U11" s="255">
        <v>0</v>
      </c>
      <c r="V11" s="255">
        <v>0</v>
      </c>
      <c r="W11" s="255">
        <v>0</v>
      </c>
      <c r="X11" s="255">
        <v>0</v>
      </c>
      <c r="Y11" s="255">
        <v>0</v>
      </c>
      <c r="Z11" s="255">
        <v>0</v>
      </c>
      <c r="AA11" s="255">
        <v>0</v>
      </c>
      <c r="AB11" s="255">
        <v>0</v>
      </c>
      <c r="AC11" s="255">
        <v>0</v>
      </c>
      <c r="AD11" s="255">
        <v>0</v>
      </c>
      <c r="AE11" s="255">
        <v>0</v>
      </c>
      <c r="AF11" s="255">
        <v>0</v>
      </c>
      <c r="AG11" s="255">
        <v>0</v>
      </c>
      <c r="AH11" s="255">
        <v>0</v>
      </c>
      <c r="AI11" s="255">
        <v>0</v>
      </c>
      <c r="AJ11" s="255">
        <v>0</v>
      </c>
      <c r="AK11" s="255">
        <v>0</v>
      </c>
      <c r="AL11" s="255">
        <v>0</v>
      </c>
      <c r="AM11" s="255">
        <v>0</v>
      </c>
      <c r="AN11" s="255">
        <v>0</v>
      </c>
      <c r="AO11" s="386">
        <v>0</v>
      </c>
      <c r="AP11" s="255">
        <v>0</v>
      </c>
      <c r="AQ11" s="255">
        <v>0</v>
      </c>
      <c r="AR11" s="255">
        <v>0</v>
      </c>
      <c r="AS11" s="255">
        <v>0</v>
      </c>
      <c r="AT11" s="255">
        <v>0</v>
      </c>
      <c r="AU11" s="255">
        <v>0</v>
      </c>
      <c r="AV11" s="255">
        <v>0</v>
      </c>
      <c r="AW11" s="255">
        <v>0</v>
      </c>
      <c r="AX11" s="255">
        <v>0</v>
      </c>
      <c r="AY11" s="255">
        <v>0</v>
      </c>
      <c r="AZ11" s="255">
        <v>0</v>
      </c>
      <c r="BA11" s="255">
        <v>0</v>
      </c>
      <c r="BB11" s="255">
        <v>0</v>
      </c>
      <c r="BC11" s="255">
        <v>0</v>
      </c>
      <c r="BD11" s="255">
        <v>0</v>
      </c>
      <c r="BE11" s="255">
        <v>0</v>
      </c>
      <c r="BF11" s="255">
        <v>0</v>
      </c>
      <c r="BG11" s="255">
        <v>0</v>
      </c>
      <c r="BH11" s="255">
        <v>0</v>
      </c>
      <c r="BI11" s="255">
        <v>0</v>
      </c>
      <c r="BJ11" s="255">
        <v>0</v>
      </c>
      <c r="BK11" s="255">
        <v>0</v>
      </c>
      <c r="BL11" s="255">
        <v>0</v>
      </c>
      <c r="BM11" s="255">
        <v>0</v>
      </c>
      <c r="BN11" s="255">
        <v>0</v>
      </c>
      <c r="BO11" s="255">
        <v>0</v>
      </c>
      <c r="BP11" s="255">
        <v>0</v>
      </c>
      <c r="BQ11" s="255">
        <v>0</v>
      </c>
      <c r="BR11" s="255">
        <v>0</v>
      </c>
      <c r="BS11" s="255">
        <v>0</v>
      </c>
      <c r="BT11" s="255">
        <v>0</v>
      </c>
      <c r="BU11" s="255">
        <v>0</v>
      </c>
      <c r="BV11" s="255">
        <v>0</v>
      </c>
      <c r="BW11" s="255">
        <v>0</v>
      </c>
      <c r="BX11" s="255">
        <v>0</v>
      </c>
      <c r="BY11" s="255">
        <v>0</v>
      </c>
      <c r="BZ11" s="255">
        <v>0</v>
      </c>
      <c r="CA11" s="255">
        <v>0</v>
      </c>
      <c r="CB11" s="255">
        <v>0</v>
      </c>
      <c r="CC11" s="255">
        <v>0</v>
      </c>
      <c r="CD11" s="255">
        <v>0</v>
      </c>
      <c r="CE11" s="255">
        <v>0</v>
      </c>
      <c r="CF11" s="255">
        <v>0</v>
      </c>
      <c r="CG11" s="255">
        <v>0</v>
      </c>
      <c r="CH11" s="255">
        <v>0</v>
      </c>
      <c r="CI11" s="255">
        <v>0</v>
      </c>
      <c r="CJ11" s="255">
        <v>0</v>
      </c>
      <c r="CK11" s="255">
        <v>0</v>
      </c>
      <c r="CL11" s="255">
        <v>0</v>
      </c>
      <c r="CM11" s="255">
        <v>0</v>
      </c>
      <c r="CN11" s="255">
        <v>0</v>
      </c>
      <c r="CO11" s="255">
        <v>0</v>
      </c>
      <c r="CP11" s="255">
        <v>0</v>
      </c>
      <c r="CQ11" s="255">
        <v>0</v>
      </c>
      <c r="CR11" s="255">
        <v>0</v>
      </c>
      <c r="CS11" s="255">
        <v>0</v>
      </c>
      <c r="CT11" s="255">
        <v>0</v>
      </c>
      <c r="CU11" s="255">
        <v>0</v>
      </c>
      <c r="CV11" s="255">
        <v>0</v>
      </c>
      <c r="CW11" s="258"/>
      <c r="CX11" s="258"/>
      <c r="CY11" s="258"/>
    </row>
    <row r="12" spans="1:120" s="259" customFormat="1" ht="14.25" customHeight="1" x14ac:dyDescent="0.2">
      <c r="A12" s="255" t="s">
        <v>75</v>
      </c>
      <c r="B12" s="255">
        <f>_xlfn.SINGLE(_xlfn.XLOOKUP(F12, $F$87:$F$95, $E$87:$E$95))</f>
        <v>6</v>
      </c>
      <c r="C12" s="255" t="s">
        <v>81</v>
      </c>
      <c r="D12" s="255" t="s">
        <v>82</v>
      </c>
      <c r="E12" s="255" t="s">
        <v>83</v>
      </c>
      <c r="F12" s="255" t="s">
        <v>79</v>
      </c>
      <c r="G12" s="255"/>
      <c r="H12" s="255"/>
      <c r="I12" s="255"/>
      <c r="J12" s="257">
        <v>365500</v>
      </c>
      <c r="K12" s="255"/>
      <c r="L12" s="255"/>
      <c r="M12" s="255">
        <v>0</v>
      </c>
      <c r="N12" s="287">
        <f>SUMIF($O$8:$AV$8,"&gt;="&amp;'CURRENT FORECAST START DATE'!$C$4,'Weekly Spend'!O12:AV12)</f>
        <v>29050</v>
      </c>
      <c r="O12" s="255">
        <v>0</v>
      </c>
      <c r="P12" s="255">
        <v>0</v>
      </c>
      <c r="Q12" s="255">
        <v>0</v>
      </c>
      <c r="R12" s="255">
        <v>0</v>
      </c>
      <c r="S12" s="257">
        <f>446000+35000</f>
        <v>481000</v>
      </c>
      <c r="T12" s="255">
        <v>0</v>
      </c>
      <c r="U12" s="255">
        <v>0</v>
      </c>
      <c r="V12" s="255">
        <v>0</v>
      </c>
      <c r="W12" s="255">
        <v>0</v>
      </c>
      <c r="X12" s="255">
        <v>0</v>
      </c>
      <c r="Y12" s="255">
        <v>0</v>
      </c>
      <c r="Z12" s="255">
        <v>0</v>
      </c>
      <c r="AA12" s="255">
        <v>0</v>
      </c>
      <c r="AB12" s="255">
        <v>0</v>
      </c>
      <c r="AC12" s="255">
        <v>0</v>
      </c>
      <c r="AD12" s="255">
        <v>0</v>
      </c>
      <c r="AE12" s="255">
        <v>0</v>
      </c>
      <c r="AF12" s="255">
        <v>0</v>
      </c>
      <c r="AG12" s="255">
        <v>0</v>
      </c>
      <c r="AH12" s="255">
        <v>0</v>
      </c>
      <c r="AI12" s="255">
        <v>0</v>
      </c>
      <c r="AJ12" s="255">
        <v>0</v>
      </c>
      <c r="AK12" s="255">
        <v>0</v>
      </c>
      <c r="AL12" s="255">
        <v>0</v>
      </c>
      <c r="AM12" s="255">
        <v>0</v>
      </c>
      <c r="AN12" s="255">
        <v>0</v>
      </c>
      <c r="AO12" s="398">
        <v>29050</v>
      </c>
      <c r="AP12" s="255">
        <v>0</v>
      </c>
      <c r="AQ12" s="255">
        <v>0</v>
      </c>
      <c r="AR12" s="255">
        <v>0</v>
      </c>
      <c r="AS12" s="255">
        <v>0</v>
      </c>
      <c r="AT12" s="255">
        <v>0</v>
      </c>
      <c r="AU12" s="255">
        <v>0</v>
      </c>
      <c r="AV12" s="255">
        <v>0</v>
      </c>
      <c r="AW12" s="255">
        <v>0</v>
      </c>
      <c r="AX12" s="397"/>
      <c r="AY12" s="255">
        <v>0</v>
      </c>
      <c r="AZ12" s="398">
        <v>35000</v>
      </c>
      <c r="BA12" s="255">
        <v>0</v>
      </c>
      <c r="BB12" s="255">
        <v>0</v>
      </c>
      <c r="BC12" s="255">
        <v>0</v>
      </c>
      <c r="BD12" s="255">
        <v>0</v>
      </c>
      <c r="BE12" s="255">
        <v>0</v>
      </c>
      <c r="BF12" s="255">
        <v>0</v>
      </c>
      <c r="BG12" s="255">
        <v>0</v>
      </c>
      <c r="BH12" s="255">
        <v>0</v>
      </c>
      <c r="BI12" s="255">
        <v>0</v>
      </c>
      <c r="BJ12" s="255">
        <v>0</v>
      </c>
      <c r="BK12" s="255">
        <v>0</v>
      </c>
      <c r="BL12" s="255">
        <v>0</v>
      </c>
      <c r="BM12" s="255">
        <v>0</v>
      </c>
      <c r="BN12" s="255">
        <v>0</v>
      </c>
      <c r="BO12" s="255">
        <v>0</v>
      </c>
      <c r="BP12" s="255">
        <v>0</v>
      </c>
      <c r="BQ12" s="255">
        <v>0</v>
      </c>
      <c r="BR12" s="255">
        <v>0</v>
      </c>
      <c r="BS12" s="255">
        <v>0</v>
      </c>
      <c r="BT12" s="255">
        <v>0</v>
      </c>
      <c r="BU12" s="255">
        <v>0</v>
      </c>
      <c r="BV12" s="255">
        <v>0</v>
      </c>
      <c r="BW12" s="255">
        <v>0</v>
      </c>
      <c r="BX12" s="255">
        <v>0</v>
      </c>
      <c r="BY12" s="255">
        <v>0</v>
      </c>
      <c r="BZ12" s="255">
        <v>0</v>
      </c>
      <c r="CA12" s="255">
        <v>0</v>
      </c>
      <c r="CB12" s="255">
        <v>0</v>
      </c>
      <c r="CC12" s="255">
        <v>0</v>
      </c>
      <c r="CD12" s="255">
        <v>0</v>
      </c>
      <c r="CE12" s="255">
        <v>0</v>
      </c>
      <c r="CF12" s="255">
        <v>0</v>
      </c>
      <c r="CG12" s="255">
        <v>0</v>
      </c>
      <c r="CH12" s="255">
        <v>0</v>
      </c>
      <c r="CI12" s="255">
        <v>0</v>
      </c>
      <c r="CJ12" s="255">
        <v>0</v>
      </c>
      <c r="CK12" s="255">
        <v>0</v>
      </c>
      <c r="CL12" s="255">
        <v>0</v>
      </c>
      <c r="CM12" s="255">
        <v>0</v>
      </c>
      <c r="CN12" s="255">
        <v>0</v>
      </c>
      <c r="CO12" s="255">
        <v>0</v>
      </c>
      <c r="CP12" s="255">
        <v>0</v>
      </c>
      <c r="CQ12" s="255">
        <v>0</v>
      </c>
      <c r="CR12" s="255">
        <v>0</v>
      </c>
      <c r="CS12" s="255">
        <v>0</v>
      </c>
      <c r="CT12" s="255">
        <v>0</v>
      </c>
      <c r="CU12" s="255">
        <v>0</v>
      </c>
      <c r="CV12" s="255">
        <v>0</v>
      </c>
      <c r="CW12" s="260"/>
      <c r="CX12" s="260"/>
      <c r="CY12" s="260"/>
      <c r="CZ12" s="260"/>
      <c r="DA12" s="260"/>
      <c r="DB12" s="260"/>
      <c r="DC12" s="260"/>
      <c r="DD12" s="260"/>
      <c r="DE12" s="260"/>
      <c r="DF12" s="260"/>
      <c r="DG12" s="260"/>
      <c r="DH12" s="260"/>
      <c r="DI12" s="260"/>
      <c r="DJ12" s="260"/>
      <c r="DK12" s="260"/>
      <c r="DL12" s="260"/>
      <c r="DM12" s="260"/>
      <c r="DN12" s="260"/>
      <c r="DO12" s="260"/>
      <c r="DP12" s="260"/>
    </row>
    <row r="13" spans="1:120" s="259" customFormat="1" ht="14.25" customHeight="1" x14ac:dyDescent="0.2">
      <c r="A13" s="255" t="s">
        <v>75</v>
      </c>
      <c r="B13" s="255">
        <f>_xlfn.SINGLE(_xlfn.XLOOKUP(F13, $F$87:$F$95, $E$87:$E$95))</f>
        <v>6</v>
      </c>
      <c r="C13" s="255" t="s">
        <v>84</v>
      </c>
      <c r="D13" s="255" t="s">
        <v>85</v>
      </c>
      <c r="E13" s="255" t="s">
        <v>86</v>
      </c>
      <c r="F13" s="255" t="s">
        <v>79</v>
      </c>
      <c r="G13" s="255"/>
      <c r="H13" s="255"/>
      <c r="I13" s="255"/>
      <c r="J13" s="255"/>
      <c r="K13" s="255"/>
      <c r="L13" s="255"/>
      <c r="M13" s="255"/>
      <c r="N13" s="286">
        <f>SUMIF($O$8:$AV$8,"&gt;="&amp;'CURRENT FORECAST START DATE'!$C$4,'Weekly Spend'!O13:AV13)</f>
        <v>17000</v>
      </c>
      <c r="O13" s="255">
        <v>0</v>
      </c>
      <c r="P13" s="255">
        <v>0</v>
      </c>
      <c r="Q13" s="255">
        <v>0</v>
      </c>
      <c r="R13" s="255">
        <v>0</v>
      </c>
      <c r="S13" s="255">
        <v>0</v>
      </c>
      <c r="T13" s="255">
        <v>0</v>
      </c>
      <c r="U13" s="255">
        <v>0</v>
      </c>
      <c r="V13" s="255">
        <v>0</v>
      </c>
      <c r="W13" s="255">
        <v>0</v>
      </c>
      <c r="X13" s="303">
        <v>189950</v>
      </c>
      <c r="Y13" s="255">
        <v>0</v>
      </c>
      <c r="Z13" s="255">
        <v>0</v>
      </c>
      <c r="AA13" s="255">
        <v>0</v>
      </c>
      <c r="AB13" s="255">
        <v>0</v>
      </c>
      <c r="AC13" s="303">
        <f>56500+313466</f>
        <v>369966</v>
      </c>
      <c r="AD13" s="255"/>
      <c r="AE13" s="255">
        <v>0</v>
      </c>
      <c r="AF13" s="255"/>
      <c r="AG13" s="255"/>
      <c r="AH13" s="255">
        <v>0</v>
      </c>
      <c r="AI13" s="303">
        <v>14000</v>
      </c>
      <c r="AJ13" s="255">
        <v>0</v>
      </c>
      <c r="AK13" s="337">
        <v>0</v>
      </c>
      <c r="AL13" s="255">
        <v>0</v>
      </c>
      <c r="AM13" s="255"/>
      <c r="AN13" s="423">
        <v>14000</v>
      </c>
      <c r="AO13" s="386">
        <v>0</v>
      </c>
      <c r="AP13" s="255">
        <v>0</v>
      </c>
      <c r="AQ13" s="255">
        <f>200*85</f>
        <v>17000</v>
      </c>
      <c r="AR13" s="255">
        <v>0</v>
      </c>
      <c r="AS13" s="255">
        <v>0</v>
      </c>
      <c r="AT13" s="255">
        <v>0</v>
      </c>
      <c r="AU13" s="337">
        <v>0</v>
      </c>
      <c r="AV13" s="255"/>
      <c r="AW13" s="400">
        <v>221429</v>
      </c>
      <c r="AX13" s="398">
        <f>844300-274450</f>
        <v>569850</v>
      </c>
      <c r="AY13" s="255">
        <v>0</v>
      </c>
      <c r="AZ13" s="255"/>
      <c r="BA13" s="255"/>
      <c r="BB13" s="255">
        <v>0</v>
      </c>
      <c r="BC13" s="255">
        <v>0</v>
      </c>
      <c r="BD13" s="255">
        <f>AV13</f>
        <v>0</v>
      </c>
      <c r="BE13" s="398">
        <f>AW13</f>
        <v>221429</v>
      </c>
      <c r="BF13" s="255">
        <v>0</v>
      </c>
      <c r="BG13" s="255">
        <v>0</v>
      </c>
      <c r="BH13" s="255">
        <v>0</v>
      </c>
      <c r="BI13" s="255"/>
      <c r="BJ13" s="255"/>
      <c r="BK13" s="255">
        <v>0</v>
      </c>
      <c r="BL13" s="255">
        <v>0</v>
      </c>
      <c r="BM13" s="255">
        <f>BD13</f>
        <v>0</v>
      </c>
      <c r="BN13" s="398">
        <f>BE13</f>
        <v>221429</v>
      </c>
      <c r="BO13" s="255">
        <v>0</v>
      </c>
      <c r="BP13" s="255">
        <v>0</v>
      </c>
      <c r="BQ13" s="255">
        <v>0</v>
      </c>
      <c r="BR13" s="255">
        <f>BJ13</f>
        <v>0</v>
      </c>
      <c r="BS13" s="255">
        <v>0</v>
      </c>
      <c r="BU13" s="255">
        <v>0</v>
      </c>
      <c r="BV13" s="398">
        <v>288498</v>
      </c>
      <c r="BW13" s="255">
        <v>0</v>
      </c>
      <c r="BX13" s="255">
        <v>0</v>
      </c>
      <c r="BY13" s="255">
        <v>0</v>
      </c>
      <c r="BZ13" s="255">
        <v>0</v>
      </c>
      <c r="CA13" s="255">
        <v>0</v>
      </c>
      <c r="CB13" s="255">
        <v>0</v>
      </c>
      <c r="CC13" s="255">
        <v>0</v>
      </c>
      <c r="CD13" s="255">
        <v>0</v>
      </c>
      <c r="CE13" s="255">
        <v>0</v>
      </c>
      <c r="CF13" s="255">
        <v>0</v>
      </c>
      <c r="CG13" s="255">
        <v>0</v>
      </c>
      <c r="CH13" s="255">
        <v>0</v>
      </c>
      <c r="CI13" s="255">
        <v>0</v>
      </c>
      <c r="CJ13" s="255">
        <v>0</v>
      </c>
      <c r="CK13" s="255">
        <v>0</v>
      </c>
      <c r="CL13" s="255">
        <v>0</v>
      </c>
      <c r="CM13" s="255">
        <v>0</v>
      </c>
      <c r="CN13" s="255">
        <v>0</v>
      </c>
      <c r="CO13" s="255">
        <v>0</v>
      </c>
      <c r="CP13" s="255">
        <v>0</v>
      </c>
      <c r="CQ13" s="255">
        <v>0</v>
      </c>
      <c r="CR13" s="255">
        <v>0</v>
      </c>
      <c r="CS13" s="255">
        <v>0</v>
      </c>
      <c r="CT13" s="255">
        <v>0</v>
      </c>
      <c r="CU13" s="255">
        <v>0</v>
      </c>
      <c r="CV13" s="255">
        <v>0</v>
      </c>
      <c r="CW13" s="260"/>
      <c r="CX13" s="260"/>
      <c r="CY13" s="260"/>
      <c r="CZ13" s="260"/>
      <c r="DA13" s="260"/>
      <c r="DB13" s="260"/>
      <c r="DC13" s="260"/>
      <c r="DD13" s="260"/>
      <c r="DE13" s="260"/>
      <c r="DF13" s="260"/>
      <c r="DG13" s="260"/>
      <c r="DH13" s="260"/>
      <c r="DI13" s="260"/>
      <c r="DJ13" s="260"/>
      <c r="DK13" s="260"/>
      <c r="DL13" s="260"/>
      <c r="DM13" s="260"/>
      <c r="DN13" s="260"/>
      <c r="DO13" s="260"/>
      <c r="DP13" s="260"/>
    </row>
    <row r="14" spans="1:120" s="259" customFormat="1" ht="14.25" customHeight="1" thickBot="1" x14ac:dyDescent="0.25">
      <c r="A14" s="255" t="s">
        <v>87</v>
      </c>
      <c r="B14" s="255"/>
      <c r="C14" s="255"/>
      <c r="D14" s="255" t="s">
        <v>87</v>
      </c>
      <c r="E14" s="255" t="s">
        <v>88</v>
      </c>
      <c r="F14" s="255" t="s">
        <v>79</v>
      </c>
      <c r="G14" s="255"/>
      <c r="H14" s="255"/>
      <c r="I14" s="255"/>
      <c r="J14" s="255"/>
      <c r="K14" s="255"/>
      <c r="L14" s="255"/>
      <c r="M14" s="255"/>
      <c r="N14" s="286">
        <f>SUMIF($O$8:$AV$8,"&gt;="&amp;'CURRENT FORECAST START DATE'!$C$4,'Weekly Spend'!O14:AV14)</f>
        <v>38100</v>
      </c>
      <c r="O14" s="255">
        <v>0</v>
      </c>
      <c r="P14" s="255">
        <v>0</v>
      </c>
      <c r="Q14" s="255">
        <v>0</v>
      </c>
      <c r="R14" s="255">
        <v>0</v>
      </c>
      <c r="S14" s="255">
        <v>0</v>
      </c>
      <c r="T14" s="255">
        <v>0</v>
      </c>
      <c r="U14" s="255">
        <v>0</v>
      </c>
      <c r="V14" s="255">
        <v>0</v>
      </c>
      <c r="W14" s="255">
        <v>0</v>
      </c>
      <c r="X14" s="255">
        <v>0</v>
      </c>
      <c r="Y14" s="255">
        <v>0</v>
      </c>
      <c r="Z14" s="255">
        <v>0</v>
      </c>
      <c r="AA14" s="255">
        <v>0</v>
      </c>
      <c r="AB14" s="255">
        <v>0</v>
      </c>
      <c r="AC14" s="255">
        <v>0</v>
      </c>
      <c r="AD14" s="255">
        <v>0</v>
      </c>
      <c r="AE14" s="255">
        <v>0</v>
      </c>
      <c r="AF14" s="255">
        <v>0</v>
      </c>
      <c r="AG14" s="255">
        <v>0</v>
      </c>
      <c r="AH14" s="255">
        <v>0</v>
      </c>
      <c r="AI14" s="255">
        <v>0</v>
      </c>
      <c r="AJ14" s="255">
        <v>0</v>
      </c>
      <c r="AK14" s="255">
        <v>0</v>
      </c>
      <c r="AL14" s="255">
        <v>0</v>
      </c>
      <c r="AM14" s="255">
        <v>0</v>
      </c>
      <c r="AN14" s="255">
        <v>0</v>
      </c>
      <c r="AO14" s="386"/>
      <c r="AP14" s="255">
        <v>0</v>
      </c>
      <c r="AQ14" s="255">
        <v>0</v>
      </c>
      <c r="AR14" s="255">
        <v>38100</v>
      </c>
      <c r="AS14" s="255">
        <v>0</v>
      </c>
      <c r="AT14" s="255">
        <v>0</v>
      </c>
      <c r="AU14" s="255">
        <v>0</v>
      </c>
      <c r="AV14" s="255">
        <v>0</v>
      </c>
      <c r="AW14" s="255">
        <v>0</v>
      </c>
      <c r="AX14" s="255">
        <v>0</v>
      </c>
      <c r="AY14" s="255"/>
      <c r="AZ14" s="255">
        <v>0</v>
      </c>
      <c r="BA14" s="255">
        <v>0</v>
      </c>
      <c r="BB14" s="255">
        <v>0</v>
      </c>
      <c r="BC14" s="255">
        <v>0</v>
      </c>
      <c r="BD14" s="255">
        <v>215900</v>
      </c>
      <c r="BE14" s="255">
        <v>0</v>
      </c>
      <c r="BF14" s="255">
        <v>0</v>
      </c>
      <c r="BG14" s="255">
        <v>0</v>
      </c>
      <c r="BH14" s="255">
        <v>0</v>
      </c>
      <c r="BI14" s="255">
        <v>0</v>
      </c>
      <c r="BJ14" s="255">
        <v>0</v>
      </c>
      <c r="BK14" s="255">
        <v>0</v>
      </c>
      <c r="BL14" s="255">
        <v>0</v>
      </c>
      <c r="BM14" s="255">
        <v>0</v>
      </c>
      <c r="BN14" s="255">
        <v>0</v>
      </c>
      <c r="BO14" s="255">
        <v>0</v>
      </c>
      <c r="BP14" s="255">
        <v>0</v>
      </c>
      <c r="BQ14" s="255">
        <v>0</v>
      </c>
      <c r="BR14" s="255">
        <v>0</v>
      </c>
      <c r="BS14" s="255">
        <v>0</v>
      </c>
      <c r="BT14" s="255">
        <v>0</v>
      </c>
      <c r="BU14" s="255">
        <v>0</v>
      </c>
      <c r="BV14" s="255">
        <v>0</v>
      </c>
      <c r="BW14" s="255">
        <v>0</v>
      </c>
      <c r="BX14" s="255">
        <v>0</v>
      </c>
      <c r="BY14" s="255">
        <v>0</v>
      </c>
      <c r="BZ14" s="255">
        <v>0</v>
      </c>
      <c r="CA14" s="255">
        <v>0</v>
      </c>
      <c r="CB14" s="255">
        <v>0</v>
      </c>
      <c r="CC14" s="255">
        <v>0</v>
      </c>
      <c r="CD14" s="255">
        <v>0</v>
      </c>
      <c r="CE14" s="255">
        <v>0</v>
      </c>
      <c r="CF14" s="255">
        <v>0</v>
      </c>
      <c r="CG14" s="255">
        <v>0</v>
      </c>
      <c r="CH14" s="255">
        <v>0</v>
      </c>
      <c r="CI14" s="255">
        <v>0</v>
      </c>
      <c r="CJ14" s="255">
        <v>0</v>
      </c>
      <c r="CK14" s="255">
        <v>0</v>
      </c>
      <c r="CL14" s="255">
        <v>0</v>
      </c>
      <c r="CM14" s="255">
        <v>0</v>
      </c>
      <c r="CN14" s="255">
        <v>0</v>
      </c>
      <c r="CO14" s="255">
        <v>0</v>
      </c>
      <c r="CP14" s="255">
        <v>0</v>
      </c>
      <c r="CQ14" s="255">
        <v>0</v>
      </c>
      <c r="CR14" s="255">
        <v>0</v>
      </c>
      <c r="CS14" s="255">
        <v>0</v>
      </c>
      <c r="CT14" s="255">
        <v>0</v>
      </c>
      <c r="CU14" s="255">
        <v>0</v>
      </c>
      <c r="CV14" s="255">
        <v>0</v>
      </c>
      <c r="CW14" s="260"/>
      <c r="CX14" s="260"/>
      <c r="CY14" s="260"/>
      <c r="CZ14" s="260"/>
      <c r="DA14" s="260"/>
      <c r="DB14" s="260"/>
      <c r="DC14" s="260"/>
      <c r="DD14" s="260"/>
      <c r="DE14" s="260"/>
      <c r="DF14" s="260"/>
      <c r="DG14" s="260"/>
      <c r="DH14" s="260"/>
      <c r="DI14" s="260"/>
      <c r="DJ14" s="260"/>
      <c r="DK14" s="260"/>
      <c r="DL14" s="260"/>
      <c r="DM14" s="260"/>
      <c r="DN14" s="260"/>
      <c r="DO14" s="260"/>
      <c r="DP14" s="260"/>
    </row>
    <row r="15" spans="1:120" s="259" customFormat="1" ht="14.25" customHeight="1" thickBot="1" x14ac:dyDescent="0.25">
      <c r="A15" s="255"/>
      <c r="B15" s="255"/>
      <c r="C15" s="255"/>
      <c r="D15" s="411" t="s">
        <v>89</v>
      </c>
      <c r="E15" s="410" t="s">
        <v>90</v>
      </c>
      <c r="F15" s="255" t="s">
        <v>79</v>
      </c>
      <c r="G15" s="255"/>
      <c r="H15" s="255"/>
      <c r="I15" s="255"/>
      <c r="J15" s="255"/>
      <c r="K15" s="255"/>
      <c r="L15" s="255"/>
      <c r="M15" s="255"/>
      <c r="N15" s="286">
        <f>SUMIF($O$8:$AV$8,"&gt;="&amp;'CURRENT FORECAST START DATE'!$C$4,'Weekly Spend'!O15:AV15)</f>
        <v>132000</v>
      </c>
      <c r="O15" s="255">
        <v>0</v>
      </c>
      <c r="P15" s="255">
        <v>0</v>
      </c>
      <c r="Q15" s="255">
        <v>0</v>
      </c>
      <c r="R15" s="255">
        <v>0</v>
      </c>
      <c r="S15" s="255">
        <v>0</v>
      </c>
      <c r="T15" s="255">
        <v>0</v>
      </c>
      <c r="U15" s="255">
        <v>0</v>
      </c>
      <c r="V15" s="255">
        <v>0</v>
      </c>
      <c r="W15" s="255">
        <v>0</v>
      </c>
      <c r="X15" s="255">
        <v>0</v>
      </c>
      <c r="Y15" s="255">
        <v>0</v>
      </c>
      <c r="Z15" s="255">
        <v>0</v>
      </c>
      <c r="AA15" s="255">
        <v>0</v>
      </c>
      <c r="AB15" s="255">
        <v>0</v>
      </c>
      <c r="AC15" s="255">
        <v>0</v>
      </c>
      <c r="AD15" s="255">
        <v>0</v>
      </c>
      <c r="AE15" s="255">
        <v>0</v>
      </c>
      <c r="AF15" s="255">
        <v>0</v>
      </c>
      <c r="AG15" s="255">
        <v>0</v>
      </c>
      <c r="AH15" s="255">
        <v>0</v>
      </c>
      <c r="AI15" s="255"/>
      <c r="AJ15" s="255">
        <v>0</v>
      </c>
      <c r="AK15" s="255">
        <v>0</v>
      </c>
      <c r="AL15" s="255">
        <v>0</v>
      </c>
      <c r="AM15" s="255"/>
      <c r="AN15" s="255">
        <v>0</v>
      </c>
      <c r="AO15" s="386">
        <v>0</v>
      </c>
      <c r="AP15" s="255">
        <v>0</v>
      </c>
      <c r="AQ15" s="255"/>
      <c r="AR15" s="255">
        <v>0</v>
      </c>
      <c r="AS15" s="255">
        <v>0</v>
      </c>
      <c r="AT15" s="255">
        <f>25% * (26.4*20000)</f>
        <v>132000</v>
      </c>
      <c r="AU15" s="255">
        <v>0</v>
      </c>
      <c r="AV15" s="255"/>
      <c r="AW15" s="255">
        <v>0</v>
      </c>
      <c r="AX15" s="255">
        <v>0</v>
      </c>
      <c r="AY15" s="255">
        <v>0</v>
      </c>
      <c r="AZ15" s="255">
        <v>0</v>
      </c>
      <c r="BA15" s="255">
        <v>0</v>
      </c>
      <c r="BB15" s="255">
        <v>0</v>
      </c>
      <c r="BC15" s="255">
        <v>0</v>
      </c>
      <c r="BD15" s="255">
        <v>0</v>
      </c>
      <c r="BE15" s="255">
        <v>0</v>
      </c>
      <c r="BF15" s="255">
        <v>0</v>
      </c>
      <c r="BG15" s="255">
        <v>0</v>
      </c>
      <c r="BH15" s="255">
        <v>0</v>
      </c>
      <c r="BI15" s="255">
        <v>0</v>
      </c>
      <c r="BJ15" s="255">
        <v>0</v>
      </c>
      <c r="BK15" s="255">
        <v>0</v>
      </c>
      <c r="BL15" s="255">
        <v>0</v>
      </c>
      <c r="BM15" s="255">
        <v>0</v>
      </c>
      <c r="BN15" s="255">
        <f>75% * (26.4*20000)</f>
        <v>396000</v>
      </c>
      <c r="BO15" s="255">
        <v>0</v>
      </c>
      <c r="BP15" s="255">
        <v>0</v>
      </c>
      <c r="BQ15" s="255">
        <v>0</v>
      </c>
      <c r="BR15" s="255">
        <v>0</v>
      </c>
      <c r="BS15" s="255">
        <v>0</v>
      </c>
      <c r="BT15" s="255">
        <v>0</v>
      </c>
      <c r="BU15" s="255">
        <v>0</v>
      </c>
      <c r="BV15" s="255">
        <v>0</v>
      </c>
      <c r="BW15" s="255">
        <v>0</v>
      </c>
      <c r="BX15" s="255">
        <v>0</v>
      </c>
      <c r="BY15" s="255">
        <v>0</v>
      </c>
      <c r="BZ15" s="255">
        <v>0</v>
      </c>
      <c r="CA15" s="255">
        <v>0</v>
      </c>
      <c r="CB15" s="255">
        <v>0</v>
      </c>
      <c r="CC15" s="255">
        <v>0</v>
      </c>
      <c r="CD15" s="255">
        <v>0</v>
      </c>
      <c r="CE15" s="255">
        <v>0</v>
      </c>
      <c r="CF15" s="255">
        <v>0</v>
      </c>
      <c r="CG15" s="255">
        <v>0</v>
      </c>
      <c r="CH15" s="255">
        <v>0</v>
      </c>
      <c r="CI15" s="255">
        <v>0</v>
      </c>
      <c r="CJ15" s="255">
        <v>0</v>
      </c>
      <c r="CK15" s="255">
        <v>0</v>
      </c>
      <c r="CL15" s="255">
        <v>0</v>
      </c>
      <c r="CM15" s="255">
        <v>0</v>
      </c>
      <c r="CN15" s="255">
        <v>0</v>
      </c>
      <c r="CO15" s="255">
        <v>0</v>
      </c>
      <c r="CP15" s="255">
        <v>0</v>
      </c>
      <c r="CQ15" s="255">
        <v>0</v>
      </c>
      <c r="CR15" s="255">
        <v>0</v>
      </c>
      <c r="CS15" s="255">
        <v>0</v>
      </c>
      <c r="CT15" s="255">
        <v>0</v>
      </c>
      <c r="CU15" s="255">
        <v>0</v>
      </c>
      <c r="CV15" s="255">
        <v>0</v>
      </c>
      <c r="CW15" s="260"/>
      <c r="CX15" s="260"/>
      <c r="CY15" s="260"/>
      <c r="CZ15" s="260"/>
      <c r="DA15" s="260"/>
      <c r="DB15" s="260"/>
      <c r="DC15" s="260"/>
      <c r="DD15" s="260"/>
      <c r="DE15" s="260"/>
      <c r="DF15" s="260"/>
      <c r="DG15" s="260"/>
      <c r="DH15" s="260"/>
      <c r="DI15" s="260"/>
      <c r="DJ15" s="260"/>
      <c r="DK15" s="260"/>
      <c r="DL15" s="260"/>
      <c r="DM15" s="260"/>
      <c r="DN15" s="260"/>
      <c r="DO15" s="260"/>
      <c r="DP15" s="260"/>
    </row>
    <row r="16" spans="1:120" s="259" customFormat="1" ht="14.25" customHeight="1" x14ac:dyDescent="0.2">
      <c r="A16" s="255"/>
      <c r="B16" s="255"/>
      <c r="C16" s="255"/>
      <c r="D16" s="255" t="s">
        <v>91</v>
      </c>
      <c r="E16" s="255" t="s">
        <v>92</v>
      </c>
      <c r="F16" s="255" t="s">
        <v>79</v>
      </c>
      <c r="G16" s="255"/>
      <c r="H16" s="255"/>
      <c r="I16" s="255"/>
      <c r="J16" s="255"/>
      <c r="K16" s="255"/>
      <c r="L16" s="255"/>
      <c r="M16" s="257"/>
      <c r="N16" s="286">
        <f>SUMIF($O$8:$AV$8,"&gt;="&amp;'CURRENT FORECAST START DATE'!$C$4,'Weekly Spend'!O16:AV16)</f>
        <v>0</v>
      </c>
      <c r="O16" s="255">
        <v>0</v>
      </c>
      <c r="P16" s="255">
        <v>0</v>
      </c>
      <c r="Q16" s="255">
        <v>0</v>
      </c>
      <c r="R16" s="255">
        <v>0</v>
      </c>
      <c r="S16" s="255">
        <v>0</v>
      </c>
      <c r="T16" s="255">
        <v>0</v>
      </c>
      <c r="U16" s="255">
        <v>450</v>
      </c>
      <c r="V16" s="255">
        <v>0</v>
      </c>
      <c r="W16" s="255">
        <v>0</v>
      </c>
      <c r="X16" s="255">
        <v>0</v>
      </c>
      <c r="Y16" s="255">
        <v>0</v>
      </c>
      <c r="Z16" s="255">
        <v>0</v>
      </c>
      <c r="AA16" s="255">
        <v>0</v>
      </c>
      <c r="AB16" s="255">
        <v>0</v>
      </c>
      <c r="AC16" s="255">
        <v>0</v>
      </c>
      <c r="AD16" s="255">
        <v>0</v>
      </c>
      <c r="AE16" s="255">
        <v>0</v>
      </c>
      <c r="AF16" s="255">
        <v>0</v>
      </c>
      <c r="AG16" s="255">
        <v>0</v>
      </c>
      <c r="AH16" s="255">
        <v>0</v>
      </c>
      <c r="AI16" s="255">
        <v>0</v>
      </c>
      <c r="AJ16" s="255">
        <v>0</v>
      </c>
      <c r="AK16" s="255">
        <v>0</v>
      </c>
      <c r="AL16" s="255">
        <v>0</v>
      </c>
      <c r="AM16" s="255">
        <v>0</v>
      </c>
      <c r="AN16" s="255">
        <v>0</v>
      </c>
      <c r="AO16" s="386">
        <v>0</v>
      </c>
      <c r="AP16" s="255">
        <v>0</v>
      </c>
      <c r="AQ16" s="255">
        <v>0</v>
      </c>
      <c r="AR16" s="255">
        <v>0</v>
      </c>
      <c r="AS16" s="255">
        <v>0</v>
      </c>
      <c r="AT16" s="255">
        <v>0</v>
      </c>
      <c r="AU16" s="255">
        <v>0</v>
      </c>
      <c r="AV16" s="255">
        <v>0</v>
      </c>
      <c r="AW16" s="255">
        <v>0</v>
      </c>
      <c r="AX16" s="255">
        <v>0</v>
      </c>
      <c r="AY16" s="255">
        <v>0</v>
      </c>
      <c r="AZ16" s="255">
        <v>0</v>
      </c>
      <c r="BA16" s="255">
        <v>0</v>
      </c>
      <c r="BB16" s="255">
        <v>0</v>
      </c>
      <c r="BC16" s="255">
        <v>0</v>
      </c>
      <c r="BD16" s="255">
        <v>0</v>
      </c>
      <c r="BE16" s="255">
        <v>0</v>
      </c>
      <c r="BF16" s="255">
        <v>0</v>
      </c>
      <c r="BG16" s="255">
        <v>0</v>
      </c>
      <c r="BH16" s="255">
        <v>0</v>
      </c>
      <c r="BI16" s="255">
        <v>0</v>
      </c>
      <c r="BJ16" s="255">
        <v>0</v>
      </c>
      <c r="BK16" s="255">
        <v>0</v>
      </c>
      <c r="BL16" s="255">
        <v>0</v>
      </c>
      <c r="BM16" s="255">
        <v>0</v>
      </c>
      <c r="BN16" s="255">
        <v>0</v>
      </c>
      <c r="BO16" s="255">
        <v>0</v>
      </c>
      <c r="BP16" s="255">
        <v>0</v>
      </c>
      <c r="BQ16" s="255">
        <v>0</v>
      </c>
      <c r="BR16" s="255">
        <v>0</v>
      </c>
      <c r="BS16" s="255">
        <v>0</v>
      </c>
      <c r="BT16" s="255">
        <v>0</v>
      </c>
      <c r="BU16" s="255">
        <v>0</v>
      </c>
      <c r="BV16" s="255">
        <v>0</v>
      </c>
      <c r="BW16" s="255">
        <v>0</v>
      </c>
      <c r="BX16" s="255">
        <v>0</v>
      </c>
      <c r="BY16" s="255">
        <v>0</v>
      </c>
      <c r="BZ16" s="255">
        <v>0</v>
      </c>
      <c r="CA16" s="255">
        <v>0</v>
      </c>
      <c r="CB16" s="255">
        <v>0</v>
      </c>
      <c r="CC16" s="255">
        <v>0</v>
      </c>
      <c r="CD16" s="255">
        <v>0</v>
      </c>
      <c r="CE16" s="255">
        <v>0</v>
      </c>
      <c r="CF16" s="255">
        <v>0</v>
      </c>
      <c r="CG16" s="255">
        <v>0</v>
      </c>
      <c r="CH16" s="255">
        <v>0</v>
      </c>
      <c r="CI16" s="255">
        <v>0</v>
      </c>
      <c r="CJ16" s="255">
        <v>0</v>
      </c>
      <c r="CK16" s="255">
        <v>0</v>
      </c>
      <c r="CL16" s="255">
        <v>0</v>
      </c>
      <c r="CM16" s="255">
        <v>0</v>
      </c>
      <c r="CN16" s="255">
        <v>0</v>
      </c>
      <c r="CO16" s="255">
        <v>0</v>
      </c>
      <c r="CP16" s="255">
        <v>0</v>
      </c>
      <c r="CQ16" s="255">
        <v>0</v>
      </c>
      <c r="CR16" s="255">
        <v>0</v>
      </c>
      <c r="CS16" s="255">
        <v>0</v>
      </c>
      <c r="CT16" s="255">
        <v>0</v>
      </c>
      <c r="CU16" s="255">
        <v>0</v>
      </c>
      <c r="CV16" s="255">
        <v>0</v>
      </c>
      <c r="CW16" s="260"/>
      <c r="CX16" s="260"/>
      <c r="CY16" s="260"/>
      <c r="CZ16" s="260"/>
      <c r="DA16" s="260"/>
      <c r="DB16" s="260"/>
      <c r="DC16" s="260"/>
      <c r="DD16" s="260"/>
      <c r="DE16" s="260"/>
      <c r="DF16" s="260"/>
      <c r="DG16" s="260"/>
      <c r="DH16" s="260"/>
      <c r="DI16" s="260"/>
      <c r="DJ16" s="260"/>
      <c r="DK16" s="260"/>
      <c r="DL16" s="260"/>
      <c r="DM16" s="260"/>
      <c r="DN16" s="260"/>
      <c r="DO16" s="260"/>
      <c r="DP16" s="260"/>
    </row>
    <row r="17" spans="1:120" s="259" customFormat="1" ht="14" customHeight="1" x14ac:dyDescent="0.2">
      <c r="A17" s="255" t="s">
        <v>75</v>
      </c>
      <c r="B17" s="257"/>
      <c r="C17" s="257"/>
      <c r="D17" s="255" t="s">
        <v>93</v>
      </c>
      <c r="E17" s="255" t="s">
        <v>94</v>
      </c>
      <c r="F17" s="255" t="s">
        <v>79</v>
      </c>
      <c r="G17" s="255"/>
      <c r="H17" s="255"/>
      <c r="I17" s="255"/>
      <c r="J17" s="257">
        <v>39476.51</v>
      </c>
      <c r="K17" s="255"/>
      <c r="L17" s="257">
        <v>5000</v>
      </c>
      <c r="M17" s="255"/>
      <c r="N17" s="286">
        <f>SUMIF($O$8:$AV$8,"&gt;="&amp;'CURRENT FORECAST START DATE'!$C$4,'Weekly Spend'!O17:AV17)</f>
        <v>0</v>
      </c>
      <c r="O17" s="255">
        <v>0</v>
      </c>
      <c r="P17" s="255">
        <v>0</v>
      </c>
      <c r="Q17" s="255">
        <v>0</v>
      </c>
      <c r="R17" s="255">
        <v>0</v>
      </c>
      <c r="S17" s="255">
        <v>0</v>
      </c>
      <c r="T17" s="255">
        <v>0</v>
      </c>
      <c r="U17" s="255">
        <v>3463</v>
      </c>
      <c r="V17" s="255">
        <v>0</v>
      </c>
      <c r="W17" s="255">
        <f>4000+34000</f>
        <v>38000</v>
      </c>
      <c r="X17" s="255">
        <v>0</v>
      </c>
      <c r="Y17" s="255">
        <v>0</v>
      </c>
      <c r="Z17" s="255">
        <v>0</v>
      </c>
      <c r="AA17" s="255">
        <v>0</v>
      </c>
      <c r="AB17" s="255">
        <v>0</v>
      </c>
      <c r="AC17" s="255">
        <v>0</v>
      </c>
      <c r="AD17" s="255">
        <v>0</v>
      </c>
      <c r="AE17" s="255">
        <v>0</v>
      </c>
      <c r="AF17" s="255">
        <v>0</v>
      </c>
      <c r="AG17" s="255">
        <v>0</v>
      </c>
      <c r="AH17" s="255">
        <v>0</v>
      </c>
      <c r="AI17" s="255">
        <v>0</v>
      </c>
      <c r="AJ17" s="255">
        <v>0</v>
      </c>
      <c r="AK17" s="255">
        <v>0</v>
      </c>
      <c r="AL17" s="255">
        <v>0</v>
      </c>
      <c r="AM17" s="255">
        <v>0</v>
      </c>
      <c r="AN17" s="255">
        <v>0</v>
      </c>
      <c r="AO17" s="386">
        <v>0</v>
      </c>
      <c r="AP17" s="255">
        <v>0</v>
      </c>
      <c r="AQ17" s="255">
        <v>0</v>
      </c>
      <c r="AR17" s="255">
        <v>0</v>
      </c>
      <c r="AS17" s="255">
        <v>0</v>
      </c>
      <c r="AT17" s="255">
        <v>0</v>
      </c>
      <c r="AU17" s="255">
        <v>0</v>
      </c>
      <c r="AV17" s="255">
        <v>0</v>
      </c>
      <c r="AW17" s="255">
        <v>0</v>
      </c>
      <c r="AX17" s="255">
        <v>0</v>
      </c>
      <c r="AY17" s="255">
        <v>0</v>
      </c>
      <c r="AZ17" s="255">
        <v>0</v>
      </c>
      <c r="BA17" s="255">
        <v>0</v>
      </c>
      <c r="BB17" s="255">
        <v>0</v>
      </c>
      <c r="BC17" s="255">
        <v>0</v>
      </c>
      <c r="BD17" s="255">
        <v>0</v>
      </c>
      <c r="BE17" s="255">
        <v>0</v>
      </c>
      <c r="BF17" s="255">
        <v>0</v>
      </c>
      <c r="BG17" s="255">
        <v>0</v>
      </c>
      <c r="BH17" s="255">
        <v>0</v>
      </c>
      <c r="BI17" s="255">
        <v>0</v>
      </c>
      <c r="BJ17" s="255">
        <v>0</v>
      </c>
      <c r="BK17" s="255">
        <v>0</v>
      </c>
      <c r="BL17" s="255">
        <v>0</v>
      </c>
      <c r="BM17" s="255">
        <v>0</v>
      </c>
      <c r="BN17" s="255">
        <v>0</v>
      </c>
      <c r="BO17" s="255">
        <v>0</v>
      </c>
      <c r="BP17" s="255">
        <v>0</v>
      </c>
      <c r="BQ17" s="255">
        <v>0</v>
      </c>
      <c r="BR17" s="255">
        <v>0</v>
      </c>
      <c r="BS17" s="255">
        <v>0</v>
      </c>
      <c r="BT17" s="255">
        <v>0</v>
      </c>
      <c r="BU17" s="255">
        <v>0</v>
      </c>
      <c r="BV17" s="255">
        <v>0</v>
      </c>
      <c r="BW17" s="255">
        <v>0</v>
      </c>
      <c r="BX17" s="255">
        <v>0</v>
      </c>
      <c r="BY17" s="255">
        <v>0</v>
      </c>
      <c r="BZ17" s="255">
        <v>0</v>
      </c>
      <c r="CA17" s="255">
        <v>0</v>
      </c>
      <c r="CB17" s="255">
        <v>0</v>
      </c>
      <c r="CC17" s="255">
        <v>0</v>
      </c>
      <c r="CD17" s="255">
        <v>0</v>
      </c>
      <c r="CE17" s="255">
        <v>0</v>
      </c>
      <c r="CF17" s="255">
        <v>0</v>
      </c>
      <c r="CG17" s="255">
        <v>0</v>
      </c>
      <c r="CH17" s="255">
        <v>0</v>
      </c>
      <c r="CI17" s="255">
        <v>0</v>
      </c>
      <c r="CJ17" s="255">
        <v>0</v>
      </c>
      <c r="CK17" s="255">
        <v>0</v>
      </c>
      <c r="CL17" s="255">
        <v>0</v>
      </c>
      <c r="CM17" s="255">
        <v>0</v>
      </c>
      <c r="CN17" s="255">
        <v>0</v>
      </c>
      <c r="CO17" s="255">
        <v>0</v>
      </c>
      <c r="CP17" s="255">
        <v>0</v>
      </c>
      <c r="CQ17" s="255">
        <v>0</v>
      </c>
      <c r="CR17" s="255">
        <v>0</v>
      </c>
      <c r="CS17" s="255">
        <v>0</v>
      </c>
      <c r="CT17" s="255">
        <v>0</v>
      </c>
      <c r="CU17" s="255">
        <v>0</v>
      </c>
      <c r="CV17" s="255">
        <v>0</v>
      </c>
      <c r="CW17" s="260"/>
      <c r="CX17" s="260"/>
      <c r="CY17" s="260"/>
      <c r="CZ17" s="260"/>
      <c r="DA17" s="260"/>
      <c r="DB17" s="260"/>
      <c r="DC17" s="260"/>
      <c r="DD17" s="260"/>
      <c r="DE17" s="260"/>
      <c r="DF17" s="260"/>
      <c r="DG17" s="260"/>
      <c r="DH17" s="260"/>
      <c r="DI17" s="260"/>
      <c r="DJ17" s="260"/>
      <c r="DK17" s="260"/>
      <c r="DL17" s="260"/>
      <c r="DM17" s="260"/>
      <c r="DN17" s="260"/>
      <c r="DO17" s="260"/>
      <c r="DP17" s="260"/>
    </row>
    <row r="18" spans="1:120" s="259" customFormat="1" ht="14" customHeight="1" thickBot="1" x14ac:dyDescent="0.25">
      <c r="A18" s="255"/>
      <c r="B18" s="257"/>
      <c r="C18" s="257"/>
      <c r="D18" s="255" t="s">
        <v>95</v>
      </c>
      <c r="E18" s="255" t="s">
        <v>96</v>
      </c>
      <c r="F18" s="255" t="s">
        <v>79</v>
      </c>
      <c r="G18" s="255"/>
      <c r="H18" s="255"/>
      <c r="I18" s="255"/>
      <c r="J18" s="257"/>
      <c r="K18" s="255"/>
      <c r="L18" s="257"/>
      <c r="M18" s="255"/>
      <c r="N18" s="286">
        <f>SUMIF($O$8:$AV$8,"&gt;="&amp;'CURRENT FORECAST START DATE'!$C$4,'Weekly Spend'!O18:AV18)</f>
        <v>0</v>
      </c>
      <c r="O18" s="255">
        <v>0</v>
      </c>
      <c r="P18" s="255">
        <v>0</v>
      </c>
      <c r="Q18" s="255">
        <v>0</v>
      </c>
      <c r="R18" s="255">
        <v>0</v>
      </c>
      <c r="S18" s="255">
        <v>0</v>
      </c>
      <c r="T18" s="255">
        <v>0</v>
      </c>
      <c r="U18" s="255">
        <f>238.98+385.68</f>
        <v>624.66</v>
      </c>
      <c r="V18" s="255">
        <v>141.53</v>
      </c>
      <c r="W18" s="255">
        <v>0</v>
      </c>
      <c r="X18" s="255">
        <v>0</v>
      </c>
      <c r="Y18" s="255">
        <v>0</v>
      </c>
      <c r="Z18" s="255">
        <v>0</v>
      </c>
      <c r="AA18" s="255">
        <v>0</v>
      </c>
      <c r="AB18" s="255">
        <v>0</v>
      </c>
      <c r="AC18" s="255">
        <v>0</v>
      </c>
      <c r="AD18" s="255">
        <v>0</v>
      </c>
      <c r="AE18" s="255">
        <v>0</v>
      </c>
      <c r="AF18" s="255">
        <v>0</v>
      </c>
      <c r="AG18" s="255">
        <v>0</v>
      </c>
      <c r="AH18" s="255">
        <v>0</v>
      </c>
      <c r="AI18" s="255">
        <v>0</v>
      </c>
      <c r="AJ18" s="255">
        <v>0</v>
      </c>
      <c r="AK18" s="255">
        <v>0</v>
      </c>
      <c r="AL18" s="255">
        <v>0</v>
      </c>
      <c r="AM18" s="255">
        <v>0</v>
      </c>
      <c r="AN18" s="255">
        <v>0</v>
      </c>
      <c r="AO18" s="386">
        <v>0</v>
      </c>
      <c r="AP18" s="255">
        <v>0</v>
      </c>
      <c r="AQ18" s="255">
        <v>0</v>
      </c>
      <c r="AR18" s="255">
        <v>0</v>
      </c>
      <c r="AS18" s="255">
        <v>0</v>
      </c>
      <c r="AT18" s="255">
        <v>0</v>
      </c>
      <c r="AU18" s="255">
        <v>0</v>
      </c>
      <c r="AV18" s="255">
        <v>0</v>
      </c>
      <c r="AW18" s="255">
        <v>0</v>
      </c>
      <c r="AX18" s="255">
        <v>0</v>
      </c>
      <c r="AY18" s="255">
        <v>0</v>
      </c>
      <c r="AZ18" s="255">
        <v>0</v>
      </c>
      <c r="BA18" s="255">
        <v>0</v>
      </c>
      <c r="BB18" s="255">
        <v>0</v>
      </c>
      <c r="BC18" s="255">
        <v>0</v>
      </c>
      <c r="BD18" s="255">
        <v>0</v>
      </c>
      <c r="BE18" s="255">
        <v>0</v>
      </c>
      <c r="BF18" s="255">
        <v>0</v>
      </c>
      <c r="BG18" s="255">
        <v>0</v>
      </c>
      <c r="BH18" s="255">
        <v>0</v>
      </c>
      <c r="BI18" s="255">
        <v>0</v>
      </c>
      <c r="BJ18" s="255">
        <v>0</v>
      </c>
      <c r="BK18" s="255">
        <v>0</v>
      </c>
      <c r="BL18" s="255">
        <v>0</v>
      </c>
      <c r="BM18" s="255">
        <v>0</v>
      </c>
      <c r="BN18" s="255">
        <v>0</v>
      </c>
      <c r="BO18" s="255">
        <v>0</v>
      </c>
      <c r="BP18" s="255">
        <v>0</v>
      </c>
      <c r="BQ18" s="255">
        <v>0</v>
      </c>
      <c r="BR18" s="255">
        <v>0</v>
      </c>
      <c r="BS18" s="255">
        <v>0</v>
      </c>
      <c r="BT18" s="255">
        <v>0</v>
      </c>
      <c r="BU18" s="255">
        <v>0</v>
      </c>
      <c r="BV18" s="255">
        <v>0</v>
      </c>
      <c r="BW18" s="255">
        <v>0</v>
      </c>
      <c r="BX18" s="255">
        <v>0</v>
      </c>
      <c r="BY18" s="255">
        <v>0</v>
      </c>
      <c r="BZ18" s="255">
        <v>0</v>
      </c>
      <c r="CA18" s="255">
        <v>0</v>
      </c>
      <c r="CB18" s="255">
        <v>0</v>
      </c>
      <c r="CC18" s="255">
        <v>0</v>
      </c>
      <c r="CD18" s="255">
        <v>0</v>
      </c>
      <c r="CE18" s="255">
        <v>0</v>
      </c>
      <c r="CF18" s="255">
        <v>0</v>
      </c>
      <c r="CG18" s="255">
        <v>0</v>
      </c>
      <c r="CH18" s="255">
        <v>0</v>
      </c>
      <c r="CI18" s="255">
        <v>0</v>
      </c>
      <c r="CJ18" s="255">
        <v>0</v>
      </c>
      <c r="CK18" s="255">
        <v>0</v>
      </c>
      <c r="CL18" s="255">
        <v>0</v>
      </c>
      <c r="CM18" s="255">
        <v>0</v>
      </c>
      <c r="CN18" s="255">
        <v>0</v>
      </c>
      <c r="CO18" s="255">
        <v>0</v>
      </c>
      <c r="CP18" s="255">
        <v>0</v>
      </c>
      <c r="CQ18" s="255">
        <v>0</v>
      </c>
      <c r="CR18" s="255">
        <v>0</v>
      </c>
      <c r="CS18" s="255">
        <v>0</v>
      </c>
      <c r="CT18" s="255">
        <v>0</v>
      </c>
      <c r="CU18" s="255">
        <v>0</v>
      </c>
      <c r="CV18" s="255">
        <v>0</v>
      </c>
      <c r="CW18" s="260"/>
      <c r="CX18" s="260"/>
      <c r="CY18" s="260"/>
      <c r="CZ18" s="260"/>
      <c r="DA18" s="260"/>
      <c r="DB18" s="260"/>
      <c r="DC18" s="260"/>
      <c r="DD18" s="260"/>
      <c r="DE18" s="260"/>
      <c r="DF18" s="260"/>
      <c r="DG18" s="260"/>
      <c r="DH18" s="260"/>
      <c r="DI18" s="260"/>
      <c r="DJ18" s="260"/>
      <c r="DK18" s="260"/>
      <c r="DL18" s="260"/>
      <c r="DM18" s="260"/>
      <c r="DN18" s="260"/>
      <c r="DO18" s="260"/>
      <c r="DP18" s="260"/>
    </row>
    <row r="19" spans="1:120" s="259" customFormat="1" ht="14.25" customHeight="1" thickBot="1" x14ac:dyDescent="0.25">
      <c r="A19" s="255" t="s">
        <v>75</v>
      </c>
      <c r="B19" s="255">
        <f>_xlfn.SINGLE(_xlfn.XLOOKUP(F19, $F$87:$F$95, $E$87:$E$95))</f>
        <v>6</v>
      </c>
      <c r="C19" s="255" t="s">
        <v>97</v>
      </c>
      <c r="D19" s="255" t="s">
        <v>98</v>
      </c>
      <c r="E19" s="255" t="s">
        <v>99</v>
      </c>
      <c r="F19" s="255" t="s">
        <v>79</v>
      </c>
      <c r="G19" s="256">
        <v>71119</v>
      </c>
      <c r="H19" s="255"/>
      <c r="I19" s="255"/>
      <c r="J19" s="255"/>
      <c r="K19" s="255"/>
      <c r="L19" s="255"/>
      <c r="M19" s="255"/>
      <c r="N19" s="286">
        <f>SUMIF($O$8:$AV$8,"&gt;="&amp;'CURRENT FORECAST START DATE'!$C$4,'Weekly Spend'!O19:AV19)</f>
        <v>45000</v>
      </c>
      <c r="O19" s="255">
        <v>96000</v>
      </c>
      <c r="P19" s="255">
        <v>0</v>
      </c>
      <c r="Q19" s="255">
        <v>0</v>
      </c>
      <c r="R19" s="255">
        <v>0</v>
      </c>
      <c r="S19" s="255">
        <v>0</v>
      </c>
      <c r="T19" s="255">
        <v>0</v>
      </c>
      <c r="U19" s="255">
        <v>0</v>
      </c>
      <c r="V19" s="255">
        <v>0</v>
      </c>
      <c r="W19" s="255">
        <v>0</v>
      </c>
      <c r="X19" s="303">
        <v>50000</v>
      </c>
      <c r="Y19" s="303"/>
      <c r="Z19" s="255">
        <v>0</v>
      </c>
      <c r="AA19" s="255">
        <v>0</v>
      </c>
      <c r="AB19" s="255">
        <v>0</v>
      </c>
      <c r="AC19" s="255">
        <v>0</v>
      </c>
      <c r="AD19" s="255">
        <v>0</v>
      </c>
      <c r="AE19" s="255">
        <v>0</v>
      </c>
      <c r="AF19" s="255">
        <v>0</v>
      </c>
      <c r="AG19" s="255">
        <v>0</v>
      </c>
      <c r="AH19" s="303">
        <v>23100</v>
      </c>
      <c r="AI19" s="303">
        <f>241500-23100</f>
        <v>218400</v>
      </c>
      <c r="AJ19" s="255">
        <v>0</v>
      </c>
      <c r="AK19" s="255">
        <v>0</v>
      </c>
      <c r="AL19" s="399">
        <v>5000</v>
      </c>
      <c r="AM19" s="255">
        <v>0</v>
      </c>
      <c r="AN19" s="255">
        <v>0</v>
      </c>
      <c r="AO19" s="398">
        <v>20000</v>
      </c>
      <c r="AP19" s="255">
        <v>0</v>
      </c>
      <c r="AQ19" s="255">
        <v>0</v>
      </c>
      <c r="AR19" s="255">
        <v>0</v>
      </c>
      <c r="AS19" s="255">
        <v>0</v>
      </c>
      <c r="AT19" s="255">
        <v>0</v>
      </c>
      <c r="AU19" s="255">
        <v>0</v>
      </c>
      <c r="AV19" s="398">
        <v>25000</v>
      </c>
      <c r="AW19" s="255">
        <v>0</v>
      </c>
      <c r="AX19" s="255">
        <v>0</v>
      </c>
      <c r="AY19" s="255">
        <v>0</v>
      </c>
      <c r="AZ19" s="255">
        <v>0</v>
      </c>
      <c r="BA19" s="255">
        <v>0</v>
      </c>
      <c r="BB19" s="255">
        <v>0</v>
      </c>
      <c r="BC19" s="255">
        <v>0</v>
      </c>
      <c r="BD19" s="255">
        <v>0</v>
      </c>
      <c r="BE19" s="255">
        <v>0</v>
      </c>
      <c r="BF19" s="398">
        <v>400000</v>
      </c>
      <c r="BG19" s="255">
        <v>0</v>
      </c>
      <c r="BH19" s="255">
        <v>0</v>
      </c>
      <c r="BI19" s="255">
        <v>0</v>
      </c>
      <c r="BJ19" s="255">
        <v>0</v>
      </c>
      <c r="BK19" s="255">
        <v>0</v>
      </c>
      <c r="BL19" s="255">
        <v>0</v>
      </c>
      <c r="BM19" s="255">
        <v>0</v>
      </c>
      <c r="BN19" s="255">
        <v>0</v>
      </c>
      <c r="BO19" s="255">
        <v>0</v>
      </c>
      <c r="BP19" s="255">
        <v>0</v>
      </c>
      <c r="BQ19" s="255">
        <v>0</v>
      </c>
      <c r="BR19" s="255">
        <v>0</v>
      </c>
      <c r="BS19" s="255">
        <v>0</v>
      </c>
      <c r="BT19" s="255">
        <v>0</v>
      </c>
      <c r="BU19" s="255">
        <v>0</v>
      </c>
      <c r="BV19" s="255">
        <v>0</v>
      </c>
      <c r="BW19" s="255">
        <v>0</v>
      </c>
      <c r="BX19" s="255">
        <v>0</v>
      </c>
      <c r="BY19" s="255">
        <v>0</v>
      </c>
      <c r="BZ19" s="255">
        <v>0</v>
      </c>
      <c r="CA19" s="255">
        <v>0</v>
      </c>
      <c r="CB19" s="255">
        <v>0</v>
      </c>
      <c r="CC19" s="255">
        <v>0</v>
      </c>
      <c r="CD19" s="255">
        <v>0</v>
      </c>
      <c r="CE19" s="255">
        <v>0</v>
      </c>
      <c r="CF19" s="255">
        <v>0</v>
      </c>
      <c r="CG19" s="255">
        <v>0</v>
      </c>
      <c r="CH19" s="255">
        <v>0</v>
      </c>
      <c r="CI19" s="255">
        <v>0</v>
      </c>
      <c r="CJ19" s="255">
        <v>0</v>
      </c>
      <c r="CK19" s="255">
        <v>0</v>
      </c>
      <c r="CL19" s="255">
        <v>0</v>
      </c>
      <c r="CM19" s="255">
        <v>0</v>
      </c>
      <c r="CN19" s="255">
        <v>0</v>
      </c>
      <c r="CO19" s="255">
        <v>0</v>
      </c>
      <c r="CP19" s="255">
        <v>0</v>
      </c>
      <c r="CQ19" s="255">
        <v>0</v>
      </c>
      <c r="CR19" s="255">
        <v>0</v>
      </c>
      <c r="CS19" s="255">
        <v>0</v>
      </c>
      <c r="CT19" s="255">
        <v>0</v>
      </c>
      <c r="CU19" s="255">
        <v>0</v>
      </c>
      <c r="CV19" s="255">
        <v>0</v>
      </c>
      <c r="CW19" s="260"/>
      <c r="CX19" s="260"/>
      <c r="CY19" s="260"/>
      <c r="CZ19" s="260"/>
      <c r="DA19" s="260"/>
      <c r="DB19" s="260"/>
      <c r="DC19" s="260"/>
      <c r="DD19" s="260"/>
      <c r="DE19" s="260"/>
      <c r="DF19" s="260"/>
      <c r="DG19" s="260"/>
      <c r="DH19" s="260"/>
      <c r="DI19" s="260"/>
      <c r="DJ19" s="260"/>
      <c r="DK19" s="260"/>
      <c r="DL19" s="260"/>
      <c r="DM19" s="260"/>
      <c r="DN19" s="260"/>
      <c r="DO19" s="260"/>
      <c r="DP19" s="260"/>
    </row>
    <row r="20" spans="1:120" s="259" customFormat="1" ht="14.25" customHeight="1" thickBot="1" x14ac:dyDescent="0.25">
      <c r="A20" s="255"/>
      <c r="B20" s="255"/>
      <c r="C20" s="255"/>
      <c r="D20" s="411" t="s">
        <v>89</v>
      </c>
      <c r="E20" s="410" t="s">
        <v>100</v>
      </c>
      <c r="F20" s="255" t="s">
        <v>79</v>
      </c>
      <c r="G20" s="256"/>
      <c r="H20" s="255"/>
      <c r="I20" s="255"/>
      <c r="J20" s="255"/>
      <c r="K20" s="255"/>
      <c r="L20" s="255"/>
      <c r="M20" s="255"/>
      <c r="N20" s="286">
        <f>SUMIF($O$8:$AV$8,"&gt;="&amp;'CURRENT FORECAST START DATE'!$C$4,'Weekly Spend'!O20:AV20)</f>
        <v>405000</v>
      </c>
      <c r="O20" s="255">
        <v>0</v>
      </c>
      <c r="P20" s="255">
        <v>0</v>
      </c>
      <c r="Q20" s="255">
        <v>0</v>
      </c>
      <c r="R20" s="255">
        <v>0</v>
      </c>
      <c r="S20" s="255">
        <v>0</v>
      </c>
      <c r="T20" s="255">
        <v>0</v>
      </c>
      <c r="U20" s="255">
        <v>0</v>
      </c>
      <c r="V20" s="255">
        <v>0</v>
      </c>
      <c r="W20" s="255">
        <v>0</v>
      </c>
      <c r="X20" s="255">
        <v>0</v>
      </c>
      <c r="Y20" s="255">
        <v>0</v>
      </c>
      <c r="Z20" s="255">
        <v>0</v>
      </c>
      <c r="AA20" s="255">
        <v>0</v>
      </c>
      <c r="AB20" s="255">
        <v>0</v>
      </c>
      <c r="AC20" s="255">
        <v>0</v>
      </c>
      <c r="AD20" s="255">
        <v>0</v>
      </c>
      <c r="AE20" s="255">
        <v>0</v>
      </c>
      <c r="AF20" s="255">
        <v>0</v>
      </c>
      <c r="AG20" s="255">
        <v>0</v>
      </c>
      <c r="AH20" s="255">
        <v>0</v>
      </c>
      <c r="AI20" s="255">
        <v>0</v>
      </c>
      <c r="AJ20" s="255">
        <v>0</v>
      </c>
      <c r="AK20" s="255">
        <v>0</v>
      </c>
      <c r="AL20" s="255">
        <v>0</v>
      </c>
      <c r="AM20" s="255">
        <v>0</v>
      </c>
      <c r="AN20" s="255">
        <v>0</v>
      </c>
      <c r="AO20" s="386">
        <v>0</v>
      </c>
      <c r="AP20" s="255">
        <v>0</v>
      </c>
      <c r="AQ20" s="255">
        <v>0</v>
      </c>
      <c r="AR20" s="255">
        <v>0</v>
      </c>
      <c r="AS20" s="255">
        <v>0</v>
      </c>
      <c r="AT20" s="255">
        <v>0</v>
      </c>
      <c r="AU20" s="255">
        <v>0</v>
      </c>
      <c r="AV20" s="255">
        <f>25% * (27 * 60000)</f>
        <v>405000</v>
      </c>
      <c r="AW20" s="255">
        <v>0</v>
      </c>
      <c r="AX20" s="255">
        <v>0</v>
      </c>
      <c r="AY20" s="255">
        <v>0</v>
      </c>
      <c r="AZ20" s="255"/>
      <c r="BA20" s="255">
        <v>0</v>
      </c>
      <c r="BB20" s="255">
        <v>0</v>
      </c>
      <c r="BC20" s="255">
        <v>0</v>
      </c>
      <c r="BD20" s="255">
        <v>0</v>
      </c>
      <c r="BE20" s="255">
        <v>0</v>
      </c>
      <c r="BF20" s="255">
        <v>0</v>
      </c>
      <c r="BG20" s="255">
        <v>0</v>
      </c>
      <c r="BH20" s="255">
        <v>0</v>
      </c>
      <c r="BI20" s="255">
        <v>0</v>
      </c>
      <c r="BJ20" s="255">
        <v>0</v>
      </c>
      <c r="BK20" s="255">
        <v>0</v>
      </c>
      <c r="BL20" s="255">
        <v>0</v>
      </c>
      <c r="BM20" s="255">
        <v>0</v>
      </c>
      <c r="BN20" s="255">
        <v>0</v>
      </c>
      <c r="BO20" s="255">
        <v>0</v>
      </c>
      <c r="BP20" s="255">
        <v>0</v>
      </c>
      <c r="BQ20" s="255">
        <v>0</v>
      </c>
      <c r="BR20" s="255"/>
      <c r="BS20" s="255">
        <v>0</v>
      </c>
      <c r="BT20" s="255">
        <v>0</v>
      </c>
      <c r="BU20" s="255">
        <v>0</v>
      </c>
      <c r="BV20" s="255">
        <v>0</v>
      </c>
      <c r="BW20" s="255">
        <v>0</v>
      </c>
      <c r="BX20" s="255">
        <v>0</v>
      </c>
      <c r="BY20" s="255">
        <v>0</v>
      </c>
      <c r="BZ20" s="255">
        <v>0</v>
      </c>
      <c r="CA20" s="255">
        <v>0</v>
      </c>
      <c r="CB20" s="255">
        <v>0</v>
      </c>
      <c r="CC20" s="255">
        <v>0</v>
      </c>
      <c r="CD20" s="255">
        <v>0</v>
      </c>
      <c r="CE20" s="255">
        <v>0</v>
      </c>
      <c r="CF20" s="255">
        <v>0</v>
      </c>
      <c r="CG20" s="255">
        <v>0</v>
      </c>
      <c r="CH20" s="255">
        <v>0</v>
      </c>
      <c r="CI20" s="255">
        <v>0</v>
      </c>
      <c r="CJ20" s="255">
        <v>0</v>
      </c>
      <c r="CK20" s="255">
        <v>0</v>
      </c>
      <c r="CL20" s="255">
        <v>0</v>
      </c>
      <c r="CM20" s="255">
        <v>0</v>
      </c>
      <c r="CN20" s="255">
        <v>0</v>
      </c>
      <c r="CO20" s="255">
        <v>0</v>
      </c>
      <c r="CP20" s="255">
        <v>0</v>
      </c>
      <c r="CQ20" s="255">
        <v>0</v>
      </c>
      <c r="CR20" s="255">
        <v>0</v>
      </c>
      <c r="CS20" s="255">
        <v>0</v>
      </c>
      <c r="CT20" s="255">
        <v>0</v>
      </c>
      <c r="CU20" s="255">
        <v>0</v>
      </c>
      <c r="CV20" s="255">
        <v>0</v>
      </c>
      <c r="CW20" s="260"/>
      <c r="CX20" s="260"/>
      <c r="CY20" s="260"/>
      <c r="CZ20" s="260"/>
      <c r="DA20" s="260"/>
      <c r="DB20" s="260"/>
      <c r="DC20" s="260"/>
      <c r="DD20" s="260"/>
      <c r="DE20" s="260"/>
      <c r="DF20" s="260"/>
      <c r="DG20" s="260"/>
      <c r="DH20" s="260"/>
      <c r="DI20" s="260"/>
      <c r="DJ20" s="260"/>
      <c r="DK20" s="260"/>
      <c r="DL20" s="260"/>
      <c r="DM20" s="260"/>
      <c r="DN20" s="260"/>
      <c r="DO20" s="260"/>
      <c r="DP20" s="260"/>
    </row>
    <row r="21" spans="1:120" s="259" customFormat="1" ht="14.25" customHeight="1" x14ac:dyDescent="0.2">
      <c r="A21" s="255"/>
      <c r="B21" s="255"/>
      <c r="C21" s="255"/>
      <c r="D21" s="255" t="s">
        <v>101</v>
      </c>
      <c r="E21" s="255" t="s">
        <v>102</v>
      </c>
      <c r="F21" s="255" t="s">
        <v>79</v>
      </c>
      <c r="G21" s="256"/>
      <c r="H21" s="255"/>
      <c r="I21" s="255"/>
      <c r="J21" s="255"/>
      <c r="K21" s="255"/>
      <c r="L21" s="255"/>
      <c r="M21" s="255"/>
      <c r="N21" s="286">
        <f>SUMIF($O$8:$AV$8,"&gt;="&amp;'CURRENT FORECAST START DATE'!$C$4,'Weekly Spend'!O21:AV21)</f>
        <v>174000</v>
      </c>
      <c r="O21" s="255">
        <v>0</v>
      </c>
      <c r="P21" s="255">
        <v>0</v>
      </c>
      <c r="Q21" s="255">
        <v>0</v>
      </c>
      <c r="R21" s="255">
        <v>0</v>
      </c>
      <c r="S21" s="255">
        <v>0</v>
      </c>
      <c r="T21" s="255">
        <v>0</v>
      </c>
      <c r="U21" s="255">
        <v>0</v>
      </c>
      <c r="V21" s="255">
        <v>0</v>
      </c>
      <c r="W21" s="255">
        <v>0</v>
      </c>
      <c r="X21" s="255">
        <v>0</v>
      </c>
      <c r="Y21" s="255"/>
      <c r="Z21" s="255"/>
      <c r="AA21" s="303">
        <v>104700</v>
      </c>
      <c r="AB21" s="255">
        <v>0</v>
      </c>
      <c r="AC21" s="255">
        <v>0</v>
      </c>
      <c r="AD21" s="255">
        <v>0</v>
      </c>
      <c r="AE21" s="255">
        <v>0</v>
      </c>
      <c r="AF21" s="255">
        <v>0</v>
      </c>
      <c r="AG21" s="255">
        <v>0</v>
      </c>
      <c r="AH21" s="255">
        <v>0</v>
      </c>
      <c r="AI21" s="303">
        <v>244300</v>
      </c>
      <c r="AJ21" s="255">
        <v>0</v>
      </c>
      <c r="AK21" s="255">
        <v>0</v>
      </c>
      <c r="AL21" s="255">
        <v>0</v>
      </c>
      <c r="AM21" s="255">
        <v>0</v>
      </c>
      <c r="AN21" s="255">
        <v>0</v>
      </c>
      <c r="AO21" s="386">
        <v>0</v>
      </c>
      <c r="AP21" s="255">
        <v>0</v>
      </c>
      <c r="AQ21" s="255">
        <v>0</v>
      </c>
      <c r="AR21" s="255">
        <f>5000*34.8</f>
        <v>174000</v>
      </c>
      <c r="AS21" s="255">
        <v>0</v>
      </c>
      <c r="AT21" s="255">
        <v>0</v>
      </c>
      <c r="AU21" s="255">
        <v>0</v>
      </c>
      <c r="AV21" s="255">
        <v>0</v>
      </c>
      <c r="AW21" s="255">
        <v>0</v>
      </c>
      <c r="AX21" s="255">
        <v>0</v>
      </c>
      <c r="AY21" s="255">
        <v>0</v>
      </c>
      <c r="AZ21" s="255">
        <v>0</v>
      </c>
      <c r="BA21" s="255">
        <v>0</v>
      </c>
      <c r="BB21" s="255">
        <v>0</v>
      </c>
      <c r="BC21" s="255">
        <v>0</v>
      </c>
      <c r="BD21" s="255">
        <v>0</v>
      </c>
      <c r="BE21" s="255">
        <v>0</v>
      </c>
      <c r="BF21" s="255">
        <v>0</v>
      </c>
      <c r="BG21" s="255">
        <v>0</v>
      </c>
      <c r="BH21" s="255">
        <v>0</v>
      </c>
      <c r="BI21" s="255">
        <v>0</v>
      </c>
      <c r="BJ21" s="255">
        <v>0</v>
      </c>
      <c r="BK21" s="255">
        <v>0</v>
      </c>
      <c r="BL21" s="255">
        <v>0</v>
      </c>
      <c r="BM21" s="255">
        <v>0</v>
      </c>
      <c r="BN21" s="255">
        <v>0</v>
      </c>
      <c r="BO21" s="255">
        <v>0</v>
      </c>
      <c r="BP21" s="255">
        <v>0</v>
      </c>
      <c r="BQ21" s="255">
        <v>0</v>
      </c>
      <c r="BR21" s="255">
        <v>0</v>
      </c>
      <c r="BS21" s="255">
        <v>0</v>
      </c>
      <c r="BT21" s="255">
        <v>0</v>
      </c>
      <c r="BU21" s="255">
        <v>0</v>
      </c>
      <c r="BV21" s="255">
        <v>0</v>
      </c>
      <c r="BW21" s="255">
        <v>0</v>
      </c>
      <c r="BX21" s="255">
        <v>0</v>
      </c>
      <c r="BY21" s="255">
        <v>0</v>
      </c>
      <c r="BZ21" s="255">
        <v>0</v>
      </c>
      <c r="CA21" s="255">
        <v>0</v>
      </c>
      <c r="CB21" s="255">
        <v>0</v>
      </c>
      <c r="CC21" s="255">
        <v>0</v>
      </c>
      <c r="CD21" s="255">
        <v>0</v>
      </c>
      <c r="CE21" s="255">
        <v>0</v>
      </c>
      <c r="CF21" s="255">
        <v>0</v>
      </c>
      <c r="CG21" s="255">
        <v>0</v>
      </c>
      <c r="CH21" s="255">
        <v>0</v>
      </c>
      <c r="CI21" s="255">
        <v>0</v>
      </c>
      <c r="CJ21" s="255">
        <v>0</v>
      </c>
      <c r="CK21" s="255">
        <v>0</v>
      </c>
      <c r="CL21" s="255">
        <v>0</v>
      </c>
      <c r="CM21" s="255">
        <v>0</v>
      </c>
      <c r="CN21" s="255">
        <v>0</v>
      </c>
      <c r="CO21" s="255">
        <v>0</v>
      </c>
      <c r="CP21" s="255">
        <v>0</v>
      </c>
      <c r="CQ21" s="255">
        <v>0</v>
      </c>
      <c r="CR21" s="255">
        <v>0</v>
      </c>
      <c r="CS21" s="255">
        <v>0</v>
      </c>
      <c r="CT21" s="255">
        <v>0</v>
      </c>
      <c r="CU21" s="255">
        <v>0</v>
      </c>
      <c r="CV21" s="255">
        <v>0</v>
      </c>
      <c r="CW21" s="260"/>
      <c r="CX21" s="260"/>
      <c r="CY21" s="260"/>
      <c r="CZ21" s="260"/>
      <c r="DA21" s="260"/>
      <c r="DB21" s="260"/>
      <c r="DC21" s="260"/>
      <c r="DD21" s="260"/>
      <c r="DE21" s="260"/>
      <c r="DF21" s="260"/>
      <c r="DG21" s="260"/>
      <c r="DH21" s="260"/>
      <c r="DI21" s="260"/>
      <c r="DJ21" s="260"/>
      <c r="DK21" s="260"/>
      <c r="DL21" s="260"/>
      <c r="DM21" s="260"/>
      <c r="DN21" s="260"/>
      <c r="DO21" s="260"/>
      <c r="DP21" s="260"/>
    </row>
    <row r="22" spans="1:120" s="259" customFormat="1" ht="14.25" customHeight="1" x14ac:dyDescent="0.2">
      <c r="A22" s="255" t="s">
        <v>103</v>
      </c>
      <c r="B22" s="255">
        <f>_xlfn.SINGLE(_xlfn.XLOOKUP(F22, $F$87:$F$95, $E$87:$E$95))</f>
        <v>6</v>
      </c>
      <c r="C22" s="255" t="s">
        <v>104</v>
      </c>
      <c r="D22" s="255" t="s">
        <v>105</v>
      </c>
      <c r="E22" s="255" t="s">
        <v>106</v>
      </c>
      <c r="F22" s="255" t="s">
        <v>79</v>
      </c>
      <c r="G22" s="255"/>
      <c r="H22" s="255"/>
      <c r="I22" s="255"/>
      <c r="J22" s="255"/>
      <c r="K22" s="255"/>
      <c r="L22" s="255"/>
      <c r="M22" s="300">
        <v>21000</v>
      </c>
      <c r="N22" s="286">
        <f>SUMIF($O$8:$AV$8,"&gt;="&amp;'CURRENT FORECAST START DATE'!$C$4,'Weekly Spend'!O22:AV22)</f>
        <v>2000</v>
      </c>
      <c r="O22" s="300">
        <v>0</v>
      </c>
      <c r="P22" s="255">
        <v>0</v>
      </c>
      <c r="Q22" s="255">
        <v>0</v>
      </c>
      <c r="R22" s="255">
        <v>0</v>
      </c>
      <c r="S22" s="255">
        <v>0</v>
      </c>
      <c r="T22" s="255">
        <v>0</v>
      </c>
      <c r="U22" s="255">
        <v>0</v>
      </c>
      <c r="V22" s="255">
        <v>0</v>
      </c>
      <c r="W22" s="255">
        <v>0</v>
      </c>
      <c r="X22" s="255">
        <v>0</v>
      </c>
      <c r="Y22" s="255">
        <v>0</v>
      </c>
      <c r="Z22" s="255">
        <v>0</v>
      </c>
      <c r="AA22" s="303">
        <f>1076.11+48.88</f>
        <v>1124.99</v>
      </c>
      <c r="AB22" s="255">
        <v>0</v>
      </c>
      <c r="AC22" s="255">
        <v>0</v>
      </c>
      <c r="AD22" s="255">
        <v>0</v>
      </c>
      <c r="AE22" s="255"/>
      <c r="AF22" s="255">
        <v>2000</v>
      </c>
      <c r="AG22" s="255"/>
      <c r="AH22" s="255"/>
      <c r="AI22" s="255"/>
      <c r="AJ22" s="255"/>
      <c r="AK22" s="316">
        <v>2000</v>
      </c>
      <c r="AL22" s="255">
        <v>0</v>
      </c>
      <c r="AM22" s="255">
        <v>0</v>
      </c>
      <c r="AN22" s="255">
        <v>0</v>
      </c>
      <c r="AO22" s="386">
        <v>0</v>
      </c>
      <c r="AP22" s="255">
        <v>0</v>
      </c>
      <c r="AQ22" s="255">
        <f>200*10</f>
        <v>2000</v>
      </c>
      <c r="AR22" s="255">
        <v>0</v>
      </c>
      <c r="AS22" s="255"/>
      <c r="AT22" s="255">
        <v>0</v>
      </c>
      <c r="AU22" s="255"/>
      <c r="AV22" s="255">
        <v>0</v>
      </c>
      <c r="AW22" s="255">
        <v>0</v>
      </c>
      <c r="AX22" s="255">
        <v>31194</v>
      </c>
      <c r="AY22" s="255">
        <v>14400</v>
      </c>
      <c r="AZ22" s="255">
        <v>0</v>
      </c>
      <c r="BA22" s="255">
        <v>0</v>
      </c>
      <c r="BB22" s="255">
        <v>0</v>
      </c>
      <c r="BC22" s="255">
        <v>0</v>
      </c>
      <c r="BD22" s="255">
        <v>0</v>
      </c>
      <c r="BE22" s="255">
        <v>0</v>
      </c>
      <c r="BF22" s="255">
        <v>60200</v>
      </c>
      <c r="BG22" s="255">
        <v>0</v>
      </c>
      <c r="BH22" s="255">
        <v>0</v>
      </c>
      <c r="BI22" s="255">
        <v>33600</v>
      </c>
      <c r="BJ22" s="255">
        <v>72786</v>
      </c>
      <c r="BK22" s="255">
        <v>0</v>
      </c>
      <c r="BL22" s="255">
        <v>0</v>
      </c>
      <c r="BM22" s="255">
        <v>0</v>
      </c>
      <c r="BN22" s="255">
        <v>0</v>
      </c>
      <c r="BO22" s="255">
        <v>0</v>
      </c>
      <c r="BP22" s="255">
        <v>0</v>
      </c>
      <c r="BQ22" s="255">
        <v>0</v>
      </c>
      <c r="BR22" s="255">
        <v>0</v>
      </c>
      <c r="BS22" s="255">
        <v>0</v>
      </c>
      <c r="BT22" s="255">
        <v>0</v>
      </c>
      <c r="BU22" s="255">
        <v>0</v>
      </c>
      <c r="BV22" s="255">
        <v>0</v>
      </c>
      <c r="BW22" s="255">
        <v>0</v>
      </c>
      <c r="BX22" s="255">
        <v>0</v>
      </c>
      <c r="BY22" s="255">
        <v>0</v>
      </c>
      <c r="BZ22" s="255">
        <v>0</v>
      </c>
      <c r="CA22" s="255">
        <v>0</v>
      </c>
      <c r="CB22" s="255">
        <v>0</v>
      </c>
      <c r="CC22" s="255">
        <v>0</v>
      </c>
      <c r="CD22" s="255">
        <v>0</v>
      </c>
      <c r="CE22" s="255">
        <v>0</v>
      </c>
      <c r="CF22" s="255">
        <v>0</v>
      </c>
      <c r="CG22" s="255">
        <v>0</v>
      </c>
      <c r="CH22" s="255">
        <v>0</v>
      </c>
      <c r="CI22" s="255">
        <v>0</v>
      </c>
      <c r="CJ22" s="255">
        <v>0</v>
      </c>
      <c r="CK22" s="255">
        <v>0</v>
      </c>
      <c r="CL22" s="255">
        <v>0</v>
      </c>
      <c r="CM22" s="255">
        <v>0</v>
      </c>
      <c r="CN22" s="255">
        <v>0</v>
      </c>
      <c r="CO22" s="255">
        <v>0</v>
      </c>
      <c r="CP22" s="255">
        <v>0</v>
      </c>
      <c r="CQ22" s="255">
        <v>0</v>
      </c>
      <c r="CR22" s="255">
        <v>0</v>
      </c>
      <c r="CS22" s="255">
        <v>0</v>
      </c>
      <c r="CT22" s="255">
        <v>0</v>
      </c>
      <c r="CU22" s="255">
        <v>0</v>
      </c>
      <c r="CV22" s="255">
        <v>0</v>
      </c>
      <c r="CW22" s="260"/>
      <c r="CX22" s="260"/>
      <c r="CY22" s="260"/>
      <c r="CZ22" s="260"/>
      <c r="DA22" s="260"/>
      <c r="DB22" s="260"/>
      <c r="DC22" s="260"/>
      <c r="DD22" s="260"/>
      <c r="DE22" s="260"/>
      <c r="DF22" s="260"/>
      <c r="DG22" s="260"/>
      <c r="DH22" s="260"/>
      <c r="DI22" s="260"/>
      <c r="DJ22" s="260"/>
      <c r="DK22" s="260"/>
      <c r="DL22" s="260"/>
      <c r="DM22" s="260"/>
      <c r="DN22" s="260"/>
      <c r="DO22" s="260"/>
      <c r="DP22" s="260"/>
    </row>
    <row r="23" spans="1:120" s="259" customFormat="1" ht="14.25" customHeight="1" x14ac:dyDescent="0.2">
      <c r="A23" s="255" t="s">
        <v>75</v>
      </c>
      <c r="B23" s="255">
        <f>_xlfn.SINGLE(_xlfn.XLOOKUP(F23, $F$87:$F$95, $E$87:$E$95))</f>
        <v>6</v>
      </c>
      <c r="C23" s="255" t="s">
        <v>107</v>
      </c>
      <c r="D23" s="255" t="s">
        <v>108</v>
      </c>
      <c r="E23" s="255" t="s">
        <v>94</v>
      </c>
      <c r="F23" s="255" t="s">
        <v>79</v>
      </c>
      <c r="G23" s="255"/>
      <c r="H23" s="255"/>
      <c r="I23" s="255"/>
      <c r="J23" s="255"/>
      <c r="K23" s="255"/>
      <c r="L23" s="255"/>
      <c r="M23" s="257">
        <v>5000</v>
      </c>
      <c r="N23" s="286">
        <f>SUMIF($O$8:$AV$8,"&gt;="&amp;'CURRENT FORECAST START DATE'!$C$4,'Weekly Spend'!O23:AV23)</f>
        <v>29578</v>
      </c>
      <c r="O23" s="255">
        <v>0</v>
      </c>
      <c r="P23" s="255">
        <v>0</v>
      </c>
      <c r="Q23" s="255">
        <v>0</v>
      </c>
      <c r="R23" s="255">
        <v>0</v>
      </c>
      <c r="S23" s="255">
        <v>0</v>
      </c>
      <c r="T23" s="255">
        <v>0</v>
      </c>
      <c r="U23" s="255">
        <v>100</v>
      </c>
      <c r="V23" s="255">
        <v>0</v>
      </c>
      <c r="W23" s="255">
        <v>0</v>
      </c>
      <c r="X23" s="255">
        <v>0</v>
      </c>
      <c r="Y23" s="303">
        <v>19000</v>
      </c>
      <c r="Z23" s="255"/>
      <c r="AA23" s="255"/>
      <c r="AB23" s="255">
        <v>21000</v>
      </c>
      <c r="AC23" s="255">
        <v>0</v>
      </c>
      <c r="AD23" s="255">
        <v>0</v>
      </c>
      <c r="AE23" s="303">
        <f>2464+10000+9600</f>
        <v>22064</v>
      </c>
      <c r="AF23" s="255">
        <v>0</v>
      </c>
      <c r="AG23" s="331">
        <v>15000</v>
      </c>
      <c r="AH23" s="255">
        <v>0</v>
      </c>
      <c r="AI23" s="255"/>
      <c r="AJ23" s="316">
        <v>8000</v>
      </c>
      <c r="AK23" s="316"/>
      <c r="AL23" s="316">
        <v>15000</v>
      </c>
      <c r="AM23" s="255">
        <v>0</v>
      </c>
      <c r="AN23" s="255">
        <v>0</v>
      </c>
      <c r="AO23" s="398">
        <v>10378</v>
      </c>
      <c r="AP23" s="255">
        <v>0</v>
      </c>
      <c r="AQ23" s="255"/>
      <c r="AR23" s="255">
        <v>0</v>
      </c>
      <c r="AS23" s="255">
        <v>0</v>
      </c>
      <c r="AT23" s="255">
        <v>0</v>
      </c>
      <c r="AU23" s="255">
        <f>4800*4</f>
        <v>19200</v>
      </c>
      <c r="AV23" s="255">
        <v>0</v>
      </c>
      <c r="AW23" s="255">
        <v>0</v>
      </c>
      <c r="AX23" s="255">
        <v>0</v>
      </c>
      <c r="AY23" s="255">
        <v>0</v>
      </c>
      <c r="AZ23" s="255">
        <v>15000</v>
      </c>
      <c r="BA23" s="255">
        <v>0</v>
      </c>
      <c r="BB23" s="255">
        <v>0</v>
      </c>
      <c r="BC23" s="255">
        <v>0</v>
      </c>
      <c r="BD23" s="255">
        <v>0</v>
      </c>
      <c r="BE23" s="255">
        <v>0</v>
      </c>
      <c r="BF23" s="255">
        <v>0</v>
      </c>
      <c r="BG23" s="255">
        <v>0</v>
      </c>
      <c r="BH23" s="255">
        <v>0</v>
      </c>
      <c r="BI23" s="255">
        <v>0</v>
      </c>
      <c r="BJ23" s="255">
        <v>30000</v>
      </c>
      <c r="BK23" s="255">
        <v>0</v>
      </c>
      <c r="BL23" s="255">
        <v>0</v>
      </c>
      <c r="BM23" s="255">
        <v>0</v>
      </c>
      <c r="BN23" s="255">
        <v>0</v>
      </c>
      <c r="BO23" s="255">
        <v>0</v>
      </c>
      <c r="BP23" s="255">
        <v>0</v>
      </c>
      <c r="BQ23" s="255">
        <v>0</v>
      </c>
      <c r="BR23" s="255">
        <v>0</v>
      </c>
      <c r="BS23" s="255">
        <v>0</v>
      </c>
      <c r="BT23" s="255">
        <v>0</v>
      </c>
      <c r="BU23" s="255">
        <v>0</v>
      </c>
      <c r="BV23" s="255">
        <v>0</v>
      </c>
      <c r="BW23" s="255">
        <v>0</v>
      </c>
      <c r="BX23" s="255">
        <v>0</v>
      </c>
      <c r="BY23" s="255">
        <v>0</v>
      </c>
      <c r="BZ23" s="255">
        <v>0</v>
      </c>
      <c r="CA23" s="255">
        <v>0</v>
      </c>
      <c r="CB23" s="255">
        <v>0</v>
      </c>
      <c r="CC23" s="255">
        <v>0</v>
      </c>
      <c r="CD23" s="255">
        <v>0</v>
      </c>
      <c r="CE23" s="255">
        <v>0</v>
      </c>
      <c r="CF23" s="255">
        <v>0</v>
      </c>
      <c r="CG23" s="255">
        <v>0</v>
      </c>
      <c r="CH23" s="255">
        <v>0</v>
      </c>
      <c r="CI23" s="255">
        <v>0</v>
      </c>
      <c r="CJ23" s="255">
        <v>0</v>
      </c>
      <c r="CK23" s="255">
        <v>0</v>
      </c>
      <c r="CL23" s="255">
        <v>0</v>
      </c>
      <c r="CM23" s="255">
        <v>0</v>
      </c>
      <c r="CN23" s="255">
        <v>0</v>
      </c>
      <c r="CO23" s="255">
        <v>0</v>
      </c>
      <c r="CP23" s="255">
        <v>0</v>
      </c>
      <c r="CQ23" s="255">
        <v>0</v>
      </c>
      <c r="CR23" s="255">
        <v>0</v>
      </c>
      <c r="CS23" s="255">
        <v>0</v>
      </c>
      <c r="CT23" s="255">
        <v>0</v>
      </c>
      <c r="CU23" s="255">
        <v>0</v>
      </c>
      <c r="CV23" s="255">
        <v>0</v>
      </c>
      <c r="CW23" s="260"/>
      <c r="CX23" s="260"/>
      <c r="CY23" s="260"/>
      <c r="CZ23" s="260"/>
      <c r="DA23" s="260"/>
      <c r="DB23" s="260"/>
      <c r="DC23" s="260"/>
      <c r="DD23" s="260"/>
      <c r="DE23" s="260"/>
      <c r="DF23" s="260"/>
      <c r="DG23" s="260"/>
      <c r="DH23" s="260"/>
      <c r="DI23" s="260"/>
      <c r="DJ23" s="260"/>
      <c r="DK23" s="260"/>
      <c r="DL23" s="260"/>
      <c r="DM23" s="260"/>
      <c r="DN23" s="260"/>
      <c r="DO23" s="260"/>
      <c r="DP23" s="260"/>
    </row>
    <row r="24" spans="1:120" s="259" customFormat="1" ht="14.25" customHeight="1" x14ac:dyDescent="0.2">
      <c r="A24" s="276"/>
      <c r="B24" s="276"/>
      <c r="C24" s="276"/>
      <c r="D24" s="255" t="s">
        <v>109</v>
      </c>
      <c r="E24" s="255" t="s">
        <v>110</v>
      </c>
      <c r="F24" s="276" t="s">
        <v>79</v>
      </c>
      <c r="G24" s="276"/>
      <c r="H24" s="276"/>
      <c r="I24" s="276"/>
      <c r="J24" s="276"/>
      <c r="K24" s="276"/>
      <c r="L24" s="276"/>
      <c r="M24" s="276"/>
      <c r="N24" s="286">
        <f>SUMIF($O$8:$AV$8,"&gt;="&amp;'CURRENT FORECAST START DATE'!$C$4,'Weekly Spend'!O24:AV24)</f>
        <v>0</v>
      </c>
      <c r="O24" s="276">
        <v>0</v>
      </c>
      <c r="P24" s="276">
        <v>0</v>
      </c>
      <c r="Q24" s="276">
        <v>0</v>
      </c>
      <c r="R24" s="276">
        <v>0</v>
      </c>
      <c r="S24" s="255">
        <v>0</v>
      </c>
      <c r="T24" s="255">
        <v>0</v>
      </c>
      <c r="U24" s="255">
        <v>0</v>
      </c>
      <c r="V24" s="255">
        <v>0</v>
      </c>
      <c r="W24" s="255">
        <v>0</v>
      </c>
      <c r="X24" s="255">
        <f>2059.5+4907</f>
        <v>6966.5</v>
      </c>
      <c r="Y24" s="255">
        <v>0</v>
      </c>
      <c r="Z24" s="255">
        <v>0</v>
      </c>
      <c r="AA24" s="303">
        <v>4555</v>
      </c>
      <c r="AB24" s="255">
        <v>0</v>
      </c>
      <c r="AC24" s="255">
        <v>0</v>
      </c>
      <c r="AD24" s="255">
        <v>0</v>
      </c>
      <c r="AE24" s="255">
        <v>0</v>
      </c>
      <c r="AF24" s="255">
        <v>0</v>
      </c>
      <c r="AG24" s="255">
        <v>0</v>
      </c>
      <c r="AH24" s="255">
        <v>0</v>
      </c>
      <c r="AI24" s="255">
        <v>0</v>
      </c>
      <c r="AJ24" s="255">
        <v>0</v>
      </c>
      <c r="AK24" s="255">
        <v>0</v>
      </c>
      <c r="AL24" s="255">
        <v>0</v>
      </c>
      <c r="AM24" s="255">
        <v>0</v>
      </c>
      <c r="AN24" s="255">
        <v>0</v>
      </c>
      <c r="AO24" s="386">
        <v>0</v>
      </c>
      <c r="AP24" s="255">
        <v>0</v>
      </c>
      <c r="AQ24" s="255">
        <v>0</v>
      </c>
      <c r="AR24" s="255">
        <v>0</v>
      </c>
      <c r="AS24" s="255">
        <v>0</v>
      </c>
      <c r="AT24" s="255">
        <v>0</v>
      </c>
      <c r="AU24" s="255">
        <v>0</v>
      </c>
      <c r="AV24" s="255">
        <v>0</v>
      </c>
      <c r="AW24" s="255">
        <v>0</v>
      </c>
      <c r="AX24" s="255">
        <v>0</v>
      </c>
      <c r="AY24" s="255">
        <v>0</v>
      </c>
      <c r="AZ24" s="255">
        <v>0</v>
      </c>
      <c r="BA24" s="255">
        <v>0</v>
      </c>
      <c r="BB24" s="255">
        <v>0</v>
      </c>
      <c r="BC24" s="255">
        <v>0</v>
      </c>
      <c r="BD24" s="255">
        <v>0</v>
      </c>
      <c r="BE24" s="255">
        <v>0</v>
      </c>
      <c r="BF24" s="255">
        <v>0</v>
      </c>
      <c r="BG24" s="255">
        <v>0</v>
      </c>
      <c r="BH24" s="255">
        <v>0</v>
      </c>
      <c r="BI24" s="255">
        <v>0</v>
      </c>
      <c r="BJ24" s="255">
        <v>0</v>
      </c>
      <c r="BK24" s="255">
        <v>0</v>
      </c>
      <c r="BL24" s="255">
        <v>0</v>
      </c>
      <c r="BM24" s="255">
        <v>0</v>
      </c>
      <c r="BN24" s="255">
        <v>0</v>
      </c>
      <c r="BO24" s="255">
        <v>0</v>
      </c>
      <c r="BP24" s="255">
        <v>0</v>
      </c>
      <c r="BQ24" s="255">
        <v>0</v>
      </c>
      <c r="BR24" s="255">
        <v>0</v>
      </c>
      <c r="BS24" s="255">
        <v>0</v>
      </c>
      <c r="BT24" s="255">
        <v>0</v>
      </c>
      <c r="BU24" s="255">
        <v>0</v>
      </c>
      <c r="BV24" s="255">
        <v>0</v>
      </c>
      <c r="BW24" s="255">
        <v>0</v>
      </c>
      <c r="BX24" s="255">
        <v>0</v>
      </c>
      <c r="BY24" s="255">
        <v>0</v>
      </c>
      <c r="BZ24" s="255">
        <v>0</v>
      </c>
      <c r="CA24" s="255">
        <v>0</v>
      </c>
      <c r="CB24" s="255">
        <v>0</v>
      </c>
      <c r="CC24" s="255">
        <v>0</v>
      </c>
      <c r="CD24" s="255">
        <v>0</v>
      </c>
      <c r="CE24" s="255">
        <v>0</v>
      </c>
      <c r="CF24" s="255">
        <v>0</v>
      </c>
      <c r="CG24" s="255">
        <v>0</v>
      </c>
      <c r="CH24" s="255">
        <v>0</v>
      </c>
      <c r="CI24" s="255">
        <v>0</v>
      </c>
      <c r="CJ24" s="255">
        <v>0</v>
      </c>
      <c r="CK24" s="255">
        <v>0</v>
      </c>
      <c r="CL24" s="255">
        <v>0</v>
      </c>
      <c r="CM24" s="255">
        <v>0</v>
      </c>
      <c r="CN24" s="255">
        <v>0</v>
      </c>
      <c r="CO24" s="255">
        <v>0</v>
      </c>
      <c r="CP24" s="255">
        <v>0</v>
      </c>
      <c r="CQ24" s="255">
        <v>0</v>
      </c>
      <c r="CR24" s="255">
        <v>0</v>
      </c>
      <c r="CS24" s="255">
        <v>0</v>
      </c>
      <c r="CT24" s="255">
        <v>0</v>
      </c>
      <c r="CU24" s="255">
        <v>0</v>
      </c>
      <c r="CV24" s="255">
        <v>0</v>
      </c>
      <c r="CW24" s="255"/>
      <c r="CX24" s="255"/>
      <c r="CY24" s="255"/>
      <c r="CZ24" s="255"/>
      <c r="DA24" s="255"/>
      <c r="DB24" s="255"/>
      <c r="DC24" s="255"/>
      <c r="DD24" s="255"/>
      <c r="DE24" s="255"/>
      <c r="DF24" s="255"/>
      <c r="DG24" s="255"/>
      <c r="DH24" s="255"/>
      <c r="DI24" s="260"/>
      <c r="DJ24" s="260"/>
      <c r="DK24" s="260"/>
      <c r="DL24" s="260"/>
      <c r="DM24" s="260"/>
      <c r="DN24" s="260"/>
      <c r="DO24" s="260"/>
      <c r="DP24" s="260"/>
    </row>
    <row r="25" spans="1:120" s="264" customFormat="1" ht="15.75" customHeight="1" thickBot="1" x14ac:dyDescent="0.25">
      <c r="A25" s="261"/>
      <c r="B25" s="261"/>
      <c r="C25" s="261"/>
      <c r="D25" s="261" t="s">
        <v>77</v>
      </c>
      <c r="E25" s="261" t="s">
        <v>78</v>
      </c>
      <c r="F25" s="261" t="s">
        <v>111</v>
      </c>
      <c r="G25" s="261"/>
      <c r="H25" s="261"/>
      <c r="I25" s="261"/>
      <c r="J25" s="261"/>
      <c r="K25" s="261"/>
      <c r="L25" s="262"/>
      <c r="M25" s="261"/>
      <c r="N25" s="288">
        <f>SUMIF($O$8:$AV$8,"&gt;="&amp;'CURRENT FORECAST START DATE'!$C$4,'Weekly Spend'!O25:AV25)</f>
        <v>0</v>
      </c>
      <c r="O25" s="261">
        <v>0</v>
      </c>
      <c r="P25" s="261">
        <v>0</v>
      </c>
      <c r="Q25" s="261">
        <v>0</v>
      </c>
      <c r="R25" s="261">
        <v>0</v>
      </c>
      <c r="S25" s="261">
        <v>0</v>
      </c>
      <c r="T25" s="261">
        <v>0</v>
      </c>
      <c r="U25" s="261">
        <v>0</v>
      </c>
      <c r="V25" s="261">
        <v>0</v>
      </c>
      <c r="W25" s="261">
        <v>0</v>
      </c>
      <c r="X25" s="261">
        <v>0</v>
      </c>
      <c r="Y25" s="261">
        <v>0</v>
      </c>
      <c r="Z25" s="261">
        <v>0</v>
      </c>
      <c r="AA25" s="261">
        <v>0</v>
      </c>
      <c r="AB25" s="261">
        <v>0</v>
      </c>
      <c r="AC25" s="261">
        <v>0</v>
      </c>
      <c r="AD25" s="261">
        <v>0</v>
      </c>
      <c r="AE25" s="261">
        <v>0</v>
      </c>
      <c r="AF25" s="261">
        <v>0</v>
      </c>
      <c r="AG25" s="261">
        <v>0</v>
      </c>
      <c r="AH25" s="261">
        <v>0</v>
      </c>
      <c r="AI25" s="261">
        <v>0</v>
      </c>
      <c r="AJ25" s="261">
        <v>0</v>
      </c>
      <c r="AK25" s="261">
        <v>0</v>
      </c>
      <c r="AL25" s="261">
        <v>0</v>
      </c>
      <c r="AM25" s="261">
        <v>0</v>
      </c>
      <c r="AN25" s="261">
        <v>0</v>
      </c>
      <c r="AO25" s="387">
        <v>0</v>
      </c>
      <c r="AP25" s="261">
        <v>0</v>
      </c>
      <c r="AQ25" s="261">
        <v>0</v>
      </c>
      <c r="AR25" s="261">
        <v>0</v>
      </c>
      <c r="AS25" s="261">
        <v>0</v>
      </c>
      <c r="AT25" s="261">
        <v>0</v>
      </c>
      <c r="AU25" s="261">
        <v>0</v>
      </c>
      <c r="AV25" s="261">
        <v>0</v>
      </c>
      <c r="AW25" s="261">
        <v>0</v>
      </c>
      <c r="AX25" s="261">
        <v>0</v>
      </c>
      <c r="AY25" s="261">
        <v>0</v>
      </c>
      <c r="AZ25" s="261">
        <v>0</v>
      </c>
      <c r="BA25" s="261">
        <v>0</v>
      </c>
      <c r="BB25" s="261">
        <v>0</v>
      </c>
      <c r="BC25" s="261">
        <v>0</v>
      </c>
      <c r="BD25" s="261">
        <v>0</v>
      </c>
      <c r="BE25" s="261">
        <v>0</v>
      </c>
      <c r="BF25" s="261">
        <v>0</v>
      </c>
      <c r="BG25" s="261">
        <v>0</v>
      </c>
      <c r="BH25" s="261">
        <v>0</v>
      </c>
      <c r="BI25" s="261">
        <v>0</v>
      </c>
      <c r="BJ25" s="261">
        <v>0</v>
      </c>
      <c r="BK25" s="261">
        <v>0</v>
      </c>
      <c r="BL25" s="261">
        <v>0</v>
      </c>
      <c r="BM25" s="261">
        <v>0</v>
      </c>
      <c r="BN25" s="261">
        <v>0</v>
      </c>
      <c r="BO25" s="261">
        <v>0</v>
      </c>
      <c r="BP25" s="261">
        <v>0</v>
      </c>
      <c r="BQ25" s="261">
        <v>0</v>
      </c>
      <c r="BR25" s="261">
        <v>0</v>
      </c>
      <c r="BS25" s="261">
        <v>0</v>
      </c>
      <c r="BT25" s="261">
        <v>0</v>
      </c>
      <c r="BU25" s="261">
        <v>0</v>
      </c>
      <c r="BV25" s="261">
        <v>0</v>
      </c>
      <c r="BW25" s="261">
        <v>0</v>
      </c>
      <c r="BX25" s="261">
        <v>0</v>
      </c>
      <c r="BY25" s="261">
        <v>0</v>
      </c>
      <c r="BZ25" s="261">
        <v>0</v>
      </c>
      <c r="CA25" s="261">
        <v>0</v>
      </c>
      <c r="CB25" s="261">
        <v>0</v>
      </c>
      <c r="CC25" s="261">
        <v>0</v>
      </c>
      <c r="CD25" s="261">
        <v>0</v>
      </c>
      <c r="CE25" s="261">
        <v>0</v>
      </c>
      <c r="CF25" s="261">
        <v>0</v>
      </c>
      <c r="CG25" s="261">
        <v>0</v>
      </c>
      <c r="CH25" s="261">
        <v>0</v>
      </c>
      <c r="CI25" s="261">
        <v>0</v>
      </c>
      <c r="CJ25" s="261">
        <v>0</v>
      </c>
      <c r="CK25" s="261">
        <v>0</v>
      </c>
      <c r="CL25" s="261">
        <v>0</v>
      </c>
      <c r="CM25" s="261">
        <v>0</v>
      </c>
      <c r="CN25" s="261">
        <v>0</v>
      </c>
      <c r="CO25" s="261">
        <v>0</v>
      </c>
      <c r="CP25" s="261">
        <v>0</v>
      </c>
      <c r="CQ25" s="261">
        <v>0</v>
      </c>
      <c r="CR25" s="261">
        <v>0</v>
      </c>
      <c r="CS25" s="261">
        <v>0</v>
      </c>
      <c r="CT25" s="261">
        <v>0</v>
      </c>
      <c r="CU25" s="261">
        <v>0</v>
      </c>
      <c r="CV25" s="261">
        <v>0</v>
      </c>
      <c r="CW25" s="263"/>
      <c r="CX25" s="263"/>
      <c r="CY25" s="263"/>
    </row>
    <row r="26" spans="1:120" s="264" customFormat="1" ht="14.25" customHeight="1" thickBot="1" x14ac:dyDescent="0.25">
      <c r="A26" s="261"/>
      <c r="B26" s="261"/>
      <c r="C26" s="261"/>
      <c r="D26" s="261" t="s">
        <v>87</v>
      </c>
      <c r="E26" s="261" t="s">
        <v>112</v>
      </c>
      <c r="F26" s="261" t="s">
        <v>111</v>
      </c>
      <c r="G26" s="261"/>
      <c r="H26" s="261"/>
      <c r="I26" s="261"/>
      <c r="J26" s="261"/>
      <c r="K26" s="261"/>
      <c r="L26" s="261"/>
      <c r="M26" s="261"/>
      <c r="N26" s="288">
        <f>SUMIF($O$8:$AV$8,"&gt;="&amp;'CURRENT FORECAST START DATE'!$C$4,'Weekly Spend'!O26:AV26)</f>
        <v>94250</v>
      </c>
      <c r="O26" s="261">
        <v>0</v>
      </c>
      <c r="P26" s="261">
        <v>0</v>
      </c>
      <c r="Q26" s="261">
        <v>0</v>
      </c>
      <c r="R26" s="261">
        <v>0</v>
      </c>
      <c r="S26" s="261">
        <v>0</v>
      </c>
      <c r="T26" s="261">
        <v>0</v>
      </c>
      <c r="U26" s="261">
        <v>0</v>
      </c>
      <c r="V26" s="261">
        <v>0</v>
      </c>
      <c r="W26" s="261">
        <v>0</v>
      </c>
      <c r="X26" s="303">
        <v>118750</v>
      </c>
      <c r="Y26" s="261">
        <v>0</v>
      </c>
      <c r="Z26" s="261">
        <v>0</v>
      </c>
      <c r="AA26" s="261">
        <v>0</v>
      </c>
      <c r="AB26" s="261"/>
      <c r="AC26" s="303">
        <v>37500</v>
      </c>
      <c r="AD26" s="261">
        <v>0</v>
      </c>
      <c r="AE26" s="261">
        <v>0</v>
      </c>
      <c r="AF26" s="261">
        <v>0</v>
      </c>
      <c r="AG26" s="261">
        <v>0</v>
      </c>
      <c r="AH26" s="261">
        <v>0</v>
      </c>
      <c r="AI26" s="261">
        <v>0</v>
      </c>
      <c r="AJ26" s="261"/>
      <c r="AK26" s="261">
        <v>0</v>
      </c>
      <c r="AL26" s="261">
        <v>0</v>
      </c>
      <c r="AM26" s="261">
        <v>0</v>
      </c>
      <c r="AN26" s="261">
        <v>0</v>
      </c>
      <c r="AO26" s="387"/>
      <c r="AQ26" s="317">
        <v>0</v>
      </c>
      <c r="AR26" s="261">
        <v>0</v>
      </c>
      <c r="AS26" s="414">
        <f>37500+25000+13000</f>
        <v>75500</v>
      </c>
      <c r="AT26" s="415">
        <v>18750</v>
      </c>
      <c r="AU26" s="261">
        <v>0</v>
      </c>
      <c r="AV26" s="261">
        <v>0</v>
      </c>
      <c r="AW26" s="261">
        <v>0</v>
      </c>
      <c r="AX26" s="402">
        <v>38000</v>
      </c>
      <c r="AY26" s="261">
        <v>0</v>
      </c>
      <c r="AZ26" s="261">
        <v>0</v>
      </c>
      <c r="BA26" s="261">
        <v>0</v>
      </c>
      <c r="BB26" s="261">
        <v>0</v>
      </c>
      <c r="BC26" s="261">
        <v>0</v>
      </c>
      <c r="BD26" s="261">
        <v>0</v>
      </c>
      <c r="BE26" s="261">
        <v>0</v>
      </c>
      <c r="BF26" s="261">
        <v>0</v>
      </c>
      <c r="BG26" s="261">
        <v>0</v>
      </c>
      <c r="BH26" s="261">
        <v>0</v>
      </c>
      <c r="BI26" s="261">
        <v>0</v>
      </c>
      <c r="BJ26" s="261">
        <v>0</v>
      </c>
      <c r="BK26" s="261">
        <v>0</v>
      </c>
      <c r="BL26" s="261">
        <v>0</v>
      </c>
      <c r="BM26" s="261">
        <v>0</v>
      </c>
      <c r="BN26" s="261">
        <v>0</v>
      </c>
      <c r="BO26" s="261">
        <v>0</v>
      </c>
      <c r="BP26" s="261">
        <v>0</v>
      </c>
      <c r="BQ26" s="261">
        <v>0</v>
      </c>
      <c r="BR26" s="261">
        <v>0</v>
      </c>
      <c r="BS26" s="261">
        <v>0</v>
      </c>
      <c r="BT26" s="261">
        <v>0</v>
      </c>
      <c r="BU26" s="261">
        <v>0</v>
      </c>
      <c r="BV26" s="261">
        <v>0</v>
      </c>
      <c r="BW26" s="261">
        <v>0</v>
      </c>
      <c r="BX26" s="261">
        <v>0</v>
      </c>
      <c r="BY26" s="261">
        <v>0</v>
      </c>
      <c r="BZ26" s="261">
        <v>0</v>
      </c>
      <c r="CA26" s="261">
        <v>0</v>
      </c>
      <c r="CB26" s="261">
        <v>0</v>
      </c>
      <c r="CC26" s="261">
        <v>0</v>
      </c>
      <c r="CD26" s="261">
        <v>0</v>
      </c>
      <c r="CE26" s="261">
        <v>0</v>
      </c>
      <c r="CF26" s="261">
        <v>0</v>
      </c>
      <c r="CG26" s="261">
        <v>0</v>
      </c>
      <c r="CH26" s="261">
        <v>0</v>
      </c>
      <c r="CI26" s="261">
        <v>0</v>
      </c>
      <c r="CJ26" s="261">
        <v>0</v>
      </c>
      <c r="CK26" s="261">
        <v>0</v>
      </c>
      <c r="CL26" s="261">
        <v>0</v>
      </c>
      <c r="CM26" s="261">
        <v>0</v>
      </c>
      <c r="CN26" s="261">
        <v>0</v>
      </c>
      <c r="CO26" s="261">
        <v>0</v>
      </c>
      <c r="CP26" s="261">
        <v>0</v>
      </c>
      <c r="CQ26" s="261">
        <v>0</v>
      </c>
      <c r="CR26" s="261">
        <v>0</v>
      </c>
      <c r="CS26" s="261">
        <v>0</v>
      </c>
      <c r="CT26" s="261">
        <v>0</v>
      </c>
      <c r="CU26" s="261">
        <v>0</v>
      </c>
      <c r="CV26" s="261">
        <v>0</v>
      </c>
      <c r="CW26" s="265"/>
      <c r="CX26" s="265"/>
      <c r="CY26" s="265"/>
      <c r="CZ26" s="265"/>
      <c r="DA26" s="265"/>
      <c r="DB26" s="265"/>
      <c r="DC26" s="265"/>
      <c r="DD26" s="265"/>
      <c r="DE26" s="265"/>
      <c r="DF26" s="265"/>
      <c r="DG26" s="265"/>
      <c r="DH26" s="265"/>
      <c r="DI26" s="265"/>
      <c r="DJ26" s="265"/>
      <c r="DK26" s="265"/>
      <c r="DL26" s="265"/>
      <c r="DM26" s="265"/>
      <c r="DN26" s="265"/>
      <c r="DO26" s="265"/>
      <c r="DP26" s="265"/>
    </row>
    <row r="27" spans="1:120" s="264" customFormat="1" ht="14.25" customHeight="1" thickBot="1" x14ac:dyDescent="0.25">
      <c r="A27" s="261"/>
      <c r="B27" s="261"/>
      <c r="C27" s="261"/>
      <c r="D27" s="261" t="s">
        <v>87</v>
      </c>
      <c r="E27" s="261" t="s">
        <v>113</v>
      </c>
      <c r="F27" s="261" t="s">
        <v>111</v>
      </c>
      <c r="G27" s="261"/>
      <c r="H27" s="261"/>
      <c r="I27" s="261"/>
      <c r="J27" s="261"/>
      <c r="K27" s="261"/>
      <c r="L27" s="261"/>
      <c r="M27" s="261"/>
      <c r="N27" s="288">
        <f>SUMIF($O$8:$AV$8,"&gt;="&amp;'CURRENT FORECAST START DATE'!$C$4,'Weekly Spend'!O27:AV27)</f>
        <v>0</v>
      </c>
      <c r="O27" s="261">
        <v>0</v>
      </c>
      <c r="P27" s="261">
        <v>0</v>
      </c>
      <c r="Q27" s="261">
        <v>0</v>
      </c>
      <c r="R27" s="261">
        <v>0</v>
      </c>
      <c r="S27" s="261">
        <v>0</v>
      </c>
      <c r="T27" s="261">
        <v>0</v>
      </c>
      <c r="U27" s="261">
        <v>0</v>
      </c>
      <c r="V27" s="261">
        <v>0</v>
      </c>
      <c r="W27" s="261">
        <v>0</v>
      </c>
      <c r="X27" s="261">
        <v>0</v>
      </c>
      <c r="Y27" s="261">
        <v>0</v>
      </c>
      <c r="Z27" s="261">
        <v>0</v>
      </c>
      <c r="AA27" s="261">
        <v>0</v>
      </c>
      <c r="AB27" s="261">
        <v>0</v>
      </c>
      <c r="AC27" s="261">
        <v>0</v>
      </c>
      <c r="AD27" s="261">
        <v>0</v>
      </c>
      <c r="AE27" s="261">
        <v>0</v>
      </c>
      <c r="AF27" s="261">
        <v>0</v>
      </c>
      <c r="AG27" s="261">
        <v>0</v>
      </c>
      <c r="AH27" s="261">
        <v>0</v>
      </c>
      <c r="AI27" s="261">
        <v>0</v>
      </c>
      <c r="AJ27" s="261">
        <v>0</v>
      </c>
      <c r="AK27" s="261">
        <v>0</v>
      </c>
      <c r="AL27" s="261">
        <v>0</v>
      </c>
      <c r="AM27" s="261">
        <v>0</v>
      </c>
      <c r="AN27" s="261">
        <v>0</v>
      </c>
      <c r="AO27" s="387">
        <v>0</v>
      </c>
      <c r="AP27" s="261">
        <v>0</v>
      </c>
      <c r="AQ27" s="261">
        <v>0</v>
      </c>
      <c r="AR27" s="261">
        <v>0</v>
      </c>
      <c r="AS27" s="261">
        <v>0</v>
      </c>
      <c r="AT27" s="261">
        <v>0</v>
      </c>
      <c r="AU27" s="261">
        <v>0</v>
      </c>
      <c r="AV27" s="261">
        <v>0</v>
      </c>
      <c r="AW27" s="261">
        <v>0</v>
      </c>
      <c r="AX27" s="261">
        <v>0</v>
      </c>
      <c r="AY27" s="261">
        <v>0</v>
      </c>
      <c r="AZ27" s="261">
        <v>0</v>
      </c>
      <c r="BA27" s="261">
        <v>0</v>
      </c>
      <c r="BB27" s="261">
        <v>0</v>
      </c>
      <c r="BC27" s="261">
        <v>0</v>
      </c>
      <c r="BD27" s="261">
        <v>0</v>
      </c>
      <c r="BE27" s="261">
        <v>0</v>
      </c>
      <c r="BF27" s="261">
        <v>0</v>
      </c>
      <c r="BG27" s="261">
        <v>0</v>
      </c>
      <c r="BH27" s="261">
        <v>0</v>
      </c>
      <c r="BI27" s="261">
        <v>0</v>
      </c>
      <c r="BJ27" s="261">
        <v>0</v>
      </c>
      <c r="BK27" s="261">
        <v>0</v>
      </c>
      <c r="BL27" s="261">
        <v>0</v>
      </c>
      <c r="BM27" s="261">
        <v>0</v>
      </c>
      <c r="BN27" s="261">
        <v>0</v>
      </c>
      <c r="BO27" s="261">
        <v>0</v>
      </c>
      <c r="BP27" s="261">
        <v>0</v>
      </c>
      <c r="BQ27" s="261">
        <v>0</v>
      </c>
      <c r="BR27" s="261">
        <v>0</v>
      </c>
      <c r="BS27" s="261">
        <v>0</v>
      </c>
      <c r="BT27" s="261">
        <v>0</v>
      </c>
      <c r="BU27" s="261">
        <v>0</v>
      </c>
      <c r="BV27" s="261">
        <v>0</v>
      </c>
      <c r="BW27" s="261">
        <v>0</v>
      </c>
      <c r="BX27" s="261">
        <v>0</v>
      </c>
      <c r="BY27" s="261">
        <v>0</v>
      </c>
      <c r="BZ27" s="261">
        <v>0</v>
      </c>
      <c r="CA27" s="261">
        <v>0</v>
      </c>
      <c r="CB27" s="261">
        <v>0</v>
      </c>
      <c r="CC27" s="261">
        <v>0</v>
      </c>
      <c r="CD27" s="261">
        <v>0</v>
      </c>
      <c r="CE27" s="261">
        <v>0</v>
      </c>
      <c r="CF27" s="261">
        <v>0</v>
      </c>
      <c r="CG27" s="261">
        <v>0</v>
      </c>
      <c r="CH27" s="261">
        <v>0</v>
      </c>
      <c r="CI27" s="261">
        <v>0</v>
      </c>
      <c r="CJ27" s="261">
        <v>0</v>
      </c>
      <c r="CK27" s="261">
        <v>0</v>
      </c>
      <c r="CL27" s="261">
        <v>0</v>
      </c>
      <c r="CM27" s="261">
        <v>0</v>
      </c>
      <c r="CN27" s="261">
        <v>0</v>
      </c>
      <c r="CO27" s="261">
        <v>0</v>
      </c>
      <c r="CP27" s="261">
        <v>0</v>
      </c>
      <c r="CQ27" s="261">
        <v>0</v>
      </c>
      <c r="CR27" s="261">
        <v>0</v>
      </c>
      <c r="CS27" s="261">
        <v>0</v>
      </c>
      <c r="CT27" s="261">
        <v>0</v>
      </c>
      <c r="CU27" s="261">
        <v>0</v>
      </c>
      <c r="CV27" s="261">
        <v>0</v>
      </c>
      <c r="CW27" s="265"/>
      <c r="CX27" s="265"/>
      <c r="CY27" s="265"/>
      <c r="CZ27" s="265"/>
      <c r="DA27" s="265"/>
      <c r="DB27" s="265"/>
      <c r="DC27" s="265"/>
      <c r="DD27" s="265"/>
      <c r="DE27" s="265"/>
      <c r="DF27" s="265"/>
      <c r="DG27" s="265"/>
      <c r="DH27" s="265"/>
      <c r="DI27" s="265"/>
      <c r="DJ27" s="265"/>
      <c r="DK27" s="265"/>
      <c r="DL27" s="265"/>
      <c r="DM27" s="265"/>
      <c r="DN27" s="265"/>
      <c r="DO27" s="265"/>
      <c r="DP27" s="265"/>
    </row>
    <row r="28" spans="1:120" s="264" customFormat="1" ht="14" customHeight="1" thickBot="1" x14ac:dyDescent="0.25">
      <c r="A28" s="261"/>
      <c r="B28" s="261"/>
      <c r="C28" s="261"/>
      <c r="D28" s="408" t="s">
        <v>89</v>
      </c>
      <c r="E28" s="412" t="s">
        <v>90</v>
      </c>
      <c r="F28" s="261" t="s">
        <v>111</v>
      </c>
      <c r="G28" s="261"/>
      <c r="H28" s="261"/>
      <c r="I28" s="261"/>
      <c r="J28" s="261"/>
      <c r="K28" s="261"/>
      <c r="L28" s="261"/>
      <c r="M28" s="261"/>
      <c r="N28" s="288">
        <f>SUMIF($O$8:$AV$8,"&gt;="&amp;'CURRENT FORECAST START DATE'!$C$4,'Weekly Spend'!O28:AV28)</f>
        <v>155000</v>
      </c>
      <c r="O28" s="261">
        <v>0</v>
      </c>
      <c r="P28" s="261">
        <v>0</v>
      </c>
      <c r="Q28" s="261">
        <v>0</v>
      </c>
      <c r="R28" s="261">
        <v>0</v>
      </c>
      <c r="S28" s="261">
        <v>0</v>
      </c>
      <c r="T28" s="261">
        <v>0</v>
      </c>
      <c r="U28" s="261">
        <v>0</v>
      </c>
      <c r="V28" s="261">
        <v>0</v>
      </c>
      <c r="W28" s="261">
        <v>0</v>
      </c>
      <c r="X28" s="261">
        <v>0</v>
      </c>
      <c r="Y28" s="261">
        <v>0</v>
      </c>
      <c r="Z28" s="261">
        <v>0</v>
      </c>
      <c r="AA28" s="261"/>
      <c r="AB28" s="261">
        <v>0</v>
      </c>
      <c r="AC28" s="261">
        <v>0</v>
      </c>
      <c r="AD28" s="261">
        <v>0</v>
      </c>
      <c r="AE28" s="317"/>
      <c r="AF28" s="261">
        <v>0</v>
      </c>
      <c r="AG28" s="317">
        <v>0</v>
      </c>
      <c r="AH28" s="261">
        <v>0</v>
      </c>
      <c r="AI28" s="261">
        <v>0</v>
      </c>
      <c r="AJ28" s="261">
        <v>0</v>
      </c>
      <c r="AK28" s="261">
        <v>0</v>
      </c>
      <c r="AL28" s="261">
        <v>0</v>
      </c>
      <c r="AM28" s="421">
        <v>0</v>
      </c>
      <c r="AN28" s="261">
        <v>0</v>
      </c>
      <c r="AO28" s="387">
        <v>0</v>
      </c>
      <c r="AP28" s="406"/>
      <c r="AQ28" s="415">
        <v>155000</v>
      </c>
      <c r="AR28" s="261">
        <v>0</v>
      </c>
      <c r="AS28" s="261">
        <v>0</v>
      </c>
      <c r="AT28" s="261">
        <v>0</v>
      </c>
      <c r="AU28" s="261">
        <v>0</v>
      </c>
      <c r="AV28" s="405"/>
      <c r="AW28" s="261">
        <v>0</v>
      </c>
      <c r="AX28" s="261">
        <v>0</v>
      </c>
      <c r="AY28" s="261">
        <v>0</v>
      </c>
      <c r="AZ28" s="261">
        <v>0</v>
      </c>
      <c r="BA28" s="261">
        <v>0</v>
      </c>
      <c r="BB28" s="261">
        <v>0</v>
      </c>
      <c r="BC28" s="401">
        <v>50000</v>
      </c>
      <c r="BD28" s="261">
        <v>0</v>
      </c>
      <c r="BE28" s="401">
        <v>155000</v>
      </c>
      <c r="BF28" s="261">
        <v>0</v>
      </c>
      <c r="BG28" s="261">
        <v>0</v>
      </c>
      <c r="BH28" s="401">
        <v>45000</v>
      </c>
      <c r="BI28" s="261">
        <v>0</v>
      </c>
      <c r="BJ28" s="261">
        <v>0</v>
      </c>
      <c r="BK28" s="261">
        <v>0</v>
      </c>
      <c r="BL28" s="261">
        <v>0</v>
      </c>
      <c r="BM28" s="261">
        <v>0</v>
      </c>
      <c r="BN28" s="261">
        <v>0</v>
      </c>
      <c r="BO28" s="261">
        <v>0</v>
      </c>
      <c r="BP28" s="261">
        <v>0</v>
      </c>
      <c r="BQ28" s="261">
        <v>0</v>
      </c>
      <c r="BR28" s="261">
        <v>0</v>
      </c>
      <c r="BS28" s="261">
        <v>0</v>
      </c>
      <c r="BT28" s="261">
        <v>0</v>
      </c>
      <c r="BU28" s="261">
        <v>0</v>
      </c>
      <c r="BV28" s="261">
        <v>0</v>
      </c>
      <c r="BW28" s="261">
        <v>0</v>
      </c>
      <c r="BX28" s="261">
        <v>0</v>
      </c>
      <c r="BY28" s="261">
        <v>0</v>
      </c>
      <c r="BZ28" s="261">
        <v>0</v>
      </c>
      <c r="CA28" s="261">
        <v>0</v>
      </c>
      <c r="CB28" s="261">
        <v>0</v>
      </c>
      <c r="CC28" s="261">
        <v>0</v>
      </c>
      <c r="CD28" s="261">
        <v>0</v>
      </c>
      <c r="CE28" s="261">
        <v>0</v>
      </c>
      <c r="CF28" s="261">
        <v>0</v>
      </c>
      <c r="CG28" s="261">
        <v>0</v>
      </c>
      <c r="CH28" s="261">
        <v>0</v>
      </c>
      <c r="CI28" s="261">
        <v>0</v>
      </c>
      <c r="CJ28" s="261">
        <v>0</v>
      </c>
      <c r="CK28" s="261">
        <v>0</v>
      </c>
      <c r="CL28" s="261">
        <v>0</v>
      </c>
      <c r="CM28" s="261">
        <v>0</v>
      </c>
      <c r="CN28" s="261">
        <v>0</v>
      </c>
      <c r="CO28" s="261">
        <v>0</v>
      </c>
      <c r="CP28" s="261">
        <v>0</v>
      </c>
      <c r="CQ28" s="261">
        <v>0</v>
      </c>
      <c r="CR28" s="261">
        <v>0</v>
      </c>
      <c r="CS28" s="261">
        <v>0</v>
      </c>
      <c r="CT28" s="261">
        <v>0</v>
      </c>
      <c r="CU28" s="261">
        <v>0</v>
      </c>
      <c r="CV28" s="261">
        <v>0</v>
      </c>
      <c r="CW28" s="265"/>
      <c r="CX28" s="265"/>
      <c r="CY28" s="265"/>
      <c r="CZ28" s="265"/>
      <c r="DA28" s="265"/>
      <c r="DB28" s="265"/>
      <c r="DC28" s="265"/>
      <c r="DD28" s="265"/>
      <c r="DE28" s="265"/>
      <c r="DF28" s="265"/>
      <c r="DG28" s="265"/>
      <c r="DH28" s="265"/>
      <c r="DI28" s="265"/>
      <c r="DJ28" s="265"/>
      <c r="DK28" s="265"/>
      <c r="DL28" s="265"/>
      <c r="DM28" s="265"/>
      <c r="DN28" s="265"/>
      <c r="DO28" s="265"/>
      <c r="DP28" s="265"/>
    </row>
    <row r="29" spans="1:120" s="264" customFormat="1" ht="14" customHeight="1" thickBot="1" x14ac:dyDescent="0.25">
      <c r="A29" s="261"/>
      <c r="B29" s="261"/>
      <c r="C29" s="261"/>
      <c r="D29" s="409" t="s">
        <v>89</v>
      </c>
      <c r="E29" s="413" t="s">
        <v>100</v>
      </c>
      <c r="F29" s="261" t="s">
        <v>111</v>
      </c>
      <c r="G29" s="261"/>
      <c r="H29" s="261"/>
      <c r="I29" s="261"/>
      <c r="J29" s="261"/>
      <c r="K29" s="261"/>
      <c r="L29" s="261"/>
      <c r="M29" s="261"/>
      <c r="N29" s="288">
        <f>SUMIF($O$8:$AV$8,"&gt;="&amp;'CURRENT FORECAST START DATE'!$C$4,'Weekly Spend'!O29:AV29)</f>
        <v>0</v>
      </c>
      <c r="O29" s="261">
        <v>0</v>
      </c>
      <c r="P29" s="261">
        <v>0</v>
      </c>
      <c r="Q29" s="261">
        <v>0</v>
      </c>
      <c r="R29" s="261">
        <v>0</v>
      </c>
      <c r="S29" s="261">
        <v>0</v>
      </c>
      <c r="T29" s="261">
        <v>0</v>
      </c>
      <c r="U29" s="261">
        <v>0</v>
      </c>
      <c r="V29" s="261">
        <v>0</v>
      </c>
      <c r="W29" s="261">
        <v>0</v>
      </c>
      <c r="X29" s="261">
        <v>0</v>
      </c>
      <c r="Y29" s="261">
        <v>0</v>
      </c>
      <c r="Z29" s="261">
        <v>0</v>
      </c>
      <c r="AA29" s="261"/>
      <c r="AB29" s="261">
        <v>0</v>
      </c>
      <c r="AC29" s="261">
        <v>0</v>
      </c>
      <c r="AD29" s="261">
        <v>0</v>
      </c>
      <c r="AE29" s="261">
        <v>0</v>
      </c>
      <c r="AF29" s="261">
        <v>0</v>
      </c>
      <c r="AG29" s="317"/>
      <c r="AH29" s="261">
        <v>0</v>
      </c>
      <c r="AI29" s="261"/>
      <c r="AJ29" s="317"/>
      <c r="AK29" s="317"/>
      <c r="AL29" s="261">
        <v>0</v>
      </c>
      <c r="AM29" s="261">
        <v>0</v>
      </c>
      <c r="AN29" s="261">
        <v>0</v>
      </c>
      <c r="AO29" s="403"/>
      <c r="AP29" s="261">
        <v>0</v>
      </c>
      <c r="AQ29" s="261">
        <v>0</v>
      </c>
      <c r="AR29" s="261">
        <v>0</v>
      </c>
      <c r="AS29" s="261">
        <v>0</v>
      </c>
      <c r="AT29" s="261">
        <v>0</v>
      </c>
      <c r="AU29" s="261">
        <v>0</v>
      </c>
      <c r="AV29" s="261">
        <v>0</v>
      </c>
      <c r="AW29" s="261">
        <v>0</v>
      </c>
      <c r="AX29" s="261">
        <v>0</v>
      </c>
      <c r="AY29" s="261">
        <v>0</v>
      </c>
      <c r="AZ29" s="261">
        <v>0</v>
      </c>
      <c r="BA29" s="261">
        <v>0</v>
      </c>
      <c r="BB29" s="261">
        <v>0</v>
      </c>
      <c r="BC29" s="261">
        <v>0</v>
      </c>
      <c r="BD29" s="261">
        <v>0</v>
      </c>
      <c r="BE29" s="261">
        <v>0</v>
      </c>
      <c r="BF29" s="261">
        <v>0</v>
      </c>
      <c r="BG29" s="261">
        <v>0</v>
      </c>
      <c r="BH29" s="261">
        <v>0</v>
      </c>
      <c r="BI29" s="261">
        <v>0</v>
      </c>
      <c r="BJ29" s="261">
        <v>0</v>
      </c>
      <c r="BK29" s="261">
        <v>0</v>
      </c>
      <c r="BL29" s="261">
        <v>0</v>
      </c>
      <c r="BM29" s="261">
        <v>0</v>
      </c>
      <c r="BN29" s="261">
        <v>0</v>
      </c>
      <c r="BO29" s="261">
        <v>0</v>
      </c>
      <c r="BP29" s="261">
        <v>0</v>
      </c>
      <c r="BQ29" s="261">
        <v>0</v>
      </c>
      <c r="BR29" s="261">
        <v>0</v>
      </c>
      <c r="BS29" s="261">
        <v>0</v>
      </c>
      <c r="BT29" s="261">
        <v>0</v>
      </c>
      <c r="BU29" s="261">
        <v>0</v>
      </c>
      <c r="BV29" s="261">
        <v>0</v>
      </c>
      <c r="BW29" s="261">
        <v>0</v>
      </c>
      <c r="BX29" s="261">
        <v>0</v>
      </c>
      <c r="BY29" s="261">
        <v>0</v>
      </c>
      <c r="BZ29" s="261">
        <v>0</v>
      </c>
      <c r="CA29" s="261">
        <v>0</v>
      </c>
      <c r="CB29" s="261">
        <v>0</v>
      </c>
      <c r="CC29" s="261">
        <v>0</v>
      </c>
      <c r="CD29" s="261">
        <v>0</v>
      </c>
      <c r="CE29" s="261">
        <v>0</v>
      </c>
      <c r="CF29" s="261">
        <v>0</v>
      </c>
      <c r="CG29" s="261">
        <v>0</v>
      </c>
      <c r="CH29" s="261">
        <v>0</v>
      </c>
      <c r="CI29" s="261">
        <v>0</v>
      </c>
      <c r="CJ29" s="261">
        <v>0</v>
      </c>
      <c r="CK29" s="261">
        <v>0</v>
      </c>
      <c r="CL29" s="261">
        <v>0</v>
      </c>
      <c r="CM29" s="261">
        <v>0</v>
      </c>
      <c r="CN29" s="261">
        <v>0</v>
      </c>
      <c r="CO29" s="261">
        <v>0</v>
      </c>
      <c r="CP29" s="261">
        <v>0</v>
      </c>
      <c r="CQ29" s="261">
        <v>0</v>
      </c>
      <c r="CR29" s="261">
        <v>0</v>
      </c>
      <c r="CS29" s="261">
        <v>0</v>
      </c>
      <c r="CT29" s="261">
        <v>0</v>
      </c>
      <c r="CU29" s="261">
        <v>0</v>
      </c>
      <c r="CV29" s="261">
        <v>0</v>
      </c>
      <c r="CW29" s="265"/>
      <c r="CX29" s="265"/>
      <c r="CY29" s="265"/>
      <c r="CZ29" s="265"/>
      <c r="DA29" s="265"/>
      <c r="DB29" s="265"/>
      <c r="DC29" s="265"/>
      <c r="DD29" s="265"/>
      <c r="DE29" s="265"/>
      <c r="DF29" s="265"/>
      <c r="DG29" s="265"/>
      <c r="DH29" s="265"/>
      <c r="DI29" s="265"/>
      <c r="DJ29" s="265"/>
      <c r="DK29" s="265"/>
      <c r="DL29" s="265"/>
      <c r="DM29" s="265"/>
      <c r="DN29" s="265"/>
      <c r="DO29" s="265"/>
      <c r="DP29" s="265"/>
    </row>
    <row r="30" spans="1:120" s="264" customFormat="1" ht="14.25" customHeight="1" x14ac:dyDescent="0.2">
      <c r="A30" s="261"/>
      <c r="B30" s="261"/>
      <c r="C30" s="261"/>
      <c r="D30" s="261" t="s">
        <v>114</v>
      </c>
      <c r="E30" s="261" t="s">
        <v>99</v>
      </c>
      <c r="F30" s="261" t="s">
        <v>111</v>
      </c>
      <c r="G30" s="261">
        <v>71119</v>
      </c>
      <c r="H30" s="261"/>
      <c r="I30" s="261"/>
      <c r="J30" s="261"/>
      <c r="K30" s="261"/>
      <c r="L30" s="261"/>
      <c r="M30" s="261"/>
      <c r="N30" s="288">
        <f ca="1">SUMIF($O$8:$AV$8,"&gt;="&amp;'CURRENT FORECAST START DATE'!$C$4,'Weekly Spend'!O30:AU30)</f>
        <v>0</v>
      </c>
      <c r="O30" s="261">
        <v>0</v>
      </c>
      <c r="P30" s="261">
        <v>0</v>
      </c>
      <c r="Q30" s="261">
        <v>0</v>
      </c>
      <c r="R30" s="261">
        <v>0</v>
      </c>
      <c r="S30" s="261">
        <v>0</v>
      </c>
      <c r="T30" s="261">
        <v>0</v>
      </c>
      <c r="U30" s="261">
        <v>0</v>
      </c>
      <c r="V30" s="261">
        <v>0</v>
      </c>
      <c r="W30" s="261">
        <v>0</v>
      </c>
      <c r="X30" s="261">
        <v>0</v>
      </c>
      <c r="Y30" s="261">
        <v>0</v>
      </c>
      <c r="Z30" s="261">
        <v>0</v>
      </c>
      <c r="AA30" s="261">
        <v>0</v>
      </c>
      <c r="AC30" s="261">
        <v>0</v>
      </c>
      <c r="AD30" s="261">
        <v>0</v>
      </c>
      <c r="AE30" s="261">
        <v>0</v>
      </c>
      <c r="AF30" s="317"/>
      <c r="AG30" s="261">
        <v>0</v>
      </c>
      <c r="AH30" s="303">
        <f>71119+6350</f>
        <v>77469</v>
      </c>
      <c r="AI30" s="261"/>
      <c r="AJ30" s="261"/>
      <c r="AK30" s="261">
        <v>0</v>
      </c>
      <c r="AL30" s="261">
        <v>0</v>
      </c>
      <c r="AM30" s="261">
        <v>0</v>
      </c>
      <c r="AN30" s="261">
        <v>0</v>
      </c>
      <c r="AO30" s="387">
        <v>0</v>
      </c>
      <c r="AP30" s="261">
        <v>0</v>
      </c>
      <c r="AQ30" s="261">
        <v>0</v>
      </c>
      <c r="AR30" s="261">
        <v>0</v>
      </c>
      <c r="AS30" s="261">
        <v>0</v>
      </c>
      <c r="AT30" s="261">
        <v>0</v>
      </c>
      <c r="AU30" s="261">
        <v>0</v>
      </c>
      <c r="AV30" s="261">
        <v>0</v>
      </c>
      <c r="AW30" s="261">
        <v>0</v>
      </c>
      <c r="AX30" s="261">
        <v>0</v>
      </c>
      <c r="AY30" s="261">
        <v>0</v>
      </c>
      <c r="AZ30" s="261">
        <v>0</v>
      </c>
      <c r="BA30" s="261">
        <v>0</v>
      </c>
      <c r="BB30" s="261">
        <v>0</v>
      </c>
      <c r="BC30" s="261">
        <v>0</v>
      </c>
      <c r="BD30" s="261">
        <v>0</v>
      </c>
      <c r="BE30" s="261">
        <v>0</v>
      </c>
      <c r="BF30" s="261">
        <v>0</v>
      </c>
      <c r="BG30" s="261">
        <v>0</v>
      </c>
      <c r="BH30" s="261">
        <v>0</v>
      </c>
      <c r="BI30" s="261">
        <v>0</v>
      </c>
      <c r="BJ30" s="261">
        <v>0</v>
      </c>
      <c r="BK30" s="261">
        <v>0</v>
      </c>
      <c r="BL30" s="261">
        <v>0</v>
      </c>
      <c r="BM30" s="261">
        <v>0</v>
      </c>
      <c r="BN30" s="261">
        <v>0</v>
      </c>
      <c r="BO30" s="261">
        <v>0</v>
      </c>
      <c r="BP30" s="261">
        <v>0</v>
      </c>
      <c r="BQ30" s="261">
        <v>0</v>
      </c>
      <c r="BR30" s="261">
        <v>0</v>
      </c>
      <c r="BS30" s="261">
        <v>0</v>
      </c>
      <c r="BT30" s="261">
        <v>0</v>
      </c>
      <c r="BU30" s="261">
        <v>0</v>
      </c>
      <c r="BV30" s="261">
        <v>0</v>
      </c>
      <c r="BW30" s="261">
        <v>0</v>
      </c>
      <c r="BX30" s="261">
        <v>0</v>
      </c>
      <c r="BY30" s="261">
        <v>0</v>
      </c>
      <c r="BZ30" s="261">
        <v>0</v>
      </c>
      <c r="CA30" s="261">
        <v>0</v>
      </c>
      <c r="CB30" s="261">
        <v>0</v>
      </c>
      <c r="CC30" s="261">
        <v>0</v>
      </c>
      <c r="CD30" s="261">
        <v>0</v>
      </c>
      <c r="CE30" s="261">
        <v>0</v>
      </c>
      <c r="CF30" s="261">
        <v>0</v>
      </c>
      <c r="CG30" s="261">
        <v>0</v>
      </c>
      <c r="CH30" s="261">
        <v>0</v>
      </c>
      <c r="CI30" s="261">
        <v>0</v>
      </c>
      <c r="CJ30" s="261">
        <v>0</v>
      </c>
      <c r="CK30" s="261">
        <v>0</v>
      </c>
      <c r="CL30" s="261">
        <v>0</v>
      </c>
      <c r="CM30" s="261">
        <v>0</v>
      </c>
      <c r="CN30" s="261">
        <v>0</v>
      </c>
      <c r="CO30" s="261">
        <v>0</v>
      </c>
      <c r="CP30" s="261">
        <v>0</v>
      </c>
      <c r="CQ30" s="261">
        <v>0</v>
      </c>
      <c r="CR30" s="261">
        <v>0</v>
      </c>
      <c r="CS30" s="261">
        <v>0</v>
      </c>
      <c r="CT30" s="261">
        <v>0</v>
      </c>
      <c r="CU30" s="261">
        <v>0</v>
      </c>
      <c r="CV30" s="261">
        <v>0</v>
      </c>
      <c r="CW30" s="265"/>
      <c r="CX30" s="265"/>
      <c r="CY30" s="265"/>
      <c r="CZ30" s="265"/>
      <c r="DA30" s="265"/>
      <c r="DB30" s="265"/>
      <c r="DC30" s="265"/>
      <c r="DD30" s="265"/>
      <c r="DE30" s="265"/>
      <c r="DF30" s="265"/>
      <c r="DG30" s="265"/>
      <c r="DH30" s="265"/>
      <c r="DI30" s="265"/>
      <c r="DJ30" s="265"/>
      <c r="DK30" s="265"/>
      <c r="DL30" s="265"/>
      <c r="DM30" s="265"/>
      <c r="DN30" s="265"/>
      <c r="DO30" s="265"/>
      <c r="DP30" s="265"/>
    </row>
    <row r="31" spans="1:120" s="264" customFormat="1" ht="14.25" customHeight="1" thickBot="1" x14ac:dyDescent="0.25">
      <c r="A31" s="266"/>
      <c r="B31" s="266"/>
      <c r="C31" s="266"/>
      <c r="D31" s="261" t="s">
        <v>115</v>
      </c>
      <c r="E31" s="261" t="s">
        <v>116</v>
      </c>
      <c r="F31" s="261" t="s">
        <v>111</v>
      </c>
      <c r="G31" s="266"/>
      <c r="H31" s="266"/>
      <c r="I31" s="266"/>
      <c r="J31" s="266"/>
      <c r="K31" s="266"/>
      <c r="L31" s="266"/>
      <c r="M31" s="266"/>
      <c r="N31" s="288">
        <f>SUMIF($O$8:$AV$8,"&gt;="&amp;'CURRENT FORECAST START DATE'!$C$4,'Weekly Spend'!O31:AV31)</f>
        <v>0</v>
      </c>
      <c r="O31" s="266">
        <v>0</v>
      </c>
      <c r="P31" s="266">
        <v>0</v>
      </c>
      <c r="Q31" s="266">
        <v>0</v>
      </c>
      <c r="R31" s="266">
        <v>0</v>
      </c>
      <c r="S31" s="261">
        <v>0</v>
      </c>
      <c r="T31" s="261">
        <v>0</v>
      </c>
      <c r="U31" s="261">
        <v>0</v>
      </c>
      <c r="V31" s="261">
        <v>0</v>
      </c>
      <c r="W31" s="261">
        <v>0</v>
      </c>
      <c r="X31" s="261"/>
      <c r="Y31" s="261"/>
      <c r="Z31" s="261">
        <v>0</v>
      </c>
      <c r="AA31" s="261"/>
      <c r="AB31" s="261"/>
      <c r="AC31" s="261">
        <v>0</v>
      </c>
      <c r="AD31" s="261"/>
      <c r="AE31" s="261">
        <v>0</v>
      </c>
      <c r="AF31" s="261">
        <v>0</v>
      </c>
      <c r="AG31" s="261">
        <v>0</v>
      </c>
      <c r="AH31" s="317"/>
      <c r="AI31" s="261">
        <v>0</v>
      </c>
      <c r="AJ31" s="317"/>
      <c r="AK31" s="261">
        <v>0</v>
      </c>
      <c r="AL31" s="421">
        <v>0</v>
      </c>
      <c r="AM31" s="317"/>
      <c r="AN31" s="317"/>
      <c r="AO31" s="388"/>
      <c r="AP31" s="261"/>
      <c r="AQ31" s="261"/>
      <c r="AR31" s="261"/>
      <c r="AS31" s="261"/>
      <c r="AT31" s="261">
        <v>0</v>
      </c>
      <c r="AU31" s="261">
        <v>0</v>
      </c>
      <c r="AV31" s="261">
        <v>0</v>
      </c>
      <c r="AW31" s="261">
        <v>0</v>
      </c>
      <c r="AX31" s="261">
        <v>0</v>
      </c>
      <c r="AY31" s="261">
        <v>0</v>
      </c>
      <c r="AZ31" s="261">
        <v>0</v>
      </c>
      <c r="BA31" s="261">
        <v>0</v>
      </c>
      <c r="BB31" s="261">
        <v>0</v>
      </c>
      <c r="BC31" s="261">
        <v>0</v>
      </c>
      <c r="BD31" s="261">
        <v>0</v>
      </c>
      <c r="BE31" s="261">
        <v>0</v>
      </c>
      <c r="BF31" s="261">
        <v>0</v>
      </c>
      <c r="BG31" s="261">
        <v>0</v>
      </c>
      <c r="BH31" s="261">
        <v>0</v>
      </c>
      <c r="BI31" s="261">
        <v>0</v>
      </c>
      <c r="BJ31" s="261">
        <v>0</v>
      </c>
      <c r="BK31" s="261">
        <v>0</v>
      </c>
      <c r="BL31" s="261">
        <v>0</v>
      </c>
      <c r="BM31" s="261">
        <v>0</v>
      </c>
      <c r="BN31" s="261">
        <v>0</v>
      </c>
      <c r="BO31" s="261">
        <v>0</v>
      </c>
      <c r="BP31" s="261">
        <v>0</v>
      </c>
      <c r="BQ31" s="261">
        <v>0</v>
      </c>
      <c r="BR31" s="261">
        <v>0</v>
      </c>
      <c r="BS31" s="261">
        <v>0</v>
      </c>
      <c r="BT31" s="261">
        <v>0</v>
      </c>
      <c r="BU31" s="261">
        <v>0</v>
      </c>
      <c r="BV31" s="261">
        <v>0</v>
      </c>
      <c r="BW31" s="261">
        <v>0</v>
      </c>
      <c r="BX31" s="261">
        <v>0</v>
      </c>
      <c r="BY31" s="261">
        <v>0</v>
      </c>
      <c r="BZ31" s="261">
        <v>0</v>
      </c>
      <c r="CA31" s="261">
        <v>0</v>
      </c>
      <c r="CB31" s="261">
        <v>0</v>
      </c>
      <c r="CC31" s="261">
        <v>0</v>
      </c>
      <c r="CD31" s="261">
        <v>0</v>
      </c>
      <c r="CE31" s="261">
        <v>0</v>
      </c>
      <c r="CF31" s="261">
        <v>0</v>
      </c>
      <c r="CG31" s="261">
        <v>0</v>
      </c>
      <c r="CH31" s="261">
        <v>0</v>
      </c>
      <c r="CI31" s="261">
        <v>0</v>
      </c>
      <c r="CJ31" s="261">
        <v>0</v>
      </c>
      <c r="CK31" s="261">
        <v>0</v>
      </c>
      <c r="CL31" s="261">
        <v>0</v>
      </c>
      <c r="CM31" s="261">
        <v>0</v>
      </c>
      <c r="CN31" s="261">
        <v>0</v>
      </c>
      <c r="CO31" s="261">
        <v>0</v>
      </c>
      <c r="CP31" s="261">
        <v>0</v>
      </c>
      <c r="CQ31" s="261">
        <v>0</v>
      </c>
      <c r="CR31" s="261">
        <v>0</v>
      </c>
      <c r="CS31" s="261">
        <v>0</v>
      </c>
      <c r="CT31" s="261">
        <v>0</v>
      </c>
      <c r="CU31" s="261">
        <v>0</v>
      </c>
      <c r="CV31" s="261">
        <v>0</v>
      </c>
      <c r="CW31" s="261"/>
      <c r="CX31" s="261"/>
      <c r="CY31" s="261"/>
      <c r="CZ31" s="261"/>
      <c r="DA31" s="261"/>
      <c r="DB31" s="261"/>
      <c r="DC31" s="261"/>
      <c r="DD31" s="261"/>
      <c r="DE31" s="261"/>
      <c r="DF31" s="261"/>
      <c r="DG31" s="261"/>
      <c r="DH31" s="261"/>
      <c r="DI31" s="265"/>
      <c r="DJ31" s="265"/>
      <c r="DK31" s="265"/>
      <c r="DL31" s="265"/>
      <c r="DM31" s="265"/>
      <c r="DN31" s="265"/>
      <c r="DO31" s="265"/>
      <c r="DP31" s="265"/>
    </row>
    <row r="32" spans="1:120" s="264" customFormat="1" ht="14.25" customHeight="1" thickBot="1" x14ac:dyDescent="0.25">
      <c r="A32" s="261" t="s">
        <v>75</v>
      </c>
      <c r="B32" s="261">
        <f>_xlfn.SINGLE(_xlfn.XLOOKUP(F32, $F$87:$F$95, $E$87:$E$95))</f>
        <v>8</v>
      </c>
      <c r="C32" s="261" t="s">
        <v>117</v>
      </c>
      <c r="D32" s="261" t="s">
        <v>115</v>
      </c>
      <c r="E32" s="261" t="s">
        <v>118</v>
      </c>
      <c r="F32" s="261" t="s">
        <v>111</v>
      </c>
      <c r="G32" s="261"/>
      <c r="H32" s="261"/>
      <c r="I32" s="266">
        <v>151355</v>
      </c>
      <c r="J32" s="261"/>
      <c r="K32" s="261"/>
      <c r="L32" s="330">
        <v>33000</v>
      </c>
      <c r="M32" s="261"/>
      <c r="N32" s="288">
        <f>SUMIF($O$8:$AV$8,"&gt;="&amp;'CURRENT FORECAST START DATE'!$C$4,'Weekly Spend'!O32:AV32)</f>
        <v>28500</v>
      </c>
      <c r="O32" s="261">
        <v>0</v>
      </c>
      <c r="P32" s="261">
        <v>0</v>
      </c>
      <c r="Q32" s="261">
        <v>0</v>
      </c>
      <c r="R32" s="261">
        <v>0</v>
      </c>
      <c r="S32" s="261">
        <v>0</v>
      </c>
      <c r="T32" s="261">
        <v>0</v>
      </c>
      <c r="U32" s="261">
        <v>0</v>
      </c>
      <c r="V32" s="261">
        <v>0</v>
      </c>
      <c r="W32" s="261">
        <v>0</v>
      </c>
      <c r="X32" s="303">
        <v>5292</v>
      </c>
      <c r="Y32" s="261">
        <v>0</v>
      </c>
      <c r="Z32" s="261"/>
      <c r="AA32" s="261">
        <v>0</v>
      </c>
      <c r="AB32" s="261">
        <v>0</v>
      </c>
      <c r="AC32" s="261">
        <v>0</v>
      </c>
      <c r="AD32" s="303">
        <v>5292</v>
      </c>
      <c r="AE32" s="261">
        <v>0</v>
      </c>
      <c r="AF32" s="261">
        <v>0</v>
      </c>
      <c r="AG32" s="316"/>
      <c r="AH32" s="261">
        <v>0</v>
      </c>
      <c r="AI32" s="261">
        <v>0</v>
      </c>
      <c r="AJ32" s="261">
        <v>0</v>
      </c>
      <c r="AL32" s="261"/>
      <c r="AM32" s="261">
        <v>0</v>
      </c>
      <c r="AN32" s="261">
        <v>0</v>
      </c>
      <c r="AO32" s="387">
        <v>0</v>
      </c>
      <c r="AP32" s="261">
        <v>0</v>
      </c>
      <c r="AQ32" s="261">
        <v>0</v>
      </c>
      <c r="AR32" s="261">
        <v>0</v>
      </c>
      <c r="AS32" s="402">
        <v>28500</v>
      </c>
      <c r="AT32" s="261">
        <v>0</v>
      </c>
      <c r="AU32" s="261">
        <v>0</v>
      </c>
      <c r="AV32" s="261">
        <v>0</v>
      </c>
      <c r="AW32" s="261">
        <v>0</v>
      </c>
      <c r="AX32" s="261">
        <v>0</v>
      </c>
      <c r="AY32" s="261">
        <v>0</v>
      </c>
      <c r="AZ32" s="261">
        <v>0</v>
      </c>
      <c r="BA32" s="261">
        <v>0</v>
      </c>
      <c r="BB32" s="261">
        <v>0</v>
      </c>
      <c r="BC32" s="261">
        <v>0</v>
      </c>
      <c r="BD32" s="261">
        <v>0</v>
      </c>
      <c r="BE32" s="261">
        <v>0</v>
      </c>
      <c r="BF32" s="261">
        <v>0</v>
      </c>
      <c r="BG32" s="261">
        <v>0</v>
      </c>
      <c r="BH32" s="261">
        <v>0</v>
      </c>
      <c r="BI32" s="261">
        <v>0</v>
      </c>
      <c r="BJ32" s="261">
        <v>0</v>
      </c>
      <c r="BK32" s="261">
        <v>0</v>
      </c>
      <c r="BL32" s="261">
        <v>0</v>
      </c>
      <c r="BM32" s="261">
        <v>0</v>
      </c>
      <c r="BN32" s="261">
        <v>0</v>
      </c>
      <c r="BO32" s="261">
        <v>0</v>
      </c>
      <c r="BP32" s="261">
        <v>0</v>
      </c>
      <c r="BQ32" s="261">
        <v>0</v>
      </c>
      <c r="BR32" s="261">
        <v>0</v>
      </c>
      <c r="BS32" s="261">
        <v>0</v>
      </c>
      <c r="BT32" s="261">
        <v>0</v>
      </c>
      <c r="BU32" s="261">
        <v>0</v>
      </c>
      <c r="BV32" s="261">
        <v>0</v>
      </c>
      <c r="BW32" s="261">
        <v>0</v>
      </c>
      <c r="BX32" s="261">
        <v>0</v>
      </c>
      <c r="BY32" s="261">
        <v>0</v>
      </c>
      <c r="BZ32" s="261">
        <v>0</v>
      </c>
      <c r="CA32" s="261">
        <v>0</v>
      </c>
      <c r="CB32" s="261">
        <v>0</v>
      </c>
      <c r="CC32" s="261">
        <v>0</v>
      </c>
      <c r="CD32" s="261">
        <v>0</v>
      </c>
      <c r="CE32" s="261">
        <v>0</v>
      </c>
      <c r="CF32" s="261">
        <v>0</v>
      </c>
      <c r="CG32" s="261">
        <v>0</v>
      </c>
      <c r="CH32" s="261">
        <v>0</v>
      </c>
      <c r="CI32" s="261">
        <v>0</v>
      </c>
      <c r="CJ32" s="261">
        <v>0</v>
      </c>
      <c r="CK32" s="261">
        <v>0</v>
      </c>
      <c r="CL32" s="261">
        <v>0</v>
      </c>
      <c r="CM32" s="261">
        <v>0</v>
      </c>
      <c r="CN32" s="261">
        <v>0</v>
      </c>
      <c r="CO32" s="261">
        <v>0</v>
      </c>
      <c r="CP32" s="261">
        <v>0</v>
      </c>
      <c r="CQ32" s="261">
        <v>0</v>
      </c>
      <c r="CR32" s="261">
        <v>0</v>
      </c>
      <c r="CS32" s="261">
        <v>0</v>
      </c>
      <c r="CT32" s="261">
        <v>0</v>
      </c>
      <c r="CU32" s="261">
        <v>0</v>
      </c>
      <c r="CV32" s="261">
        <v>0</v>
      </c>
      <c r="CW32" s="261"/>
      <c r="CX32" s="261"/>
      <c r="CY32" s="261"/>
      <c r="CZ32" s="261"/>
      <c r="DA32" s="261"/>
      <c r="DB32" s="261"/>
      <c r="DC32" s="261"/>
      <c r="DD32" s="261"/>
      <c r="DE32" s="261"/>
      <c r="DF32" s="261"/>
      <c r="DG32" s="261"/>
      <c r="DH32" s="261"/>
      <c r="DI32" s="265"/>
      <c r="DJ32" s="265"/>
      <c r="DK32" s="265"/>
      <c r="DL32" s="265"/>
      <c r="DM32" s="265"/>
      <c r="DN32" s="265"/>
      <c r="DO32" s="265"/>
      <c r="DP32" s="265"/>
    </row>
    <row r="33" spans="1:120" s="264" customFormat="1" ht="14.25" customHeight="1" thickBot="1" x14ac:dyDescent="0.25">
      <c r="A33" s="261"/>
      <c r="B33" s="261"/>
      <c r="C33" s="261"/>
      <c r="D33" s="261" t="s">
        <v>87</v>
      </c>
      <c r="E33" s="261" t="s">
        <v>119</v>
      </c>
      <c r="F33" s="261" t="s">
        <v>111</v>
      </c>
      <c r="G33" s="261"/>
      <c r="H33" s="261"/>
      <c r="I33" s="261"/>
      <c r="J33" s="261"/>
      <c r="K33" s="261"/>
      <c r="L33" s="267"/>
      <c r="M33" s="261"/>
      <c r="N33" s="288">
        <f>SUMIF($O$8:$AV$8,"&gt;="&amp;'CURRENT FORECAST START DATE'!$C$4,'Weekly Spend'!O33:AV33)</f>
        <v>12500</v>
      </c>
      <c r="O33" s="261">
        <v>0</v>
      </c>
      <c r="P33" s="261">
        <v>0</v>
      </c>
      <c r="Q33" s="261">
        <v>0</v>
      </c>
      <c r="R33" s="261">
        <v>0</v>
      </c>
      <c r="S33" s="261">
        <v>0</v>
      </c>
      <c r="T33" s="261">
        <v>0</v>
      </c>
      <c r="U33" s="261">
        <v>0</v>
      </c>
      <c r="V33" s="261">
        <v>0</v>
      </c>
      <c r="W33" s="261">
        <v>0</v>
      </c>
      <c r="X33" s="261"/>
      <c r="Y33" s="261"/>
      <c r="Z33" s="261">
        <v>0</v>
      </c>
      <c r="AA33" s="261"/>
      <c r="AB33" s="261">
        <v>0</v>
      </c>
      <c r="AC33" s="261"/>
      <c r="AD33" s="317"/>
      <c r="AE33" s="317"/>
      <c r="AF33" s="261">
        <v>0</v>
      </c>
      <c r="AG33" s="317">
        <v>0</v>
      </c>
      <c r="AH33" s="261">
        <v>0</v>
      </c>
      <c r="AI33" s="261">
        <v>0</v>
      </c>
      <c r="AJ33" s="421">
        <v>0</v>
      </c>
      <c r="AK33" s="261">
        <v>0</v>
      </c>
      <c r="AL33" s="261">
        <v>0</v>
      </c>
      <c r="AN33" s="375"/>
      <c r="AO33" s="387">
        <v>0</v>
      </c>
      <c r="AP33" s="261">
        <v>0</v>
      </c>
      <c r="AQ33" s="261">
        <v>0</v>
      </c>
      <c r="AR33" s="261">
        <v>0</v>
      </c>
      <c r="AS33" s="261">
        <v>0</v>
      </c>
      <c r="AT33" s="261">
        <v>0</v>
      </c>
      <c r="AU33" s="415">
        <v>12500</v>
      </c>
      <c r="AV33" s="261">
        <v>0</v>
      </c>
      <c r="AW33" s="261">
        <v>0</v>
      </c>
      <c r="AX33" s="261">
        <v>0</v>
      </c>
      <c r="AY33" s="261">
        <v>0</v>
      </c>
      <c r="AZ33" s="261">
        <v>0</v>
      </c>
      <c r="BA33" s="261">
        <v>0</v>
      </c>
      <c r="BB33" s="261">
        <v>0</v>
      </c>
      <c r="BC33" s="261">
        <v>0</v>
      </c>
      <c r="BD33" s="261">
        <v>0</v>
      </c>
      <c r="BE33" s="261">
        <v>0</v>
      </c>
      <c r="BF33" s="261">
        <v>0</v>
      </c>
      <c r="BG33" s="261">
        <v>0</v>
      </c>
      <c r="BH33" s="261">
        <v>0</v>
      </c>
      <c r="BI33" s="261">
        <v>0</v>
      </c>
      <c r="BJ33" s="261">
        <v>0</v>
      </c>
      <c r="BK33" s="261">
        <v>0</v>
      </c>
      <c r="BL33" s="261">
        <v>0</v>
      </c>
      <c r="BM33" s="261">
        <v>0</v>
      </c>
      <c r="BN33" s="261">
        <v>0</v>
      </c>
      <c r="BO33" s="261">
        <v>0</v>
      </c>
      <c r="BP33" s="261">
        <v>0</v>
      </c>
      <c r="BQ33" s="261">
        <v>0</v>
      </c>
      <c r="BR33" s="261">
        <v>0</v>
      </c>
      <c r="BS33" s="261">
        <v>0</v>
      </c>
      <c r="BT33" s="261">
        <v>0</v>
      </c>
      <c r="BU33" s="261">
        <v>0</v>
      </c>
      <c r="BV33" s="261">
        <v>0</v>
      </c>
      <c r="BW33" s="261">
        <v>0</v>
      </c>
      <c r="BX33" s="261">
        <v>0</v>
      </c>
      <c r="BY33" s="261">
        <v>0</v>
      </c>
      <c r="BZ33" s="261">
        <v>0</v>
      </c>
      <c r="CA33" s="261">
        <v>0</v>
      </c>
      <c r="CB33" s="261">
        <v>0</v>
      </c>
      <c r="CC33" s="261">
        <v>0</v>
      </c>
      <c r="CD33" s="261">
        <v>0</v>
      </c>
      <c r="CE33" s="261">
        <v>0</v>
      </c>
      <c r="CF33" s="261">
        <v>0</v>
      </c>
      <c r="CG33" s="261">
        <v>0</v>
      </c>
      <c r="CH33" s="261">
        <v>0</v>
      </c>
      <c r="CI33" s="261">
        <v>0</v>
      </c>
      <c r="CJ33" s="261">
        <v>0</v>
      </c>
      <c r="CK33" s="261">
        <v>0</v>
      </c>
      <c r="CL33" s="261">
        <v>0</v>
      </c>
      <c r="CM33" s="261">
        <v>0</v>
      </c>
      <c r="CN33" s="261">
        <v>0</v>
      </c>
      <c r="CO33" s="261">
        <v>0</v>
      </c>
      <c r="CP33" s="261">
        <v>0</v>
      </c>
      <c r="CQ33" s="261">
        <v>0</v>
      </c>
      <c r="CR33" s="261">
        <v>0</v>
      </c>
      <c r="CS33" s="261">
        <v>0</v>
      </c>
      <c r="CT33" s="261">
        <v>0</v>
      </c>
      <c r="CU33" s="261">
        <v>0</v>
      </c>
      <c r="CV33" s="261">
        <v>0</v>
      </c>
      <c r="CW33" s="265"/>
      <c r="CX33" s="265"/>
      <c r="CY33" s="265"/>
      <c r="CZ33" s="265"/>
      <c r="DA33" s="265"/>
      <c r="DB33" s="265"/>
      <c r="DC33" s="265"/>
      <c r="DD33" s="265"/>
      <c r="DE33" s="265"/>
      <c r="DF33" s="265"/>
      <c r="DG33" s="265"/>
      <c r="DH33" s="265"/>
      <c r="DI33" s="265"/>
      <c r="DJ33" s="265"/>
      <c r="DK33" s="265"/>
      <c r="DL33" s="265"/>
      <c r="DM33" s="265"/>
      <c r="DN33" s="265"/>
      <c r="DO33" s="265"/>
      <c r="DP33" s="265"/>
    </row>
    <row r="34" spans="1:120" s="264" customFormat="1" ht="14.25" customHeight="1" x14ac:dyDescent="0.2">
      <c r="A34" s="261"/>
      <c r="B34" s="261"/>
      <c r="C34" s="261"/>
      <c r="D34" s="261" t="s">
        <v>101</v>
      </c>
      <c r="E34" s="261" t="s">
        <v>102</v>
      </c>
      <c r="F34" s="261" t="s">
        <v>111</v>
      </c>
      <c r="G34" s="268"/>
      <c r="H34" s="261"/>
      <c r="I34" s="261"/>
      <c r="J34" s="261"/>
      <c r="K34" s="261"/>
      <c r="L34" s="261"/>
      <c r="M34" s="261"/>
      <c r="N34" s="288">
        <f>SUMIF($O$8:$AV$8,"&gt;="&amp;'CURRENT FORECAST START DATE'!$C$4,'Weekly Spend'!O34:AV34)</f>
        <v>25196.66</v>
      </c>
      <c r="O34" s="261">
        <v>0</v>
      </c>
      <c r="P34" s="261">
        <v>0</v>
      </c>
      <c r="Q34" s="261">
        <v>0</v>
      </c>
      <c r="R34" s="261">
        <v>0</v>
      </c>
      <c r="S34" s="261">
        <v>0</v>
      </c>
      <c r="T34" s="261">
        <v>0</v>
      </c>
      <c r="U34" s="261">
        <v>0</v>
      </c>
      <c r="V34" s="261">
        <v>0</v>
      </c>
      <c r="W34" s="261">
        <v>0</v>
      </c>
      <c r="X34" s="303">
        <v>21053</v>
      </c>
      <c r="Y34" s="261"/>
      <c r="Z34" s="261">
        <v>0</v>
      </c>
      <c r="AA34" s="261">
        <v>0</v>
      </c>
      <c r="AB34" s="261">
        <v>0</v>
      </c>
      <c r="AC34" s="261">
        <v>0</v>
      </c>
      <c r="AD34" s="261">
        <v>0</v>
      </c>
      <c r="AE34" s="261">
        <v>0</v>
      </c>
      <c r="AF34" s="261">
        <v>0</v>
      </c>
      <c r="AG34" s="261">
        <v>0</v>
      </c>
      <c r="AH34" s="261">
        <v>0</v>
      </c>
      <c r="AI34" s="303">
        <v>21053</v>
      </c>
      <c r="AJ34" s="261">
        <v>0</v>
      </c>
      <c r="AK34" s="261">
        <v>0</v>
      </c>
      <c r="AM34" s="261">
        <v>0</v>
      </c>
      <c r="AN34" s="261">
        <v>0</v>
      </c>
      <c r="AO34" s="387">
        <v>0</v>
      </c>
      <c r="AP34" s="261">
        <v>0</v>
      </c>
      <c r="AQ34" s="261">
        <v>0</v>
      </c>
      <c r="AR34" s="261">
        <v>0</v>
      </c>
      <c r="AS34" s="402">
        <v>25196.66</v>
      </c>
      <c r="AT34" s="261">
        <v>0</v>
      </c>
      <c r="AU34" s="261">
        <v>0</v>
      </c>
      <c r="AV34" s="261">
        <v>0</v>
      </c>
      <c r="AW34" s="261">
        <v>0</v>
      </c>
      <c r="AX34" s="261">
        <v>0</v>
      </c>
      <c r="AY34" s="261">
        <v>0</v>
      </c>
      <c r="AZ34" s="261">
        <v>0</v>
      </c>
      <c r="BA34" s="261">
        <v>0</v>
      </c>
      <c r="BB34" s="261">
        <v>0</v>
      </c>
      <c r="BC34" s="261">
        <v>0</v>
      </c>
      <c r="BD34" s="261">
        <v>0</v>
      </c>
      <c r="BE34" s="261">
        <v>0</v>
      </c>
      <c r="BF34" s="261">
        <v>0</v>
      </c>
      <c r="BG34" s="261">
        <v>0</v>
      </c>
      <c r="BH34" s="261">
        <v>0</v>
      </c>
      <c r="BI34" s="261">
        <v>0</v>
      </c>
      <c r="BJ34" s="261">
        <v>0</v>
      </c>
      <c r="BK34" s="261">
        <v>0</v>
      </c>
      <c r="BL34" s="261">
        <v>0</v>
      </c>
      <c r="BM34" s="261">
        <v>0</v>
      </c>
      <c r="BN34" s="261">
        <v>0</v>
      </c>
      <c r="BO34" s="261">
        <v>0</v>
      </c>
      <c r="BP34" s="261">
        <v>0</v>
      </c>
      <c r="BQ34" s="261">
        <v>0</v>
      </c>
      <c r="BR34" s="261">
        <v>0</v>
      </c>
      <c r="BS34" s="261">
        <v>0</v>
      </c>
      <c r="BT34" s="261">
        <v>0</v>
      </c>
      <c r="BU34" s="261">
        <v>0</v>
      </c>
      <c r="BV34" s="261">
        <v>0</v>
      </c>
      <c r="BW34" s="261">
        <v>0</v>
      </c>
      <c r="BX34" s="261">
        <v>0</v>
      </c>
      <c r="BY34" s="261">
        <v>0</v>
      </c>
      <c r="BZ34" s="261">
        <v>0</v>
      </c>
      <c r="CA34" s="261">
        <v>0</v>
      </c>
      <c r="CB34" s="261">
        <v>0</v>
      </c>
      <c r="CC34" s="261">
        <v>0</v>
      </c>
      <c r="CD34" s="261">
        <v>0</v>
      </c>
      <c r="CE34" s="261">
        <v>0</v>
      </c>
      <c r="CF34" s="261">
        <v>0</v>
      </c>
      <c r="CG34" s="261">
        <v>0</v>
      </c>
      <c r="CH34" s="261">
        <v>0</v>
      </c>
      <c r="CI34" s="261">
        <v>0</v>
      </c>
      <c r="CJ34" s="261">
        <v>0</v>
      </c>
      <c r="CK34" s="261">
        <v>0</v>
      </c>
      <c r="CL34" s="261">
        <v>0</v>
      </c>
      <c r="CM34" s="261">
        <v>0</v>
      </c>
      <c r="CN34" s="261">
        <v>0</v>
      </c>
      <c r="CO34" s="261">
        <v>0</v>
      </c>
      <c r="CP34" s="261">
        <v>0</v>
      </c>
      <c r="CQ34" s="261">
        <v>0</v>
      </c>
      <c r="CR34" s="261">
        <v>0</v>
      </c>
      <c r="CS34" s="261">
        <v>0</v>
      </c>
      <c r="CT34" s="261">
        <v>0</v>
      </c>
      <c r="CU34" s="261">
        <v>0</v>
      </c>
      <c r="CV34" s="261">
        <v>0</v>
      </c>
      <c r="CW34" s="265"/>
      <c r="CX34" s="265"/>
      <c r="CY34" s="265"/>
      <c r="CZ34" s="265"/>
      <c r="DA34" s="265"/>
      <c r="DB34" s="265"/>
      <c r="DC34" s="265"/>
      <c r="DD34" s="265"/>
      <c r="DE34" s="265"/>
      <c r="DF34" s="265"/>
      <c r="DG34" s="265"/>
      <c r="DH34" s="265"/>
      <c r="DI34" s="265"/>
      <c r="DJ34" s="265"/>
      <c r="DK34" s="265"/>
      <c r="DL34" s="265"/>
      <c r="DM34" s="265"/>
      <c r="DN34" s="265"/>
      <c r="DO34" s="265"/>
      <c r="DP34" s="265"/>
    </row>
    <row r="35" spans="1:120" s="264" customFormat="1" ht="14.25" customHeight="1" x14ac:dyDescent="0.2">
      <c r="A35" s="261"/>
      <c r="B35" s="261"/>
      <c r="C35" s="261"/>
      <c r="D35" s="261" t="s">
        <v>109</v>
      </c>
      <c r="E35" s="261" t="s">
        <v>88</v>
      </c>
      <c r="F35" s="261" t="s">
        <v>111</v>
      </c>
      <c r="G35" s="268"/>
      <c r="H35" s="261"/>
      <c r="I35" s="261"/>
      <c r="J35" s="261"/>
      <c r="K35" s="261"/>
      <c r="L35" s="261"/>
      <c r="M35" s="261"/>
      <c r="N35" s="288">
        <f>SUMIF($O$8:$AV$8,"&gt;="&amp;'CURRENT FORECAST START DATE'!$C$4,'Weekly Spend'!O35:AV35)</f>
        <v>58000</v>
      </c>
      <c r="O35" s="261"/>
      <c r="P35" s="261"/>
      <c r="Q35" s="261"/>
      <c r="R35" s="261"/>
      <c r="S35" s="261"/>
      <c r="T35" s="261"/>
      <c r="U35" s="261"/>
      <c r="V35" s="261"/>
      <c r="W35" s="261"/>
      <c r="X35" s="303"/>
      <c r="Y35" s="261"/>
      <c r="Z35" s="261"/>
      <c r="AA35" s="261"/>
      <c r="AB35" s="261"/>
      <c r="AC35" s="261"/>
      <c r="AD35" s="261"/>
      <c r="AE35" s="261"/>
      <c r="AF35" s="261"/>
      <c r="AG35" s="303">
        <v>4846.1499999999996</v>
      </c>
      <c r="AH35" s="261"/>
      <c r="AI35" s="261"/>
      <c r="AJ35" s="303">
        <v>3000</v>
      </c>
      <c r="AK35" s="261"/>
      <c r="AL35" s="261"/>
      <c r="AM35" s="261"/>
      <c r="AN35" s="431">
        <v>3000</v>
      </c>
      <c r="AO35" s="429">
        <v>3000</v>
      </c>
      <c r="AP35" s="261">
        <v>0</v>
      </c>
      <c r="AQ35" s="261">
        <v>0</v>
      </c>
      <c r="AR35" s="261">
        <v>0</v>
      </c>
      <c r="AS35" s="261"/>
      <c r="AT35" s="261"/>
      <c r="AU35" s="401">
        <v>55000</v>
      </c>
      <c r="AV35" s="261"/>
      <c r="AW35" s="401">
        <v>50000</v>
      </c>
      <c r="AX35" s="261"/>
      <c r="AY35" s="401">
        <v>50000</v>
      </c>
      <c r="AZ35" s="261"/>
      <c r="BA35" s="261"/>
      <c r="BB35" s="261"/>
      <c r="BC35" s="261"/>
      <c r="BD35" s="261"/>
      <c r="BE35" s="261"/>
      <c r="BF35" s="261"/>
      <c r="BG35" s="261">
        <v>0</v>
      </c>
      <c r="BH35" s="261">
        <v>0</v>
      </c>
      <c r="BI35" s="421">
        <v>0</v>
      </c>
      <c r="BJ35" s="261">
        <v>0</v>
      </c>
      <c r="BK35" s="261">
        <v>0</v>
      </c>
      <c r="BL35" s="261">
        <v>0</v>
      </c>
      <c r="BM35" s="261">
        <v>0</v>
      </c>
      <c r="BN35" s="261">
        <v>0</v>
      </c>
      <c r="BO35" s="261">
        <v>0</v>
      </c>
      <c r="BP35" s="261">
        <v>0</v>
      </c>
      <c r="BQ35" s="261">
        <v>0</v>
      </c>
      <c r="BR35" s="401">
        <v>35000</v>
      </c>
      <c r="BS35" s="261">
        <v>0</v>
      </c>
      <c r="BT35" s="401">
        <v>35000</v>
      </c>
      <c r="BU35" s="261"/>
      <c r="BV35" s="261"/>
      <c r="BW35" s="261"/>
      <c r="BX35" s="261"/>
      <c r="BY35" s="261"/>
      <c r="BZ35" s="261"/>
      <c r="CA35" s="261"/>
      <c r="CB35" s="261"/>
      <c r="CC35" s="261"/>
      <c r="CD35" s="261"/>
      <c r="CE35" s="261"/>
      <c r="CF35" s="261"/>
      <c r="CG35" s="261"/>
      <c r="CH35" s="261"/>
      <c r="CI35" s="261"/>
      <c r="CJ35" s="261"/>
      <c r="CK35" s="261"/>
      <c r="CL35" s="261"/>
      <c r="CM35" s="261"/>
      <c r="CN35" s="261"/>
      <c r="CO35" s="261"/>
      <c r="CP35" s="261"/>
      <c r="CQ35" s="261"/>
      <c r="CR35" s="261"/>
      <c r="CS35" s="261"/>
      <c r="CT35" s="261"/>
      <c r="CU35" s="261"/>
      <c r="CV35" s="261"/>
      <c r="CW35" s="265"/>
      <c r="CX35" s="265"/>
      <c r="CY35" s="265"/>
      <c r="CZ35" s="265"/>
      <c r="DA35" s="265"/>
      <c r="DB35" s="265"/>
      <c r="DC35" s="265"/>
      <c r="DD35" s="265"/>
      <c r="DE35" s="265"/>
      <c r="DF35" s="265"/>
      <c r="DG35" s="265"/>
      <c r="DH35" s="265"/>
      <c r="DI35" s="265"/>
      <c r="DJ35" s="265"/>
      <c r="DK35" s="265"/>
      <c r="DL35" s="265"/>
      <c r="DM35" s="265"/>
      <c r="DN35" s="265"/>
      <c r="DO35" s="265"/>
      <c r="DP35" s="265"/>
    </row>
    <row r="36" spans="1:120" s="264" customFormat="1" ht="14.25" customHeight="1" x14ac:dyDescent="0.2">
      <c r="A36" s="261"/>
      <c r="B36" s="261"/>
      <c r="C36" s="261"/>
      <c r="D36" s="261" t="s">
        <v>109</v>
      </c>
      <c r="E36" s="261" t="s">
        <v>99</v>
      </c>
      <c r="F36" s="261" t="s">
        <v>111</v>
      </c>
      <c r="G36" s="268"/>
      <c r="H36" s="261"/>
      <c r="I36" s="261"/>
      <c r="J36" s="261"/>
      <c r="K36" s="261"/>
      <c r="L36" s="261"/>
      <c r="M36" s="261"/>
      <c r="N36" s="288">
        <f>SUMIF($O$8:$AV$8,"&gt;="&amp;'CURRENT FORECAST START DATE'!$C$4,'Weekly Spend'!O36:AV36)</f>
        <v>96307.69</v>
      </c>
      <c r="O36" s="261"/>
      <c r="P36" s="261"/>
      <c r="Q36" s="261"/>
      <c r="R36" s="261"/>
      <c r="S36" s="261"/>
      <c r="T36" s="261"/>
      <c r="U36" s="261"/>
      <c r="V36" s="261"/>
      <c r="W36" s="261"/>
      <c r="X36" s="303"/>
      <c r="Y36" s="261"/>
      <c r="Z36" s="261"/>
      <c r="AA36" s="261"/>
      <c r="AB36" s="261"/>
      <c r="AC36" s="261"/>
      <c r="AD36" s="261"/>
      <c r="AE36" s="261"/>
      <c r="AF36" s="261"/>
      <c r="AG36" s="303"/>
      <c r="AH36" s="261"/>
      <c r="AI36" s="261"/>
      <c r="AJ36" s="303">
        <v>6000</v>
      </c>
      <c r="AK36" s="261"/>
      <c r="AL36" s="261"/>
      <c r="AM36" s="261"/>
      <c r="AN36" s="428">
        <v>12000</v>
      </c>
      <c r="AO36" s="430">
        <v>41307.69</v>
      </c>
      <c r="AP36" s="261">
        <v>0</v>
      </c>
      <c r="AQ36" s="261">
        <v>0</v>
      </c>
      <c r="AR36" s="261">
        <v>0</v>
      </c>
      <c r="AS36" s="401">
        <v>55000</v>
      </c>
      <c r="AT36" s="261"/>
      <c r="AU36" s="261"/>
      <c r="AV36" s="261"/>
      <c r="AW36" s="261"/>
      <c r="AX36" s="261"/>
      <c r="AY36" s="261"/>
      <c r="AZ36" s="261"/>
      <c r="BA36" s="261"/>
      <c r="BB36" s="261"/>
      <c r="BC36" s="261"/>
      <c r="BD36" s="261"/>
      <c r="BE36" s="261"/>
      <c r="BF36" s="261"/>
      <c r="BG36" s="261">
        <v>0</v>
      </c>
      <c r="BH36" s="261">
        <v>0</v>
      </c>
      <c r="BI36" s="421">
        <v>0</v>
      </c>
      <c r="BJ36" s="261">
        <v>0</v>
      </c>
      <c r="BK36" s="261">
        <v>0</v>
      </c>
      <c r="BL36" s="261">
        <v>0</v>
      </c>
      <c r="BM36" s="261">
        <v>0</v>
      </c>
      <c r="BN36" s="261">
        <v>0</v>
      </c>
      <c r="BO36" s="261">
        <v>0</v>
      </c>
      <c r="BP36" s="261">
        <v>0</v>
      </c>
      <c r="BQ36" s="261">
        <v>0</v>
      </c>
      <c r="BR36" s="261">
        <v>0</v>
      </c>
      <c r="BS36" s="261">
        <v>0</v>
      </c>
      <c r="BT36" s="421">
        <v>0</v>
      </c>
      <c r="BU36" s="261"/>
      <c r="BV36" s="261"/>
      <c r="BW36" s="261"/>
      <c r="BX36" s="261"/>
      <c r="BY36" s="261"/>
      <c r="BZ36" s="261"/>
      <c r="CA36" s="261"/>
      <c r="CB36" s="261"/>
      <c r="CC36" s="261"/>
      <c r="CD36" s="261"/>
      <c r="CE36" s="261"/>
      <c r="CF36" s="261"/>
      <c r="CG36" s="261"/>
      <c r="CH36" s="261"/>
      <c r="CI36" s="261"/>
      <c r="CJ36" s="261"/>
      <c r="CK36" s="261"/>
      <c r="CL36" s="261"/>
      <c r="CM36" s="261"/>
      <c r="CN36" s="261"/>
      <c r="CO36" s="261"/>
      <c r="CP36" s="261"/>
      <c r="CQ36" s="261"/>
      <c r="CR36" s="261"/>
      <c r="CS36" s="261"/>
      <c r="CT36" s="261"/>
      <c r="CU36" s="261"/>
      <c r="CV36" s="261"/>
      <c r="CW36" s="265"/>
      <c r="CX36" s="265"/>
      <c r="CY36" s="265"/>
      <c r="CZ36" s="265"/>
      <c r="DA36" s="265"/>
      <c r="DB36" s="265"/>
      <c r="DC36" s="265"/>
      <c r="DD36" s="265"/>
      <c r="DE36" s="265"/>
      <c r="DF36" s="265"/>
      <c r="DG36" s="265"/>
      <c r="DH36" s="265"/>
      <c r="DI36" s="265"/>
      <c r="DJ36" s="265"/>
      <c r="DK36" s="265"/>
      <c r="DL36" s="265"/>
      <c r="DM36" s="265"/>
      <c r="DN36" s="265"/>
      <c r="DO36" s="265"/>
      <c r="DP36" s="265"/>
    </row>
    <row r="37" spans="1:120" s="264" customFormat="1" ht="14.25" customHeight="1" x14ac:dyDescent="0.2">
      <c r="A37" s="261"/>
      <c r="B37" s="261"/>
      <c r="C37" s="261"/>
      <c r="D37" s="261" t="s">
        <v>109</v>
      </c>
      <c r="E37" s="261" t="s">
        <v>90</v>
      </c>
      <c r="F37" s="261" t="s">
        <v>111</v>
      </c>
      <c r="G37" s="268"/>
      <c r="H37" s="261"/>
      <c r="I37" s="261"/>
      <c r="J37" s="261"/>
      <c r="K37" s="261"/>
      <c r="L37" s="261"/>
      <c r="M37" s="261"/>
      <c r="N37" s="288">
        <f>SUMIF($O$8:$AV$8,"&gt;="&amp;'CURRENT FORECAST START DATE'!$C$4,'Weekly Spend'!O37:AV37)</f>
        <v>0</v>
      </c>
      <c r="O37" s="261"/>
      <c r="P37" s="261"/>
      <c r="Q37" s="261"/>
      <c r="R37" s="261"/>
      <c r="S37" s="261"/>
      <c r="T37" s="261"/>
      <c r="U37" s="261"/>
      <c r="V37" s="261"/>
      <c r="W37" s="261"/>
      <c r="X37" s="303"/>
      <c r="Y37" s="261"/>
      <c r="Z37" s="261"/>
      <c r="AA37" s="261"/>
      <c r="AB37" s="261"/>
      <c r="AC37" s="261"/>
      <c r="AD37" s="261"/>
      <c r="AE37" s="261"/>
      <c r="AF37" s="261"/>
      <c r="AG37" s="303"/>
      <c r="AH37" s="261"/>
      <c r="AI37" s="261"/>
      <c r="AJ37" s="421"/>
      <c r="AK37" s="261"/>
      <c r="AL37" s="261"/>
      <c r="AM37" s="261"/>
      <c r="AN37" s="261"/>
      <c r="AO37" s="387"/>
      <c r="AP37" s="261">
        <v>0</v>
      </c>
      <c r="AQ37" s="261">
        <v>0</v>
      </c>
      <c r="AR37" s="261">
        <v>0</v>
      </c>
      <c r="AS37" s="261"/>
      <c r="AT37" s="261"/>
      <c r="AU37" s="261"/>
      <c r="AV37" s="261"/>
      <c r="AW37" s="261"/>
      <c r="AX37" s="261"/>
      <c r="AY37" s="261"/>
      <c r="AZ37" s="261"/>
      <c r="BA37" s="261"/>
      <c r="BB37" s="261"/>
      <c r="BC37" s="261"/>
      <c r="BD37" s="261"/>
      <c r="BE37" s="261"/>
      <c r="BF37" s="261"/>
      <c r="BG37" s="261"/>
      <c r="BH37" s="261"/>
      <c r="BJ37" s="261"/>
      <c r="BK37" s="261"/>
      <c r="BL37" s="261"/>
      <c r="BM37" s="261"/>
      <c r="BN37" s="401">
        <v>35000</v>
      </c>
      <c r="BO37" s="261"/>
      <c r="BP37" s="261"/>
      <c r="BQ37" s="261"/>
      <c r="BR37" s="261"/>
      <c r="BS37" s="261"/>
      <c r="BT37" s="261"/>
      <c r="BU37" s="261"/>
      <c r="BV37" s="261"/>
      <c r="BW37" s="261"/>
      <c r="BX37" s="261"/>
      <c r="BY37" s="261"/>
      <c r="BZ37" s="261"/>
      <c r="CA37" s="261"/>
      <c r="CB37" s="261"/>
      <c r="CC37" s="261"/>
      <c r="CD37" s="261"/>
      <c r="CE37" s="261"/>
      <c r="CF37" s="261"/>
      <c r="CG37" s="261"/>
      <c r="CH37" s="261"/>
      <c r="CI37" s="261"/>
      <c r="CJ37" s="261"/>
      <c r="CK37" s="261"/>
      <c r="CL37" s="261"/>
      <c r="CM37" s="261"/>
      <c r="CN37" s="261"/>
      <c r="CO37" s="261"/>
      <c r="CP37" s="261"/>
      <c r="CQ37" s="261"/>
      <c r="CR37" s="261"/>
      <c r="CS37" s="261"/>
      <c r="CT37" s="261"/>
      <c r="CU37" s="261"/>
      <c r="CV37" s="261"/>
      <c r="CW37" s="265"/>
      <c r="CX37" s="265"/>
      <c r="CY37" s="265"/>
      <c r="CZ37" s="265"/>
      <c r="DA37" s="265"/>
      <c r="DB37" s="265"/>
      <c r="DC37" s="265"/>
      <c r="DD37" s="265"/>
      <c r="DE37" s="265"/>
      <c r="DF37" s="265"/>
      <c r="DG37" s="265"/>
      <c r="DH37" s="265"/>
      <c r="DI37" s="265"/>
      <c r="DJ37" s="265"/>
      <c r="DK37" s="265"/>
      <c r="DL37" s="265"/>
      <c r="DM37" s="265"/>
      <c r="DN37" s="265"/>
      <c r="DO37" s="265"/>
      <c r="DP37" s="265"/>
    </row>
    <row r="38" spans="1:120" s="264" customFormat="1" ht="14.25" customHeight="1" x14ac:dyDescent="0.2">
      <c r="A38" s="261" t="s">
        <v>120</v>
      </c>
      <c r="B38" s="261">
        <f>_xlfn.SINGLE(_xlfn.XLOOKUP(F38, $F$87:$F$95, $E$87:$E$95))</f>
        <v>8</v>
      </c>
      <c r="C38" s="261" t="s">
        <v>121</v>
      </c>
      <c r="D38" s="261" t="s">
        <v>109</v>
      </c>
      <c r="E38" s="261" t="s">
        <v>122</v>
      </c>
      <c r="F38" s="261" t="s">
        <v>111</v>
      </c>
      <c r="G38" s="268">
        <f t="array" ref="G38">INDEX('SC Cost File'!$A$2:$AB$31,MATCH($C38,'SC Cost File'!$A$2:$A$31,0),MATCH(G$7,'SC Cost File'!$A$2:$AB$2,0))/COUNTIF($G$7:$CV$7,G$7)</f>
        <v>15000</v>
      </c>
      <c r="H38" s="261">
        <f t="array" ref="H38">INDEX('SC Cost File'!$A$2:$AB$31,MATCH($C38,'SC Cost File'!$A$2:$A$31,0),MATCH(H$7,'SC Cost File'!$A$2:$AB$2,0))/COUNTIF($G$7:$CV$7,H$7)</f>
        <v>15000</v>
      </c>
      <c r="I38" s="261">
        <f t="array" ref="I38">INDEX('SC Cost File'!$A$2:$AB$31,MATCH($C38,'SC Cost File'!$A$2:$A$31,0),MATCH(I$7,'SC Cost File'!$A$2:$AB$2,0))/COUNTIF($G$7:$CV$7,I$7)</f>
        <v>7500</v>
      </c>
      <c r="J38" s="261">
        <f t="array" ref="J38">INDEX('SC Cost File'!$A$2:$AB$31,MATCH($C38,'SC Cost File'!$A$2:$A$31,0),MATCH(J$7,'SC Cost File'!$A$2:$AB$2,0))/COUNTIF($G$7:$CV$7,J$7)</f>
        <v>7500</v>
      </c>
      <c r="K38" s="261">
        <f t="array" ref="K38">INDEX('SC Cost File'!$A$2:$AB$31,MATCH($C38,'SC Cost File'!$A$2:$A$31,0),MATCH(K$7,'SC Cost File'!$A$2:$AB$2,0))/COUNTIF($G$7:$CV$7,K$7)</f>
        <v>7500</v>
      </c>
      <c r="L38" s="261">
        <f t="array" ref="L38">INDEX('SC Cost File'!$A$2:$AB$31,MATCH($C38,'SC Cost File'!$A$2:$A$31,0),MATCH(L$7,'SC Cost File'!$A$2:$AB$2,0))/COUNTIF($G$7:$CV$7,L$7)</f>
        <v>7500</v>
      </c>
      <c r="M38" s="261">
        <f t="array" ref="M38">INDEX('SC Cost File'!$A$2:$AB$31,MATCH($C38,'SC Cost File'!$A$2:$A$31,0),MATCH(M$7,'SC Cost File'!$A$2:$AB$2,0))/COUNTIF($G$7:$CV$7,M$7)</f>
        <v>7500</v>
      </c>
      <c r="N38" s="288">
        <f>SUMIF($O$8:$AV$8,"&gt;="&amp;'CURRENT FORECAST START DATE'!$C$4,'Weekly Spend'!O38:AV38)</f>
        <v>13384.62</v>
      </c>
      <c r="O38" s="261">
        <v>0</v>
      </c>
      <c r="P38" s="261">
        <v>0</v>
      </c>
      <c r="Q38" s="261">
        <v>0</v>
      </c>
      <c r="R38" s="261">
        <v>0</v>
      </c>
      <c r="S38" s="261">
        <v>0</v>
      </c>
      <c r="T38" s="261">
        <v>0</v>
      </c>
      <c r="U38" s="261">
        <v>31000</v>
      </c>
      <c r="V38" s="261">
        <v>0</v>
      </c>
      <c r="W38" s="261">
        <v>0</v>
      </c>
      <c r="X38" s="303">
        <v>29769.23</v>
      </c>
      <c r="Y38" s="261">
        <v>0</v>
      </c>
      <c r="Z38" s="303">
        <f>34169+162</f>
        <v>34331</v>
      </c>
      <c r="AA38" s="303">
        <f>34615</f>
        <v>34615</v>
      </c>
      <c r="AB38" s="261">
        <v>0</v>
      </c>
      <c r="AC38" s="261">
        <v>0</v>
      </c>
      <c r="AD38" s="303">
        <f>34950</f>
        <v>34950</v>
      </c>
      <c r="AE38" s="261">
        <v>0</v>
      </c>
      <c r="AF38" s="261">
        <v>0</v>
      </c>
      <c r="AG38" s="303">
        <f>36461.64+3692.31</f>
        <v>40153.949999999997</v>
      </c>
      <c r="AH38" s="261"/>
      <c r="AI38" s="261">
        <v>40000</v>
      </c>
      <c r="AJ38" s="261">
        <v>0</v>
      </c>
      <c r="AK38" s="303">
        <v>31615.39</v>
      </c>
      <c r="AL38" s="261"/>
      <c r="AM38" s="407"/>
      <c r="AN38" s="428">
        <v>35307.69</v>
      </c>
      <c r="AO38" s="432">
        <v>13384.62</v>
      </c>
      <c r="AP38" s="407">
        <v>0</v>
      </c>
      <c r="AQ38" s="261">
        <v>0</v>
      </c>
      <c r="AR38" s="261">
        <v>0</v>
      </c>
      <c r="AS38" s="261">
        <v>0</v>
      </c>
      <c r="AT38" s="261">
        <v>0</v>
      </c>
      <c r="AU38" s="261">
        <v>0</v>
      </c>
      <c r="AV38" s="261">
        <v>0</v>
      </c>
      <c r="AW38" s="261">
        <v>0</v>
      </c>
      <c r="AX38" s="261">
        <v>0</v>
      </c>
      <c r="AY38" s="261">
        <v>0</v>
      </c>
      <c r="AZ38" s="425">
        <v>50000</v>
      </c>
      <c r="BA38" s="261">
        <v>0</v>
      </c>
      <c r="BB38" s="261">
        <v>0</v>
      </c>
      <c r="BC38" s="425">
        <v>50000</v>
      </c>
      <c r="BD38" s="261">
        <v>0</v>
      </c>
      <c r="BE38" s="425">
        <v>40000</v>
      </c>
      <c r="BF38" s="261"/>
      <c r="BG38" s="261">
        <v>0</v>
      </c>
      <c r="BH38" s="261">
        <v>0</v>
      </c>
      <c r="BI38" s="425">
        <v>35000</v>
      </c>
      <c r="BJ38" s="261">
        <v>0</v>
      </c>
      <c r="BK38" s="261">
        <v>0</v>
      </c>
      <c r="BL38" s="401">
        <v>40250</v>
      </c>
      <c r="BM38" s="261">
        <v>0</v>
      </c>
      <c r="BN38" s="261">
        <v>0</v>
      </c>
      <c r="BO38" s="261">
        <v>0</v>
      </c>
      <c r="BP38" s="425">
        <v>35000</v>
      </c>
      <c r="BQ38" s="261">
        <v>0</v>
      </c>
      <c r="BR38" s="261">
        <v>0</v>
      </c>
      <c r="BS38" s="261">
        <v>0</v>
      </c>
      <c r="BT38" s="261">
        <v>0</v>
      </c>
      <c r="BU38" s="261">
        <v>0</v>
      </c>
      <c r="BV38" s="261">
        <v>0</v>
      </c>
      <c r="BW38" s="261">
        <v>0</v>
      </c>
      <c r="BX38" s="261">
        <v>0</v>
      </c>
      <c r="BY38" s="261">
        <v>0</v>
      </c>
      <c r="BZ38" s="261">
        <v>0</v>
      </c>
      <c r="CA38" s="261">
        <v>0</v>
      </c>
      <c r="CB38" s="261">
        <v>0</v>
      </c>
      <c r="CC38" s="261">
        <v>0</v>
      </c>
      <c r="CD38" s="261">
        <v>0</v>
      </c>
      <c r="CE38" s="261">
        <v>0</v>
      </c>
      <c r="CF38" s="261">
        <v>0</v>
      </c>
      <c r="CG38" s="261">
        <v>0</v>
      </c>
      <c r="CH38" s="261">
        <v>0</v>
      </c>
      <c r="CI38" s="261">
        <v>0</v>
      </c>
      <c r="CJ38" s="261">
        <v>0</v>
      </c>
      <c r="CK38" s="261">
        <v>0</v>
      </c>
      <c r="CL38" s="261">
        <v>0</v>
      </c>
      <c r="CM38" s="261">
        <v>0</v>
      </c>
      <c r="CN38" s="261">
        <v>0</v>
      </c>
      <c r="CO38" s="261">
        <v>0</v>
      </c>
      <c r="CP38" s="261">
        <v>0</v>
      </c>
      <c r="CQ38" s="261">
        <v>0</v>
      </c>
      <c r="CR38" s="261">
        <v>0</v>
      </c>
      <c r="CS38" s="261">
        <v>0</v>
      </c>
      <c r="CT38" s="261">
        <v>0</v>
      </c>
      <c r="CU38" s="261">
        <v>0</v>
      </c>
      <c r="CV38" s="261">
        <v>0</v>
      </c>
      <c r="CW38" s="265"/>
      <c r="CX38" s="265"/>
      <c r="CY38" s="265"/>
      <c r="CZ38" s="265"/>
      <c r="DA38" s="265"/>
      <c r="DB38" s="265"/>
      <c r="DC38" s="265"/>
      <c r="DD38" s="265"/>
      <c r="DE38" s="265"/>
      <c r="DF38" s="265"/>
      <c r="DG38" s="265"/>
      <c r="DH38" s="265"/>
      <c r="DI38" s="265"/>
      <c r="DJ38" s="265"/>
      <c r="DK38" s="265"/>
      <c r="DL38" s="265"/>
      <c r="DM38" s="265"/>
      <c r="DN38" s="265"/>
      <c r="DO38" s="265"/>
      <c r="DP38" s="265"/>
    </row>
    <row r="39" spans="1:120" s="273" customFormat="1" ht="14.25" customHeight="1" x14ac:dyDescent="0.2">
      <c r="A39" s="269" t="s">
        <v>75</v>
      </c>
      <c r="B39" s="269">
        <f>_xlfn.SINGLE(_xlfn.XLOOKUP(F39, $F$87:$F$95, $E$87:$E$95))</f>
        <v>2</v>
      </c>
      <c r="C39" s="269" t="s">
        <v>123</v>
      </c>
      <c r="D39" s="269" t="s">
        <v>124</v>
      </c>
      <c r="E39" s="269" t="s">
        <v>125</v>
      </c>
      <c r="F39" s="269" t="s">
        <v>126</v>
      </c>
      <c r="G39" s="269">
        <v>0</v>
      </c>
      <c r="H39" s="269">
        <v>0</v>
      </c>
      <c r="I39" s="269">
        <v>0</v>
      </c>
      <c r="J39" s="269">
        <v>0</v>
      </c>
      <c r="K39" s="269">
        <v>0</v>
      </c>
      <c r="L39" s="269">
        <v>0</v>
      </c>
      <c r="M39" s="269">
        <v>40000</v>
      </c>
      <c r="N39" s="290">
        <f>SUMIF($O$8:$AV$8,"&gt;="&amp;'CURRENT FORECAST START DATE'!$C$4,'Weekly Spend'!O39:AV39)</f>
        <v>40000</v>
      </c>
      <c r="O39" s="269">
        <v>0</v>
      </c>
      <c r="P39" s="269">
        <v>0</v>
      </c>
      <c r="Q39" s="269">
        <v>0</v>
      </c>
      <c r="R39" s="269">
        <v>40000</v>
      </c>
      <c r="S39" s="269">
        <v>0</v>
      </c>
      <c r="T39" s="269">
        <v>0</v>
      </c>
      <c r="U39" s="269">
        <v>0</v>
      </c>
      <c r="V39" s="269">
        <v>42853</v>
      </c>
      <c r="W39" s="269">
        <v>0</v>
      </c>
      <c r="X39" s="269">
        <v>0</v>
      </c>
      <c r="Y39" s="269">
        <v>0</v>
      </c>
      <c r="Z39" s="303">
        <v>42000</v>
      </c>
      <c r="AA39" s="269">
        <v>0</v>
      </c>
      <c r="AB39" s="269">
        <v>0</v>
      </c>
      <c r="AC39" s="269">
        <v>0</v>
      </c>
      <c r="AD39" s="269"/>
      <c r="AE39" s="303">
        <v>42000</v>
      </c>
      <c r="AF39" s="269">
        <v>0</v>
      </c>
      <c r="AG39" s="269">
        <v>0</v>
      </c>
      <c r="AH39" s="269"/>
      <c r="AI39" s="269">
        <v>0</v>
      </c>
      <c r="AJ39" s="303">
        <v>43500</v>
      </c>
      <c r="AK39" s="269">
        <v>0</v>
      </c>
      <c r="AL39" s="269"/>
      <c r="AM39" s="269">
        <v>0</v>
      </c>
      <c r="AN39" s="367">
        <v>40000</v>
      </c>
      <c r="AO39" s="389">
        <v>0</v>
      </c>
      <c r="AP39" s="269"/>
      <c r="AQ39" s="269"/>
      <c r="AR39" s="269">
        <v>40000</v>
      </c>
      <c r="AS39" s="269">
        <v>0</v>
      </c>
      <c r="AT39" s="269"/>
      <c r="AU39" s="269">
        <v>0</v>
      </c>
      <c r="AV39" s="269"/>
      <c r="AW39" s="269">
        <v>40000</v>
      </c>
      <c r="AX39" s="269"/>
      <c r="AY39" s="269">
        <v>0</v>
      </c>
      <c r="AZ39" s="269"/>
      <c r="BA39" s="269">
        <v>40000</v>
      </c>
      <c r="BB39" s="269"/>
      <c r="BC39" s="269">
        <v>0</v>
      </c>
      <c r="BD39" s="269"/>
      <c r="BE39" s="269">
        <v>40000</v>
      </c>
      <c r="BF39" s="269"/>
      <c r="BG39" s="269">
        <v>0</v>
      </c>
      <c r="BH39" s="269">
        <v>0</v>
      </c>
      <c r="BI39" s="269"/>
      <c r="BJ39" s="269">
        <v>40000</v>
      </c>
      <c r="BK39" s="269">
        <v>0</v>
      </c>
      <c r="BL39" s="269">
        <v>0</v>
      </c>
      <c r="BM39" s="269"/>
      <c r="BN39" s="269">
        <v>40000</v>
      </c>
      <c r="BO39" s="269">
        <v>0</v>
      </c>
      <c r="BP39" s="269">
        <v>0</v>
      </c>
      <c r="BQ39" s="269"/>
      <c r="BR39" s="269">
        <v>40000</v>
      </c>
      <c r="BS39" s="269">
        <v>0</v>
      </c>
      <c r="BT39" s="269">
        <v>0</v>
      </c>
      <c r="BU39" s="269">
        <v>0</v>
      </c>
      <c r="BW39" s="269"/>
      <c r="BZ39" s="269"/>
      <c r="CB39" s="269">
        <v>0</v>
      </c>
      <c r="CD39" s="269"/>
      <c r="CF39" s="269">
        <v>0</v>
      </c>
      <c r="CH39" s="269"/>
      <c r="CJ39" s="269">
        <v>0</v>
      </c>
      <c r="CK39" s="269"/>
      <c r="CM39" s="269"/>
      <c r="CO39" s="269">
        <v>0</v>
      </c>
      <c r="CP39" s="269"/>
      <c r="CQ39" s="269">
        <v>0</v>
      </c>
      <c r="CS39" s="269">
        <v>0</v>
      </c>
      <c r="CU39" s="269">
        <v>0</v>
      </c>
      <c r="CV39" s="269"/>
      <c r="CW39" s="272"/>
      <c r="CX39" s="272"/>
      <c r="CY39" s="272"/>
      <c r="CZ39" s="272"/>
      <c r="DA39" s="272"/>
      <c r="DB39" s="272"/>
      <c r="DC39" s="272"/>
      <c r="DD39" s="272"/>
      <c r="DE39" s="272"/>
      <c r="DF39" s="272"/>
      <c r="DG39" s="272"/>
      <c r="DH39" s="272"/>
      <c r="DI39" s="272"/>
      <c r="DJ39" s="272"/>
      <c r="DK39" s="272"/>
      <c r="DL39" s="272"/>
      <c r="DM39" s="272"/>
      <c r="DN39" s="272"/>
      <c r="DO39" s="272"/>
      <c r="DP39" s="272"/>
    </row>
    <row r="40" spans="1:120" s="273" customFormat="1" ht="14.25" customHeight="1" x14ac:dyDescent="0.2">
      <c r="A40" s="269" t="s">
        <v>75</v>
      </c>
      <c r="B40" s="269">
        <f>_xlfn.SINGLE(_xlfn.XLOOKUP(F40, $F$87:$F$95, $E$87:$E$95))</f>
        <v>2</v>
      </c>
      <c r="C40" s="269" t="s">
        <v>127</v>
      </c>
      <c r="D40" s="269" t="s">
        <v>128</v>
      </c>
      <c r="E40" s="269" t="s">
        <v>125</v>
      </c>
      <c r="F40" s="269" t="s">
        <v>126</v>
      </c>
      <c r="G40" s="269"/>
      <c r="H40" s="269"/>
      <c r="I40" s="269"/>
      <c r="J40" s="269"/>
      <c r="K40" s="269"/>
      <c r="L40" s="269"/>
      <c r="M40" s="274">
        <v>50000</v>
      </c>
      <c r="N40" s="290">
        <f>SUMIF($O$8:$AV$8,"&gt;="&amp;'CURRENT FORECAST START DATE'!$C$4,'Weekly Spend'!O40:AV40)</f>
        <v>22572.5</v>
      </c>
      <c r="O40" s="269">
        <v>0</v>
      </c>
      <c r="P40" s="269">
        <v>0</v>
      </c>
      <c r="Q40" s="269">
        <v>3500</v>
      </c>
      <c r="R40" s="269">
        <v>0</v>
      </c>
      <c r="S40" s="269">
        <v>0</v>
      </c>
      <c r="T40" s="269">
        <v>0</v>
      </c>
      <c r="U40" s="269">
        <v>0</v>
      </c>
      <c r="V40" s="269">
        <v>0</v>
      </c>
      <c r="W40" s="269">
        <v>0</v>
      </c>
      <c r="X40" s="269">
        <f>1040+143</f>
        <v>1183</v>
      </c>
      <c r="Y40" s="303">
        <f>4030+65</f>
        <v>4095</v>
      </c>
      <c r="Z40" s="303">
        <v>2249</v>
      </c>
      <c r="AA40" s="269"/>
      <c r="AB40" s="269"/>
      <c r="AC40" s="269"/>
      <c r="AD40" s="303">
        <v>15704</v>
      </c>
      <c r="AE40" s="303">
        <f>250+3999.91</f>
        <v>4249.91</v>
      </c>
      <c r="AF40" s="269">
        <v>12493</v>
      </c>
      <c r="AG40" s="269">
        <f>1573</f>
        <v>1573</v>
      </c>
      <c r="AH40" s="269">
        <f>1495+2834+1521+10000</f>
        <v>15850</v>
      </c>
      <c r="AI40" s="269">
        <v>4000</v>
      </c>
      <c r="AJ40" s="269">
        <v>3484</v>
      </c>
      <c r="AK40" s="269">
        <f>1963+195</f>
        <v>2158</v>
      </c>
      <c r="AL40" s="269">
        <v>7000</v>
      </c>
      <c r="AM40" s="269">
        <f>338+2327+429</f>
        <v>3094</v>
      </c>
      <c r="AN40" s="370">
        <f>4797+767+17797</f>
        <v>23361</v>
      </c>
      <c r="AO40" s="389"/>
      <c r="AP40" s="269"/>
      <c r="AQ40" s="269">
        <f>1485+1087.5</f>
        <v>2572.5</v>
      </c>
      <c r="AR40" s="269">
        <f t="shared" ref="AR40:CM40" si="17">3000+1000</f>
        <v>4000</v>
      </c>
      <c r="AS40" s="269">
        <f t="shared" si="17"/>
        <v>4000</v>
      </c>
      <c r="AT40" s="269">
        <f t="shared" si="17"/>
        <v>4000</v>
      </c>
      <c r="AU40" s="269">
        <f t="shared" si="17"/>
        <v>4000</v>
      </c>
      <c r="AV40" s="269">
        <f t="shared" si="17"/>
        <v>4000</v>
      </c>
      <c r="AW40" s="269">
        <f t="shared" si="17"/>
        <v>4000</v>
      </c>
      <c r="AX40" s="269">
        <f t="shared" si="17"/>
        <v>4000</v>
      </c>
      <c r="AY40" s="269">
        <f t="shared" si="17"/>
        <v>4000</v>
      </c>
      <c r="AZ40" s="269">
        <f t="shared" si="17"/>
        <v>4000</v>
      </c>
      <c r="BA40" s="269">
        <f t="shared" si="17"/>
        <v>4000</v>
      </c>
      <c r="BB40" s="269">
        <f t="shared" si="17"/>
        <v>4000</v>
      </c>
      <c r="BC40" s="269">
        <f t="shared" si="17"/>
        <v>4000</v>
      </c>
      <c r="BD40" s="269">
        <f t="shared" si="17"/>
        <v>4000</v>
      </c>
      <c r="BE40" s="269">
        <f t="shared" si="17"/>
        <v>4000</v>
      </c>
      <c r="BF40" s="269">
        <f t="shared" si="17"/>
        <v>4000</v>
      </c>
      <c r="BG40" s="269">
        <f t="shared" si="17"/>
        <v>4000</v>
      </c>
      <c r="BH40" s="269">
        <f t="shared" si="17"/>
        <v>4000</v>
      </c>
      <c r="BI40" s="269">
        <f t="shared" si="17"/>
        <v>4000</v>
      </c>
      <c r="BJ40" s="269">
        <f t="shared" si="17"/>
        <v>4000</v>
      </c>
      <c r="BK40" s="269">
        <f t="shared" si="17"/>
        <v>4000</v>
      </c>
      <c r="BL40" s="269">
        <f t="shared" si="17"/>
        <v>4000</v>
      </c>
      <c r="BM40" s="269"/>
      <c r="BN40" s="269"/>
      <c r="BO40" s="269">
        <f t="shared" si="17"/>
        <v>4000</v>
      </c>
      <c r="BP40" s="269">
        <f t="shared" si="17"/>
        <v>4000</v>
      </c>
      <c r="BQ40" s="269">
        <f t="shared" si="17"/>
        <v>4000</v>
      </c>
      <c r="BR40" s="269">
        <f t="shared" si="17"/>
        <v>4000</v>
      </c>
      <c r="BS40" s="269">
        <f t="shared" si="17"/>
        <v>4000</v>
      </c>
      <c r="BT40" s="269">
        <f t="shared" si="17"/>
        <v>4000</v>
      </c>
      <c r="BU40" s="269">
        <f t="shared" si="17"/>
        <v>4000</v>
      </c>
      <c r="BV40" s="269">
        <f t="shared" si="17"/>
        <v>4000</v>
      </c>
      <c r="BW40" s="269">
        <f t="shared" si="17"/>
        <v>4000</v>
      </c>
      <c r="BX40" s="269">
        <f t="shared" si="17"/>
        <v>4000</v>
      </c>
      <c r="BY40" s="269">
        <f t="shared" si="17"/>
        <v>4000</v>
      </c>
      <c r="BZ40" s="269">
        <f t="shared" si="17"/>
        <v>4000</v>
      </c>
      <c r="CA40" s="269">
        <f t="shared" si="17"/>
        <v>4000</v>
      </c>
      <c r="CB40" s="269">
        <f t="shared" si="17"/>
        <v>4000</v>
      </c>
      <c r="CC40" s="269">
        <f t="shared" si="17"/>
        <v>4000</v>
      </c>
      <c r="CD40" s="269">
        <f t="shared" si="17"/>
        <v>4000</v>
      </c>
      <c r="CE40" s="269">
        <f t="shared" si="17"/>
        <v>4000</v>
      </c>
      <c r="CF40" s="269">
        <f t="shared" si="17"/>
        <v>4000</v>
      </c>
      <c r="CG40" s="269">
        <f t="shared" si="17"/>
        <v>4000</v>
      </c>
      <c r="CH40" s="269">
        <f t="shared" si="17"/>
        <v>4000</v>
      </c>
      <c r="CI40" s="269">
        <f t="shared" si="17"/>
        <v>4000</v>
      </c>
      <c r="CJ40" s="269">
        <f t="shared" si="17"/>
        <v>4000</v>
      </c>
      <c r="CK40" s="269">
        <f t="shared" si="17"/>
        <v>4000</v>
      </c>
      <c r="CL40" s="269">
        <f t="shared" si="17"/>
        <v>4000</v>
      </c>
      <c r="CM40" s="269">
        <f t="shared" si="17"/>
        <v>4000</v>
      </c>
      <c r="CN40" s="269">
        <f t="shared" ref="CN40:CV40" si="18">3000+1000</f>
        <v>4000</v>
      </c>
      <c r="CO40" s="269">
        <f t="shared" si="18"/>
        <v>4000</v>
      </c>
      <c r="CP40" s="269">
        <f t="shared" si="18"/>
        <v>4000</v>
      </c>
      <c r="CQ40" s="269">
        <f t="shared" si="18"/>
        <v>4000</v>
      </c>
      <c r="CR40" s="269">
        <f t="shared" si="18"/>
        <v>4000</v>
      </c>
      <c r="CS40" s="269">
        <f t="shared" si="18"/>
        <v>4000</v>
      </c>
      <c r="CT40" s="269">
        <f t="shared" si="18"/>
        <v>4000</v>
      </c>
      <c r="CU40" s="269">
        <f t="shared" si="18"/>
        <v>4000</v>
      </c>
      <c r="CV40" s="269">
        <f t="shared" si="18"/>
        <v>4000</v>
      </c>
      <c r="CW40" s="272"/>
      <c r="CX40" s="272"/>
      <c r="CY40" s="272"/>
      <c r="CZ40" s="272"/>
      <c r="DA40" s="272"/>
      <c r="DB40" s="272"/>
      <c r="DC40" s="272"/>
      <c r="DD40" s="272"/>
      <c r="DE40" s="272"/>
      <c r="DF40" s="272"/>
      <c r="DG40" s="272"/>
      <c r="DH40" s="272"/>
      <c r="DI40" s="272"/>
      <c r="DJ40" s="272"/>
      <c r="DK40" s="272"/>
      <c r="DL40" s="272"/>
      <c r="DM40" s="272"/>
      <c r="DN40" s="272"/>
      <c r="DO40" s="272"/>
      <c r="DP40" s="272"/>
    </row>
    <row r="41" spans="1:120" s="273" customFormat="1" ht="14.25" customHeight="1" x14ac:dyDescent="0.2">
      <c r="A41" s="269" t="s">
        <v>129</v>
      </c>
      <c r="B41" s="269">
        <f>_xlfn.SINGLE(_xlfn.XLOOKUP(F41, $F$87:$F$95, $E$87:$E$95))</f>
        <v>2</v>
      </c>
      <c r="C41" s="269" t="s">
        <v>130</v>
      </c>
      <c r="D41" s="270" t="s">
        <v>131</v>
      </c>
      <c r="E41" s="270" t="s">
        <v>132</v>
      </c>
      <c r="F41" s="270" t="s">
        <v>126</v>
      </c>
      <c r="G41" s="269"/>
      <c r="H41" s="269"/>
      <c r="I41" s="271">
        <v>24152.95</v>
      </c>
      <c r="J41" s="269"/>
      <c r="K41" s="269"/>
      <c r="L41" s="269"/>
      <c r="M41" s="269">
        <f>I41</f>
        <v>24152.95</v>
      </c>
      <c r="N41" s="289">
        <f>SUMIF($O$8:$AV$8,"&gt;="&amp;'CURRENT FORECAST START DATE'!$C$4,'Weekly Spend'!O41:AV41)</f>
        <v>44000</v>
      </c>
      <c r="O41" s="269">
        <v>0</v>
      </c>
      <c r="P41" s="269">
        <v>0</v>
      </c>
      <c r="Q41" s="269">
        <v>0</v>
      </c>
      <c r="R41" s="269">
        <f>I41</f>
        <v>24152.95</v>
      </c>
      <c r="S41" s="270">
        <v>0</v>
      </c>
      <c r="T41" s="270">
        <v>0</v>
      </c>
      <c r="U41" s="270">
        <v>0</v>
      </c>
      <c r="V41" s="270">
        <v>0</v>
      </c>
      <c r="W41" s="270">
        <v>0</v>
      </c>
      <c r="X41" s="270">
        <v>0</v>
      </c>
      <c r="Y41" s="270">
        <v>0</v>
      </c>
      <c r="Z41" s="303">
        <f>9300+15598</f>
        <v>24898</v>
      </c>
      <c r="AA41" s="270">
        <v>0</v>
      </c>
      <c r="AB41" s="270">
        <v>0</v>
      </c>
      <c r="AC41" s="270">
        <v>0</v>
      </c>
      <c r="AD41" s="270"/>
      <c r="AE41" s="303">
        <v>20000</v>
      </c>
      <c r="AF41" s="270">
        <v>0</v>
      </c>
      <c r="AG41" s="270">
        <v>0</v>
      </c>
      <c r="AH41" s="270">
        <v>0</v>
      </c>
      <c r="AI41" s="270">
        <f>AD41</f>
        <v>0</v>
      </c>
      <c r="AJ41" s="270">
        <v>0</v>
      </c>
      <c r="AK41" s="270">
        <v>0</v>
      </c>
      <c r="AL41" s="270">
        <v>0</v>
      </c>
      <c r="AM41" s="270">
        <f>AI41</f>
        <v>0</v>
      </c>
      <c r="AN41" s="270">
        <v>0</v>
      </c>
      <c r="AO41" s="390">
        <v>0</v>
      </c>
      <c r="AP41" s="270">
        <v>0</v>
      </c>
      <c r="AQ41" s="270"/>
      <c r="AR41" s="270">
        <v>22000</v>
      </c>
      <c r="AS41" s="270">
        <v>0</v>
      </c>
      <c r="AT41" s="270">
        <v>0</v>
      </c>
      <c r="AU41" s="270">
        <v>0</v>
      </c>
      <c r="AV41" s="270">
        <v>22000</v>
      </c>
      <c r="AW41" s="270">
        <v>0</v>
      </c>
      <c r="AX41" s="270">
        <v>0</v>
      </c>
      <c r="AY41" s="270">
        <v>0</v>
      </c>
      <c r="AZ41" s="270">
        <v>22000</v>
      </c>
      <c r="BA41" s="270">
        <v>0</v>
      </c>
      <c r="BB41" s="270">
        <v>0</v>
      </c>
      <c r="BC41" s="270">
        <v>0</v>
      </c>
      <c r="BD41" s="270">
        <v>22000</v>
      </c>
      <c r="BE41" s="270">
        <v>0</v>
      </c>
      <c r="BF41" s="270">
        <v>0</v>
      </c>
      <c r="BG41" s="270">
        <v>0</v>
      </c>
      <c r="BH41" s="270">
        <v>0</v>
      </c>
      <c r="BI41" s="270">
        <v>22000</v>
      </c>
      <c r="BJ41" s="270">
        <v>0</v>
      </c>
      <c r="BK41" s="270">
        <v>0</v>
      </c>
      <c r="BL41" s="270">
        <v>0</v>
      </c>
      <c r="BM41" s="270">
        <v>22000</v>
      </c>
      <c r="BN41" s="270">
        <v>0</v>
      </c>
      <c r="BO41" s="270">
        <v>0</v>
      </c>
      <c r="BP41" s="270">
        <v>0</v>
      </c>
      <c r="BQ41" s="270">
        <v>22000</v>
      </c>
      <c r="BR41" s="270">
        <v>0</v>
      </c>
      <c r="BS41" s="270">
        <v>0</v>
      </c>
      <c r="BT41" s="270">
        <v>0</v>
      </c>
      <c r="BU41" s="270">
        <v>0</v>
      </c>
      <c r="BV41" s="270">
        <v>22000</v>
      </c>
      <c r="BW41" s="270">
        <v>0</v>
      </c>
      <c r="BX41" s="270">
        <v>0</v>
      </c>
      <c r="BY41" s="270">
        <v>0</v>
      </c>
      <c r="BZ41" s="270">
        <v>22000</v>
      </c>
      <c r="CA41" s="270">
        <v>0</v>
      </c>
      <c r="CB41" s="270">
        <v>0</v>
      </c>
      <c r="CC41" s="270">
        <v>0</v>
      </c>
      <c r="CD41" s="270">
        <v>0</v>
      </c>
      <c r="CE41" s="270">
        <v>22000</v>
      </c>
      <c r="CF41" s="270">
        <v>0</v>
      </c>
      <c r="CG41" s="270">
        <v>0</v>
      </c>
      <c r="CH41" s="270">
        <v>0</v>
      </c>
      <c r="CI41" s="270">
        <v>22000</v>
      </c>
      <c r="CJ41" s="270">
        <v>0</v>
      </c>
      <c r="CK41" s="270">
        <v>0</v>
      </c>
      <c r="CL41" s="270">
        <v>0</v>
      </c>
      <c r="CM41" s="270">
        <v>22000</v>
      </c>
      <c r="CN41" s="270">
        <v>0</v>
      </c>
      <c r="CO41" s="270">
        <v>0</v>
      </c>
      <c r="CP41" s="270">
        <v>0</v>
      </c>
      <c r="CQ41" s="270">
        <v>0</v>
      </c>
      <c r="CR41" s="270">
        <v>22000</v>
      </c>
      <c r="CS41" s="270">
        <v>0</v>
      </c>
      <c r="CT41" s="270">
        <v>0</v>
      </c>
      <c r="CU41" s="270">
        <v>0</v>
      </c>
      <c r="CV41" s="270">
        <v>22000</v>
      </c>
      <c r="CW41" s="272"/>
      <c r="CX41" s="272"/>
      <c r="CY41" s="272"/>
      <c r="CZ41" s="272"/>
      <c r="DA41" s="272"/>
      <c r="DB41" s="272"/>
      <c r="DC41" s="272"/>
      <c r="DD41" s="272"/>
      <c r="DE41" s="272"/>
      <c r="DF41" s="272"/>
      <c r="DG41" s="272"/>
      <c r="DH41" s="272"/>
      <c r="DI41" s="272"/>
      <c r="DJ41" s="272"/>
      <c r="DK41" s="272"/>
      <c r="DL41" s="272"/>
      <c r="DM41" s="272"/>
      <c r="DN41" s="272"/>
      <c r="DO41" s="272"/>
      <c r="DP41" s="272"/>
    </row>
    <row r="42" spans="1:120" s="273" customFormat="1" ht="14.25" customHeight="1" x14ac:dyDescent="0.2">
      <c r="A42" s="270" t="s">
        <v>120</v>
      </c>
      <c r="B42" s="270">
        <f>_xlfn.SINGLE(_xlfn.XLOOKUP(F42, $F$87:$F$95, $E$87:$E$95))</f>
        <v>8</v>
      </c>
      <c r="C42" s="270" t="s">
        <v>133</v>
      </c>
      <c r="D42" s="270" t="s">
        <v>134</v>
      </c>
      <c r="E42" s="270" t="s">
        <v>125</v>
      </c>
      <c r="F42" s="427" t="s">
        <v>111</v>
      </c>
      <c r="G42" s="270">
        <f t="array" ref="G42">INDEX('SC Cost File'!$A$2:$AB$31,MATCH($C42,'SC Cost File'!$A$2:$A$31,0),MATCH(G$7,'SC Cost File'!$A$2:$AB$2,0))/COUNTIF($G$7:$CV$7,G$7)</f>
        <v>0</v>
      </c>
      <c r="H42" s="270">
        <f t="array" ref="H42">INDEX('SC Cost File'!$A$2:$AB$31,MATCH($C42,'SC Cost File'!$A$2:$A$31,0),MATCH(H$7,'SC Cost File'!$A$2:$AB$2,0))/COUNTIF($G$7:$CV$7,H$7)</f>
        <v>0</v>
      </c>
      <c r="I42" s="270">
        <f t="array" ref="I42">INDEX('SC Cost File'!$A$2:$AB$31,MATCH($C42,'SC Cost File'!$A$2:$A$31,0),MATCH(I$7,'SC Cost File'!$A$2:$AB$2,0))/COUNTIF($G$7:$CV$7,I$7)</f>
        <v>0</v>
      </c>
      <c r="J42" s="270">
        <f t="array" ref="J42">INDEX('SC Cost File'!$A$2:$AB$31,MATCH($C42,'SC Cost File'!$A$2:$A$31,0),MATCH(J$7,'SC Cost File'!$A$2:$AB$2,0))/COUNTIF($G$7:$CV$7,J$7)</f>
        <v>0</v>
      </c>
      <c r="K42" s="270">
        <f t="array" ref="K42">INDEX('SC Cost File'!$A$2:$AB$31,MATCH($C42,'SC Cost File'!$A$2:$A$31,0),MATCH(K$7,'SC Cost File'!$A$2:$AB$2,0))/COUNTIF($G$7:$CV$7,K$7)</f>
        <v>0</v>
      </c>
      <c r="L42" s="270">
        <f t="array" ref="L42">INDEX('SC Cost File'!$A$2:$AB$31,MATCH($C42,'SC Cost File'!$A$2:$A$31,0),MATCH(L$7,'SC Cost File'!$A$2:$AB$2,0))/COUNTIF($G$7:$CV$7,L$7)</f>
        <v>0</v>
      </c>
      <c r="M42" s="270">
        <f t="array" ref="M42">INDEX('SC Cost File'!$A$2:$AB$31,MATCH($C42,'SC Cost File'!$A$2:$A$31,0),MATCH(M$7,'SC Cost File'!$A$2:$AB$2,0))/COUNTIF($G$7:$CV$7,M$7)</f>
        <v>0</v>
      </c>
      <c r="N42" s="289">
        <f>SUMIF($O$8:$AV$8,"&gt;="&amp;'CURRENT FORECAST START DATE'!$C$4,'Weekly Spend'!O42:AV42)</f>
        <v>0</v>
      </c>
      <c r="O42" s="270">
        <f t="array" ref="O42">INDEX('SC Cost File'!$A$2:$AB$31,MATCH($C42,'SC Cost File'!$A$2:$A$31,0),MATCH(O$7,'SC Cost File'!$A$2:$AB$2,0))/COUNTIF($G$7:$CV$7,O$7)</f>
        <v>0</v>
      </c>
      <c r="P42" s="270">
        <f t="array" ref="P42">INDEX('SC Cost File'!$A$2:$AB$31,MATCH($C42,'SC Cost File'!$A$2:$A$31,0),MATCH(P$7,'SC Cost File'!$A$2:$AB$2,0))/COUNTIF($G$7:$CV$7,P$7)</f>
        <v>0</v>
      </c>
      <c r="Q42" s="270">
        <f t="array" ref="Q42">INDEX('SC Cost File'!$A$2:$AB$31,MATCH($C42,'SC Cost File'!$A$2:$A$31,0),MATCH(Q$7,'SC Cost File'!$A$2:$AB$2,0))/COUNTIF($G$7:$CV$7,Q$7)</f>
        <v>0</v>
      </c>
      <c r="R42" s="270">
        <f t="array" ref="R42">INDEX('SC Cost File'!$A$2:$AB$31,MATCH($C42,'SC Cost File'!$A$2:$A$31,0),MATCH(R$7,'SC Cost File'!$A$2:$AB$2,0))/COUNTIF($G$7:$CV$7,R$7)</f>
        <v>0</v>
      </c>
      <c r="S42" s="270">
        <f t="array" ref="S42">INDEX('SC Cost File'!$A$2:$AB$31,MATCH($C42,'SC Cost File'!$A$2:$A$31,0),MATCH(S$7,'SC Cost File'!$A$2:$AB$2,0))/COUNTIF($G$7:$CV$7,S$7)</f>
        <v>0</v>
      </c>
      <c r="T42" s="270">
        <f t="array" ref="T42">INDEX('SC Cost File'!$A$2:$AB$31,MATCH($C42,'SC Cost File'!$A$2:$A$31,0),MATCH(T$7,'SC Cost File'!$A$2:$AB$2,0))/COUNTIF($G$7:$CV$7,T$7)</f>
        <v>0</v>
      </c>
      <c r="U42" s="270">
        <f t="array" ref="U42">INDEX('SC Cost File'!$A$2:$AB$31,MATCH($C42,'SC Cost File'!$A$2:$A$31,0),MATCH(U$7,'SC Cost File'!$A$2:$AB$2,0))/COUNTIF($G$7:$CV$7,U$7)</f>
        <v>0</v>
      </c>
      <c r="V42" s="270">
        <f t="array" ref="V42">INDEX('SC Cost File'!$A$2:$AB$31,MATCH($C42,'SC Cost File'!$A$2:$A$31,0),MATCH(V$7,'SC Cost File'!$A$2:$AB$2,0))/COUNTIF($G$7:$CV$7,V$7)</f>
        <v>0</v>
      </c>
      <c r="W42" s="270">
        <f t="array" ref="W42">INDEX('SC Cost File'!$A$2:$AB$31,MATCH($C42,'SC Cost File'!$A$2:$A$31,0),MATCH(W$7,'SC Cost File'!$A$2:$AB$2,0))/COUNTIF($G$7:$CV$7,W$7)</f>
        <v>0</v>
      </c>
      <c r="X42" s="270">
        <f t="array" ref="X42">INDEX('SC Cost File'!$A$2:$AB$31,MATCH($C42,'SC Cost File'!$A$2:$A$31,0),MATCH(X$7,'SC Cost File'!$A$2:$AB$2,0))/COUNTIF($G$7:$CV$7,X$7)</f>
        <v>0</v>
      </c>
      <c r="Y42" s="270">
        <f t="array" ref="Y42">INDEX('SC Cost File'!$A$2:$AB$31,MATCH($C42,'SC Cost File'!$A$2:$A$31,0),MATCH(Y$7,'SC Cost File'!$A$2:$AB$2,0))/COUNTIF($G$7:$CV$7,Y$7)</f>
        <v>0</v>
      </c>
      <c r="Z42" s="270">
        <f t="array" ref="Z42">INDEX('SC Cost File'!$A$2:$AB$31,MATCH($C42,'SC Cost File'!$A$2:$A$31,0),MATCH(Z$7,'SC Cost File'!$A$2:$AB$2,0))/COUNTIF($G$7:$CV$7,Z$7)</f>
        <v>0</v>
      </c>
      <c r="AA42" s="270">
        <f t="array" ref="AA42">INDEX('SC Cost File'!$A$2:$AB$31,MATCH($C42,'SC Cost File'!$A$2:$A$31,0),MATCH(AA$7,'SC Cost File'!$A$2:$AB$2,0))/COUNTIF($G$7:$CV$7,AA$7)</f>
        <v>0</v>
      </c>
      <c r="AB42" s="270">
        <f t="array" ref="AB42">INDEX('SC Cost File'!$A$2:$AB$31,MATCH($C42,'SC Cost File'!$A$2:$A$31,0),MATCH(AB$7,'SC Cost File'!$A$2:$AB$2,0))/COUNTIF($G$7:$CV$7,AB$7)</f>
        <v>0</v>
      </c>
      <c r="AC42" s="270">
        <f t="array" ref="AC42">INDEX('SC Cost File'!$A$2:$AB$31,MATCH($C42,'SC Cost File'!$A$2:$A$31,0),MATCH(AC$7,'SC Cost File'!$A$2:$AB$2,0))/COUNTIF($G$7:$CV$7,AC$7)</f>
        <v>0</v>
      </c>
      <c r="AD42" s="270">
        <f t="array" ref="AD42">INDEX('SC Cost File'!$A$2:$AB$31,MATCH($C42,'SC Cost File'!$A$2:$A$31,0),MATCH(AD$7,'SC Cost File'!$A$2:$AB$2,0))/COUNTIF($G$7:$CV$7,AD$7)</f>
        <v>0</v>
      </c>
      <c r="AE42" s="270"/>
      <c r="AF42" s="270">
        <f t="array" ref="AF42">INDEX('SC Cost File'!$A$2:$AB$31,MATCH($C42,'SC Cost File'!$A$2:$A$31,0),MATCH(AF$7,'SC Cost File'!$A$2:$AB$2,0))/COUNTIF($G$7:$CV$7,AF$7)</f>
        <v>0</v>
      </c>
      <c r="AG42" s="270">
        <f t="array" ref="AG42">INDEX('SC Cost File'!$A$2:$AB$31,MATCH($C42,'SC Cost File'!$A$2:$A$31,0),MATCH(AG$7,'SC Cost File'!$A$2:$AB$2,0))/COUNTIF($G$7:$CV$7,AG$7)</f>
        <v>0</v>
      </c>
      <c r="AH42" s="270">
        <f t="array" ref="AH42">INDEX('SC Cost File'!$A$2:$AB$31,MATCH($C42,'SC Cost File'!$A$2:$A$31,0),MATCH(AH$7,'SC Cost File'!$A$2:$AB$2,0))/COUNTIF($G$7:$CV$7,AH$7)</f>
        <v>0</v>
      </c>
      <c r="AI42" s="270">
        <f t="array" ref="AI42">INDEX('SC Cost File'!$A$2:$AB$31,MATCH($C42,'SC Cost File'!$A$2:$A$31,0),MATCH(AI$7,'SC Cost File'!$A$2:$AB$2,0))/COUNTIF($G$7:$CV$7,AI$7)</f>
        <v>0</v>
      </c>
      <c r="AJ42" s="270">
        <f t="array" ref="AJ42">INDEX('SC Cost File'!$A$2:$AB$31,MATCH($C42,'SC Cost File'!$A$2:$A$31,0),MATCH(AJ$7,'SC Cost File'!$A$2:$AB$2,0))/COUNTIF($G$7:$CV$7,AJ$7)</f>
        <v>0</v>
      </c>
      <c r="AK42" s="270"/>
      <c r="AL42" s="270"/>
      <c r="AM42" s="270">
        <f t="array" ref="AM42">INDEX('SC Cost File'!$A$2:$AB$31,MATCH($C42,'SC Cost File'!$A$2:$A$31,0),MATCH(AM$7,'SC Cost File'!$A$2:$AB$2,0))/COUNTIF($G$7:$CV$7,AM$7)</f>
        <v>0</v>
      </c>
      <c r="AN42" s="270"/>
      <c r="AO42" s="390"/>
      <c r="AP42" s="270"/>
      <c r="AQ42" s="404"/>
      <c r="AR42" s="270">
        <f t="array" ref="AR42">INDEX('SC Cost File'!$A$2:$AB$31,MATCH($C42,'SC Cost File'!$A$2:$A$31,0),MATCH(AR$7,'SC Cost File'!$A$2:$AB$2,0))/COUNTIF($G$7:$CV$7,AR$7)</f>
        <v>0</v>
      </c>
      <c r="AS42" s="270">
        <f t="array" ref="AS42">INDEX('SC Cost File'!$A$2:$AB$31,MATCH($C42,'SC Cost File'!$A$2:$A$31,0),MATCH(AS$7,'SC Cost File'!$A$2:$AB$2,0))/COUNTIF($G$7:$CV$7,AS$7)</f>
        <v>0</v>
      </c>
      <c r="AT42" s="270">
        <f t="array" ref="AT42">INDEX('SC Cost File'!$A$2:$AB$31,MATCH($C42,'SC Cost File'!$A$2:$A$31,0),MATCH(AT$7,'SC Cost File'!$A$2:$AB$2,0))/COUNTIF($G$7:$CV$7,AT$7)</f>
        <v>0</v>
      </c>
      <c r="AU42" s="270"/>
      <c r="AV42" s="270">
        <f t="array" ref="AV42">INDEX('SC Cost File'!$A$2:$AB$31,MATCH($C42,'SC Cost File'!$A$2:$A$31,0),MATCH(AV$7,'SC Cost File'!$A$2:$AB$2,0))/COUNTIF($G$7:$CV$7,AV$7)</f>
        <v>0</v>
      </c>
      <c r="AW42" s="270">
        <f t="array" ref="AW42">INDEX('SC Cost File'!$A$2:$AB$31,MATCH($C42,'SC Cost File'!$A$2:$A$31,0),MATCH(AW$7,'SC Cost File'!$A$2:$AB$2,0))/COUNTIF($G$7:$CV$7,AW$7)</f>
        <v>0</v>
      </c>
      <c r="AX42" s="270">
        <f t="array" ref="AX42">INDEX('SC Cost File'!$A$2:$AB$31,MATCH($C42,'SC Cost File'!$A$2:$A$31,0),MATCH(AX$7,'SC Cost File'!$A$2:$AB$2,0))/COUNTIF($G$7:$CV$7,AX$7)</f>
        <v>0</v>
      </c>
      <c r="AY42" s="270">
        <f t="array" ref="AY42">INDEX('SC Cost File'!$A$2:$AB$31,MATCH($C42,'SC Cost File'!$A$2:$A$31,0),MATCH(AY$7,'SC Cost File'!$A$2:$AB$2,0))/COUNTIF($G$7:$CV$7,AY$7)</f>
        <v>0</v>
      </c>
      <c r="AZ42" s="270">
        <f t="array" ref="AZ42">INDEX('SC Cost File'!$A$2:$AB$31,MATCH($C42,'SC Cost File'!$A$2:$A$31,0),MATCH(AZ$7,'SC Cost File'!$A$2:$AB$2,0))/COUNTIF($G$7:$CV$7,AZ$7)</f>
        <v>0</v>
      </c>
      <c r="BA42" s="270">
        <f t="array" ref="BA42">INDEX('SC Cost File'!$A$2:$AB$31,MATCH($C42,'SC Cost File'!$A$2:$A$31,0),MATCH(BA$7,'SC Cost File'!$A$2:$AB$2,0))/COUNTIF($G$7:$CV$7,BA$7)</f>
        <v>0</v>
      </c>
      <c r="BB42" s="270">
        <f t="array" ref="BB42">INDEX('SC Cost File'!$A$2:$AB$31,MATCH($C42,'SC Cost File'!$A$2:$A$31,0),MATCH(BB$7,'SC Cost File'!$A$2:$AB$2,0))/COUNTIF($G$7:$CV$7,BB$7)</f>
        <v>0</v>
      </c>
      <c r="BC42" s="270">
        <f t="array" ref="BC42">INDEX('SC Cost File'!$A$2:$AB$31,MATCH($C42,'SC Cost File'!$A$2:$A$31,0),MATCH(BC$7,'SC Cost File'!$A$2:$AB$2,0))/COUNTIF($G$7:$CV$7,BC$7)</f>
        <v>0</v>
      </c>
      <c r="BD42" s="270">
        <f t="array" ref="BD42">INDEX('SC Cost File'!$A$2:$AB$31,MATCH($C42,'SC Cost File'!$A$2:$A$31,0),MATCH(BD$7,'SC Cost File'!$A$2:$AB$2,0))/COUNTIF($G$7:$CV$7,BD$7)</f>
        <v>0</v>
      </c>
      <c r="BE42" s="270">
        <f t="array" ref="BE42">INDEX('SC Cost File'!$A$2:$AB$31,MATCH($C42,'SC Cost File'!$A$2:$A$31,0),MATCH(BE$7,'SC Cost File'!$A$2:$AB$2,0))/COUNTIF($G$7:$CV$7,BE$7)</f>
        <v>0</v>
      </c>
      <c r="BF42" s="270">
        <f t="array" ref="BF42">INDEX('SC Cost File'!$A$2:$AB$31,MATCH($C42,'SC Cost File'!$A$2:$A$31,0),MATCH(BF$7,'SC Cost File'!$A$2:$AB$2,0))/COUNTIF($G$7:$CV$7,BF$7)</f>
        <v>0</v>
      </c>
      <c r="BG42" s="270">
        <f t="array" ref="BG42">INDEX('SC Cost File'!$A$2:$AB$31,MATCH($C42,'SC Cost File'!$A$2:$A$31,0),MATCH(BG$7,'SC Cost File'!$A$2:$AB$2,0))/COUNTIF($G$7:$CV$7,BG$7)</f>
        <v>0</v>
      </c>
      <c r="BH42" s="270">
        <f t="array" ref="BH42">INDEX('SC Cost File'!$A$2:$AB$31,MATCH($C42,'SC Cost File'!$A$2:$A$31,0),MATCH(BH$7,'SC Cost File'!$A$2:$AB$2,0))/COUNTIF($G$7:$CV$7,BH$7)</f>
        <v>0</v>
      </c>
      <c r="BI42" s="270">
        <f t="array" ref="BI42">INDEX('SC Cost File'!$A$2:$AB$31,MATCH($C42,'SC Cost File'!$A$2:$A$31,0),MATCH(BI$7,'SC Cost File'!$A$2:$AB$2,0))/COUNTIF($G$7:$CV$7,BI$7)</f>
        <v>0</v>
      </c>
      <c r="BJ42" s="270">
        <f t="array" ref="BJ42">INDEX('SC Cost File'!$A$2:$AB$31,MATCH($C42,'SC Cost File'!$A$2:$A$31,0),MATCH(BJ$7,'SC Cost File'!$A$2:$AB$2,0))/COUNTIF($G$7:$CV$7,BJ$7)</f>
        <v>0</v>
      </c>
      <c r="BK42" s="270">
        <f t="array" ref="BK42">INDEX('SC Cost File'!$A$2:$AB$31,MATCH($C42,'SC Cost File'!$A$2:$A$31,0),MATCH(BK$7,'SC Cost File'!$A$2:$AB$2,0))/COUNTIF($G$7:$CV$7,BK$7)</f>
        <v>0</v>
      </c>
      <c r="BL42" s="270">
        <f t="array" ref="BL42">INDEX('SC Cost File'!$A$2:$AB$31,MATCH($C42,'SC Cost File'!$A$2:$A$31,0),MATCH(BL$7,'SC Cost File'!$A$2:$AB$2,0))/COUNTIF($G$7:$CV$7,BL$7)</f>
        <v>0</v>
      </c>
      <c r="BM42" s="270">
        <f t="array" ref="BM42">INDEX('SC Cost File'!$A$2:$AB$31,MATCH($C42,'SC Cost File'!$A$2:$A$31,0),MATCH(BM$7,'SC Cost File'!$A$2:$AB$2,0))/COUNTIF($G$7:$CV$7,BM$7)</f>
        <v>0</v>
      </c>
      <c r="BN42" s="270">
        <f t="array" ref="BN42">INDEX('SC Cost File'!$A$2:$AB$31,MATCH($C42,'SC Cost File'!$A$2:$A$31,0),MATCH(BN$7,'SC Cost File'!$A$2:$AB$2,0))/COUNTIF($G$7:$CV$7,BN$7)</f>
        <v>0</v>
      </c>
      <c r="BO42" s="270">
        <f t="array" ref="BO42">INDEX('SC Cost File'!$A$2:$AB$31,MATCH($C42,'SC Cost File'!$A$2:$A$31,0),MATCH(BO$7,'SC Cost File'!$A$2:$AB$2,0))/COUNTIF($G$7:$CV$7,BO$7)</f>
        <v>0</v>
      </c>
      <c r="BP42" s="270">
        <f t="array" ref="BP42">INDEX('SC Cost File'!$A$2:$AB$31,MATCH($C42,'SC Cost File'!$A$2:$A$31,0),MATCH(BP$7,'SC Cost File'!$A$2:$AB$2,0))/COUNTIF($G$7:$CV$7,BP$7)</f>
        <v>0</v>
      </c>
      <c r="BQ42" s="270">
        <f t="array" ref="BQ42">INDEX('SC Cost File'!$A$2:$AB$31,MATCH($C42,'SC Cost File'!$A$2:$A$31,0),MATCH(BQ$7,'SC Cost File'!$A$2:$AB$2,0))/COUNTIF($G$7:$CV$7,BQ$7)</f>
        <v>0</v>
      </c>
      <c r="BR42" s="270">
        <f t="array" ref="BR42">INDEX('SC Cost File'!$A$2:$AB$31,MATCH($C42,'SC Cost File'!$A$2:$A$31,0),MATCH(BR$7,'SC Cost File'!$A$2:$AB$2,0))/COUNTIF($G$7:$CV$7,BR$7)</f>
        <v>0</v>
      </c>
      <c r="BS42" s="270">
        <f t="array" ref="BS42">INDEX('SC Cost File'!$A$2:$AB$31,MATCH($C42,'SC Cost File'!$A$2:$A$31,0),MATCH(BS$7,'SC Cost File'!$A$2:$AB$2,0))/COUNTIF($G$7:$CV$7,BS$7)</f>
        <v>0</v>
      </c>
      <c r="BT42" s="270">
        <f t="array" ref="BT42">INDEX('SC Cost File'!$A$2:$AB$31,MATCH($C42,'SC Cost File'!$A$2:$A$31,0),MATCH(BT$7,'SC Cost File'!$A$2:$AB$2,0))/COUNTIF($G$7:$CV$7,BT$7)</f>
        <v>0</v>
      </c>
      <c r="BU42" s="270">
        <f t="array" ref="BU42">INDEX('SC Cost File'!$A$2:$AB$31,MATCH($C42,'SC Cost File'!$A$2:$A$31,0),MATCH(BU$7,'SC Cost File'!$A$2:$AB$2,0))/COUNTIF($G$7:$CV$7,BU$7)</f>
        <v>0</v>
      </c>
      <c r="BV42" s="270">
        <f t="array" ref="BV42">INDEX('SC Cost File'!$A$2:$AB$31,MATCH($C42,'SC Cost File'!$A$2:$A$31,0),MATCH(BV$7,'SC Cost File'!$A$2:$AB$2,0))/COUNTIF($G$7:$CV$7,BV$7)</f>
        <v>0</v>
      </c>
      <c r="BW42" s="270">
        <f t="array" ref="BW42">INDEX('SC Cost File'!$A$2:$AB$31,MATCH($C42,'SC Cost File'!$A$2:$A$31,0),MATCH(BW$7,'SC Cost File'!$A$2:$AB$2,0))/COUNTIF($G$7:$CV$7,BW$7)</f>
        <v>0</v>
      </c>
      <c r="BX42" s="270">
        <f t="array" ref="BX42">INDEX('SC Cost File'!$A$2:$AB$31,MATCH($C42,'SC Cost File'!$A$2:$A$31,0),MATCH(BX$7,'SC Cost File'!$A$2:$AB$2,0))/COUNTIF($G$7:$CV$7,BX$7)</f>
        <v>0</v>
      </c>
      <c r="BY42" s="270">
        <f t="array" ref="BY42">INDEX('SC Cost File'!$A$2:$AB$31,MATCH($C42,'SC Cost File'!$A$2:$A$31,0),MATCH(BY$7,'SC Cost File'!$A$2:$AB$2,0))/COUNTIF($G$7:$CV$7,BY$7)</f>
        <v>0</v>
      </c>
      <c r="BZ42" s="270">
        <f t="array" ref="BZ42">INDEX('SC Cost File'!$A$2:$AB$31,MATCH($C42,'SC Cost File'!$A$2:$A$31,0),MATCH(BZ$7,'SC Cost File'!$A$2:$AB$2,0))/COUNTIF($G$7:$CV$7,BZ$7)</f>
        <v>0</v>
      </c>
      <c r="CA42" s="270">
        <f t="array" ref="CA42">INDEX('SC Cost File'!$A$2:$AB$31,MATCH($C42,'SC Cost File'!$A$2:$A$31,0),MATCH(CA$7,'SC Cost File'!$A$2:$AB$2,0))/COUNTIF($G$7:$CV$7,CA$7)</f>
        <v>0</v>
      </c>
      <c r="CB42" s="270">
        <f t="array" ref="CB42">INDEX('SC Cost File'!$A$2:$AB$31,MATCH($C42,'SC Cost File'!$A$2:$A$31,0),MATCH(CB$7,'SC Cost File'!$A$2:$AB$2,0))/COUNTIF($G$7:$CV$7,CB$7)</f>
        <v>0</v>
      </c>
      <c r="CC42" s="270">
        <f t="array" ref="CC42">INDEX('SC Cost File'!$A$2:$AB$31,MATCH($C42,'SC Cost File'!$A$2:$A$31,0),MATCH(CC$7,'SC Cost File'!$A$2:$AB$2,0))/COUNTIF($G$7:$CV$7,CC$7)</f>
        <v>0</v>
      </c>
      <c r="CD42" s="270">
        <f t="array" ref="CD42">INDEX('SC Cost File'!$A$2:$AB$31,MATCH($C42,'SC Cost File'!$A$2:$A$31,0),MATCH(CD$7,'SC Cost File'!$A$2:$AB$2,0))/COUNTIF($G$7:$CV$7,CD$7)</f>
        <v>0</v>
      </c>
      <c r="CE42" s="270">
        <f t="array" ref="CE42">INDEX('SC Cost File'!$A$2:$AB$31,MATCH($C42,'SC Cost File'!$A$2:$A$31,0),MATCH(CE$7,'SC Cost File'!$A$2:$AB$2,0))/COUNTIF($G$7:$CV$7,CE$7)</f>
        <v>0</v>
      </c>
      <c r="CF42" s="270">
        <f t="array" ref="CF42">INDEX('SC Cost File'!$A$2:$AB$31,MATCH($C42,'SC Cost File'!$A$2:$A$31,0),MATCH(CF$7,'SC Cost File'!$A$2:$AB$2,0))/COUNTIF($G$7:$CV$7,CF$7)</f>
        <v>0</v>
      </c>
      <c r="CG42" s="270">
        <f t="array" ref="CG42">INDEX('SC Cost File'!$A$2:$AB$31,MATCH($C42,'SC Cost File'!$A$2:$A$31,0),MATCH(CG$7,'SC Cost File'!$A$2:$AB$2,0))/COUNTIF($G$7:$CV$7,CG$7)</f>
        <v>0</v>
      </c>
      <c r="CH42" s="270">
        <f t="array" ref="CH42">INDEX('SC Cost File'!$A$2:$AB$31,MATCH($C42,'SC Cost File'!$A$2:$A$31,0),MATCH(CH$7,'SC Cost File'!$A$2:$AB$2,0))/COUNTIF($G$7:$CV$7,CH$7)</f>
        <v>0</v>
      </c>
      <c r="CI42" s="270">
        <f t="array" ref="CI42">INDEX('SC Cost File'!$A$2:$AB$31,MATCH($C42,'SC Cost File'!$A$2:$A$31,0),MATCH(CI$7,'SC Cost File'!$A$2:$AB$2,0))/COUNTIF($G$7:$CV$7,CI$7)</f>
        <v>0</v>
      </c>
      <c r="CJ42" s="270">
        <f t="array" ref="CJ42">INDEX('SC Cost File'!$A$2:$AB$31,MATCH($C42,'SC Cost File'!$A$2:$A$31,0),MATCH(CJ$7,'SC Cost File'!$A$2:$AB$2,0))/COUNTIF($G$7:$CV$7,CJ$7)</f>
        <v>0</v>
      </c>
      <c r="CK42" s="270">
        <f t="array" ref="CK42">INDEX('SC Cost File'!$A$2:$AB$31,MATCH($C42,'SC Cost File'!$A$2:$A$31,0),MATCH(CK$7,'SC Cost File'!$A$2:$AB$2,0))/COUNTIF($G$7:$CV$7,CK$7)</f>
        <v>0</v>
      </c>
      <c r="CL42" s="270">
        <f t="array" ref="CL42">INDEX('SC Cost File'!$A$2:$AB$31,MATCH($C42,'SC Cost File'!$A$2:$A$31,0),MATCH(CL$7,'SC Cost File'!$A$2:$AB$2,0))/COUNTIF($G$7:$CV$7,CL$7)</f>
        <v>0</v>
      </c>
      <c r="CM42" s="270">
        <f t="array" ref="CM42">INDEX('SC Cost File'!$A$2:$AB$31,MATCH($C42,'SC Cost File'!$A$2:$A$31,0),MATCH(CM$7,'SC Cost File'!$A$2:$AB$2,0))/COUNTIF($G$7:$CV$7,CM$7)</f>
        <v>0</v>
      </c>
      <c r="CN42" s="270">
        <f t="array" ref="CN42">INDEX('SC Cost File'!$A$2:$AB$31,MATCH($C42,'SC Cost File'!$A$2:$A$31,0),MATCH(CN$7,'SC Cost File'!$A$2:$AB$2,0))/COUNTIF($G$7:$CV$7,CN$7)</f>
        <v>3200</v>
      </c>
      <c r="CO42" s="270">
        <f t="array" ref="CO42">INDEX('SC Cost File'!$A$2:$AB$31,MATCH($C42,'SC Cost File'!$A$2:$A$31,0),MATCH(CO$7,'SC Cost File'!$A$2:$AB$2,0))/COUNTIF($G$7:$CV$7,CO$7)</f>
        <v>3200</v>
      </c>
      <c r="CP42" s="270">
        <f t="array" ref="CP42">INDEX('SC Cost File'!$A$2:$AB$31,MATCH($C42,'SC Cost File'!$A$2:$A$31,0),MATCH(CP$7,'SC Cost File'!$A$2:$AB$2,0))/COUNTIF($G$7:$CV$7,CP$7)</f>
        <v>3200</v>
      </c>
      <c r="CQ42" s="270">
        <f t="array" ref="CQ42">INDEX('SC Cost File'!$A$2:$AB$31,MATCH($C42,'SC Cost File'!$A$2:$A$31,0),MATCH(CQ$7,'SC Cost File'!$A$2:$AB$2,0))/COUNTIF($G$7:$CV$7,CQ$7)</f>
        <v>3200</v>
      </c>
      <c r="CR42" s="270">
        <f t="array" ref="CR42">INDEX('SC Cost File'!$A$2:$AB$31,MATCH($C42,'SC Cost File'!$A$2:$A$31,0),MATCH(CR$7,'SC Cost File'!$A$2:$AB$2,0))/COUNTIF($G$7:$CV$7,CR$7)</f>
        <v>3200</v>
      </c>
      <c r="CS42" s="270">
        <f t="array" ref="CS42">INDEX('SC Cost File'!$A$2:$AB$31,MATCH($C42,'SC Cost File'!$A$2:$A$31,0),MATCH(CS$7,'SC Cost File'!$A$2:$AB$2,0))/COUNTIF($G$7:$CV$7,CS$7)</f>
        <v>0</v>
      </c>
      <c r="CT42" s="270">
        <f t="array" ref="CT42">INDEX('SC Cost File'!$A$2:$AB$31,MATCH($C42,'SC Cost File'!$A$2:$A$31,0),MATCH(CT$7,'SC Cost File'!$A$2:$AB$2,0))/COUNTIF($G$7:$CV$7,CT$7)</f>
        <v>0</v>
      </c>
      <c r="CU42" s="270">
        <f t="array" ref="CU42">INDEX('SC Cost File'!$A$2:$AB$31,MATCH($C42,'SC Cost File'!$A$2:$A$31,0),MATCH(CU$7,'SC Cost File'!$A$2:$AB$2,0))/COUNTIF($G$7:$CV$7,CU$7)</f>
        <v>0</v>
      </c>
      <c r="CV42" s="270">
        <f t="array" ref="CV42">INDEX('SC Cost File'!$A$2:$AB$31,MATCH($C42,'SC Cost File'!$A$2:$A$31,0),MATCH(CV$7,'SC Cost File'!$A$2:$AB$2,0))/COUNTIF($G$7:$CV$7,CV$7)</f>
        <v>0</v>
      </c>
      <c r="CW42" s="272"/>
      <c r="CX42" s="272"/>
      <c r="CY42" s="272"/>
      <c r="CZ42" s="272"/>
      <c r="DA42" s="272"/>
      <c r="DB42" s="272"/>
      <c r="DC42" s="272"/>
      <c r="DD42" s="272"/>
      <c r="DE42" s="272"/>
      <c r="DF42" s="272"/>
      <c r="DG42" s="272"/>
      <c r="DH42" s="272"/>
      <c r="DI42" s="272"/>
      <c r="DJ42" s="272"/>
      <c r="DK42" s="272"/>
      <c r="DL42" s="272"/>
      <c r="DM42" s="272"/>
      <c r="DN42" s="272"/>
      <c r="DO42" s="272"/>
      <c r="DP42" s="272"/>
    </row>
    <row r="43" spans="1:120" s="273" customFormat="1" ht="14.25" customHeight="1" x14ac:dyDescent="0.2">
      <c r="A43" s="270"/>
      <c r="B43" s="270"/>
      <c r="C43" s="270"/>
      <c r="D43" s="270" t="s">
        <v>135</v>
      </c>
      <c r="E43" s="270" t="s">
        <v>125</v>
      </c>
      <c r="F43" s="427" t="s">
        <v>111</v>
      </c>
      <c r="G43" s="270"/>
      <c r="H43" s="270"/>
      <c r="I43" s="270"/>
      <c r="J43" s="270"/>
      <c r="K43" s="270"/>
      <c r="L43" s="270"/>
      <c r="M43" s="270"/>
      <c r="N43" s="289">
        <f>SUMIF($O$8:$AV$8,"&gt;="&amp;'CURRENT FORECAST START DATE'!$C$4,'Weekly Spend'!O43:AV43)</f>
        <v>5000</v>
      </c>
      <c r="O43" s="270"/>
      <c r="P43" s="270"/>
      <c r="Q43" s="270"/>
      <c r="R43" s="270"/>
      <c r="S43" s="270"/>
      <c r="T43" s="270"/>
      <c r="U43" s="270"/>
      <c r="V43" s="270"/>
      <c r="W43" s="270"/>
      <c r="X43" s="270"/>
      <c r="Y43" s="270"/>
      <c r="Z43" s="270"/>
      <c r="AA43" s="270"/>
      <c r="AB43" s="270"/>
      <c r="AC43" s="270"/>
      <c r="AD43" s="270"/>
      <c r="AE43" s="270"/>
      <c r="AF43" s="270"/>
      <c r="AG43" s="270"/>
      <c r="AH43" s="270"/>
      <c r="AI43" s="270"/>
      <c r="AJ43" s="270"/>
      <c r="AK43" s="270"/>
      <c r="AL43" s="270"/>
      <c r="AM43" s="270"/>
      <c r="AN43" s="270"/>
      <c r="AO43" s="390"/>
      <c r="AP43" s="270"/>
      <c r="AQ43" s="270"/>
      <c r="AR43" s="270"/>
      <c r="AS43" s="270"/>
      <c r="AT43" s="270"/>
      <c r="AU43" s="404">
        <v>5000</v>
      </c>
      <c r="AV43" s="270"/>
      <c r="AW43" s="270"/>
      <c r="AX43" s="270"/>
      <c r="AY43" s="270"/>
      <c r="AZ43" s="270"/>
      <c r="BA43" s="270"/>
      <c r="BB43" s="270"/>
      <c r="BC43" s="270"/>
      <c r="BD43" s="270"/>
      <c r="BE43" s="270"/>
      <c r="BF43" s="270"/>
      <c r="BG43" s="270"/>
      <c r="BH43" s="270"/>
      <c r="BI43" s="270"/>
      <c r="BJ43" s="270"/>
      <c r="BK43" s="270"/>
      <c r="BL43" s="270"/>
      <c r="BM43" s="270"/>
      <c r="BN43" s="270"/>
      <c r="BO43" s="270"/>
      <c r="BP43" s="270"/>
      <c r="BQ43" s="270"/>
      <c r="BR43" s="270"/>
      <c r="BS43" s="270"/>
      <c r="BT43" s="270"/>
      <c r="BU43" s="270"/>
      <c r="BV43" s="270"/>
      <c r="BW43" s="270"/>
      <c r="BX43" s="270"/>
      <c r="BY43" s="270"/>
      <c r="BZ43" s="270"/>
      <c r="CA43" s="270"/>
      <c r="CB43" s="270"/>
      <c r="CC43" s="270"/>
      <c r="CD43" s="270"/>
      <c r="CE43" s="270"/>
      <c r="CF43" s="270"/>
      <c r="CG43" s="270"/>
      <c r="CH43" s="270"/>
      <c r="CI43" s="270"/>
      <c r="CJ43" s="270"/>
      <c r="CK43" s="270"/>
      <c r="CL43" s="270"/>
      <c r="CM43" s="270"/>
      <c r="CN43" s="270"/>
      <c r="CO43" s="270"/>
      <c r="CP43" s="270"/>
      <c r="CQ43" s="270"/>
      <c r="CR43" s="270"/>
      <c r="CS43" s="270"/>
      <c r="CT43" s="270"/>
      <c r="CU43" s="270"/>
      <c r="CV43" s="270"/>
      <c r="CW43" s="272"/>
      <c r="CX43" s="272"/>
      <c r="CY43" s="272"/>
      <c r="CZ43" s="272"/>
      <c r="DA43" s="272"/>
      <c r="DB43" s="272"/>
      <c r="DC43" s="272"/>
      <c r="DD43" s="272"/>
      <c r="DE43" s="272"/>
      <c r="DF43" s="272"/>
      <c r="DG43" s="272"/>
      <c r="DH43" s="272"/>
      <c r="DI43" s="272"/>
      <c r="DJ43" s="272"/>
      <c r="DK43" s="272"/>
      <c r="DL43" s="272"/>
      <c r="DM43" s="272"/>
      <c r="DN43" s="272"/>
      <c r="DO43" s="272"/>
      <c r="DP43" s="272"/>
    </row>
    <row r="44" spans="1:120" s="273" customFormat="1" ht="14.25" customHeight="1" x14ac:dyDescent="0.2">
      <c r="A44" s="270"/>
      <c r="B44" s="270"/>
      <c r="C44" s="270"/>
      <c r="D44" s="270" t="s">
        <v>136</v>
      </c>
      <c r="E44" s="270" t="s">
        <v>125</v>
      </c>
      <c r="F44" s="427" t="s">
        <v>111</v>
      </c>
      <c r="G44" s="270"/>
      <c r="H44" s="270"/>
      <c r="I44" s="270"/>
      <c r="J44" s="270"/>
      <c r="K44" s="270"/>
      <c r="L44" s="270"/>
      <c r="M44" s="270"/>
      <c r="N44" s="289">
        <f>SUMIF($O$8:$AV$8,"&gt;="&amp;'CURRENT FORECAST START DATE'!$C$4,'Weekly Spend'!O44:AV44)</f>
        <v>12500</v>
      </c>
      <c r="O44" s="270"/>
      <c r="P44" s="270"/>
      <c r="Q44" s="270"/>
      <c r="R44" s="270"/>
      <c r="S44" s="270"/>
      <c r="T44" s="270"/>
      <c r="U44" s="270"/>
      <c r="V44" s="270"/>
      <c r="W44" s="270"/>
      <c r="X44" s="270"/>
      <c r="Y44" s="270"/>
      <c r="Z44" s="270"/>
      <c r="AA44" s="270"/>
      <c r="AB44" s="270"/>
      <c r="AC44" s="270"/>
      <c r="AD44" s="270"/>
      <c r="AE44" s="270"/>
      <c r="AF44" s="270"/>
      <c r="AG44" s="270"/>
      <c r="AH44" s="270"/>
      <c r="AI44" s="270"/>
      <c r="AJ44" s="270"/>
      <c r="AK44" s="270"/>
      <c r="AL44" s="270"/>
      <c r="AM44" s="270"/>
      <c r="AN44" s="270"/>
      <c r="AO44" s="390"/>
      <c r="AP44" s="270"/>
      <c r="AQ44" s="270"/>
      <c r="AR44" s="270"/>
      <c r="AS44" s="270"/>
      <c r="AT44" s="404">
        <v>12500</v>
      </c>
      <c r="AU44" s="270"/>
      <c r="AV44" s="270"/>
      <c r="AW44" s="270"/>
      <c r="AX44" s="270"/>
      <c r="AY44" s="270"/>
      <c r="AZ44" s="270"/>
      <c r="BA44" s="270"/>
      <c r="BB44" s="270"/>
      <c r="BC44" s="270"/>
      <c r="BD44" s="270"/>
      <c r="BE44" s="270"/>
      <c r="BF44" s="270"/>
      <c r="BG44" s="270"/>
      <c r="BH44" s="270"/>
      <c r="BI44" s="270"/>
      <c r="BJ44" s="270"/>
      <c r="BK44" s="270"/>
      <c r="BL44" s="270"/>
      <c r="BM44" s="270"/>
      <c r="BN44" s="270"/>
      <c r="BO44" s="270"/>
      <c r="BP44" s="270"/>
      <c r="BQ44" s="270"/>
      <c r="BR44" s="270"/>
      <c r="BS44" s="270"/>
      <c r="BT44" s="270"/>
      <c r="BU44" s="270"/>
      <c r="BV44" s="270"/>
      <c r="BW44" s="270"/>
      <c r="BX44" s="270"/>
      <c r="BY44" s="270"/>
      <c r="BZ44" s="270"/>
      <c r="CA44" s="270"/>
      <c r="CB44" s="270"/>
      <c r="CC44" s="270"/>
      <c r="CD44" s="270"/>
      <c r="CE44" s="270"/>
      <c r="CF44" s="270"/>
      <c r="CG44" s="270"/>
      <c r="CH44" s="270"/>
      <c r="CI44" s="270"/>
      <c r="CJ44" s="270"/>
      <c r="CK44" s="270"/>
      <c r="CL44" s="270"/>
      <c r="CM44" s="270"/>
      <c r="CN44" s="270"/>
      <c r="CO44" s="270"/>
      <c r="CP44" s="270"/>
      <c r="CQ44" s="270"/>
      <c r="CR44" s="270"/>
      <c r="CS44" s="270"/>
      <c r="CT44" s="270"/>
      <c r="CU44" s="270"/>
      <c r="CV44" s="270"/>
      <c r="CW44" s="272"/>
      <c r="CX44" s="272"/>
      <c r="CY44" s="272"/>
      <c r="CZ44" s="272"/>
      <c r="DA44" s="272"/>
      <c r="DB44" s="272"/>
      <c r="DC44" s="272"/>
      <c r="DD44" s="272"/>
      <c r="DE44" s="272"/>
      <c r="DF44" s="272"/>
      <c r="DG44" s="272"/>
      <c r="DH44" s="272"/>
      <c r="DI44" s="272"/>
      <c r="DJ44" s="272"/>
      <c r="DK44" s="272"/>
      <c r="DL44" s="272"/>
      <c r="DM44" s="272"/>
      <c r="DN44" s="272"/>
      <c r="DO44" s="272"/>
      <c r="DP44" s="272"/>
    </row>
    <row r="45" spans="1:120" s="273" customFormat="1" ht="14.25" customHeight="1" x14ac:dyDescent="0.2">
      <c r="A45" s="270"/>
      <c r="B45" s="270"/>
      <c r="C45" s="270"/>
      <c r="D45" s="270" t="s">
        <v>137</v>
      </c>
      <c r="E45" s="270" t="s">
        <v>125</v>
      </c>
      <c r="F45" s="404" t="s">
        <v>111</v>
      </c>
      <c r="G45" s="270"/>
      <c r="H45" s="270"/>
      <c r="I45" s="270"/>
      <c r="J45" s="270"/>
      <c r="K45" s="270"/>
      <c r="L45" s="270"/>
      <c r="M45" s="270"/>
      <c r="N45" s="289">
        <f>SUMIF($O$8:$AV$8,"&gt;="&amp;'CURRENT FORECAST START DATE'!$C$4,'Weekly Spend'!O45:AV45)</f>
        <v>28250</v>
      </c>
      <c r="O45" s="270"/>
      <c r="P45" s="270"/>
      <c r="Q45" s="270"/>
      <c r="R45" s="270"/>
      <c r="S45" s="270"/>
      <c r="T45" s="270"/>
      <c r="U45" s="270"/>
      <c r="V45" s="270"/>
      <c r="W45" s="270"/>
      <c r="X45" s="270"/>
      <c r="Y45" s="270"/>
      <c r="Z45" s="270"/>
      <c r="AA45" s="270"/>
      <c r="AB45" s="270"/>
      <c r="AC45" s="270"/>
      <c r="AD45" s="270"/>
      <c r="AE45" s="270"/>
      <c r="AF45" s="270"/>
      <c r="AG45" s="270"/>
      <c r="AH45" s="270"/>
      <c r="AI45" s="270"/>
      <c r="AJ45" s="270"/>
      <c r="AK45" s="270"/>
      <c r="AL45" s="270"/>
      <c r="AM45" s="270"/>
      <c r="AN45" s="270"/>
      <c r="AO45" s="390"/>
      <c r="AP45" s="270"/>
      <c r="AQ45" s="270"/>
      <c r="AR45" s="404">
        <v>28250</v>
      </c>
      <c r="AS45" s="270"/>
      <c r="AT45" s="270"/>
      <c r="AU45" s="270"/>
      <c r="AV45" s="270"/>
      <c r="AW45" s="270"/>
      <c r="AX45" s="270"/>
      <c r="AY45" s="270"/>
      <c r="AZ45" s="270"/>
      <c r="BA45" s="270"/>
      <c r="BB45" s="270"/>
      <c r="BC45" s="270"/>
      <c r="BD45" s="270"/>
      <c r="BE45" s="270"/>
      <c r="BF45" s="270"/>
      <c r="BG45" s="270"/>
      <c r="BH45" s="270"/>
      <c r="BI45" s="270"/>
      <c r="BJ45" s="270"/>
      <c r="BK45" s="270"/>
      <c r="BL45" s="270"/>
      <c r="BM45" s="270"/>
      <c r="BN45" s="270"/>
      <c r="BO45" s="270"/>
      <c r="BP45" s="270"/>
      <c r="BQ45" s="270"/>
      <c r="BR45" s="270"/>
      <c r="BS45" s="270"/>
      <c r="BT45" s="270"/>
      <c r="BU45" s="270"/>
      <c r="BV45" s="270"/>
      <c r="BW45" s="270"/>
      <c r="BX45" s="270"/>
      <c r="BY45" s="270"/>
      <c r="BZ45" s="270"/>
      <c r="CA45" s="270"/>
      <c r="CB45" s="270"/>
      <c r="CC45" s="270"/>
      <c r="CD45" s="270"/>
      <c r="CE45" s="270"/>
      <c r="CF45" s="270"/>
      <c r="CG45" s="270"/>
      <c r="CH45" s="270"/>
      <c r="CI45" s="270"/>
      <c r="CJ45" s="270"/>
      <c r="CK45" s="270"/>
      <c r="CL45" s="270"/>
      <c r="CM45" s="270"/>
      <c r="CN45" s="270"/>
      <c r="CO45" s="270"/>
      <c r="CP45" s="270"/>
      <c r="CQ45" s="270"/>
      <c r="CR45" s="270"/>
      <c r="CS45" s="270"/>
      <c r="CT45" s="270"/>
      <c r="CU45" s="270"/>
      <c r="CV45" s="270"/>
      <c r="CW45" s="272"/>
      <c r="CX45" s="272"/>
      <c r="CY45" s="272"/>
      <c r="CZ45" s="272"/>
      <c r="DA45" s="272"/>
      <c r="DB45" s="272"/>
      <c r="DC45" s="272"/>
      <c r="DD45" s="272"/>
      <c r="DE45" s="272"/>
      <c r="DF45" s="272"/>
      <c r="DG45" s="272"/>
      <c r="DH45" s="272"/>
      <c r="DI45" s="272"/>
      <c r="DJ45" s="272"/>
      <c r="DK45" s="272"/>
      <c r="DL45" s="272"/>
      <c r="DM45" s="272"/>
      <c r="DN45" s="272"/>
      <c r="DO45" s="272"/>
      <c r="DP45" s="272"/>
    </row>
    <row r="46" spans="1:120" s="273" customFormat="1" ht="14.25" customHeight="1" x14ac:dyDescent="0.2">
      <c r="A46" s="270" t="s">
        <v>120</v>
      </c>
      <c r="B46" s="270">
        <f t="shared" ref="B46:B51" si="19">_xlfn.SINGLE(_xlfn.XLOOKUP(F46, $F$87:$F$95, $E$87:$E$95))</f>
        <v>2</v>
      </c>
      <c r="C46" s="270" t="s">
        <v>138</v>
      </c>
      <c r="D46" s="270" t="s">
        <v>139</v>
      </c>
      <c r="E46" s="270" t="s">
        <v>110</v>
      </c>
      <c r="F46" s="270" t="s">
        <v>126</v>
      </c>
      <c r="G46" s="270">
        <f t="array" ref="G46">INDEX('SC Cost File'!$A$2:$AB$31,MATCH($C46,'SC Cost File'!$A$2:$A$31,0),MATCH(G$7,'SC Cost File'!$A$2:$AB$2,0))/COUNTIF($G$7:$CV$7,G$7)</f>
        <v>1000</v>
      </c>
      <c r="H46" s="270">
        <f t="array" ref="H46">INDEX('SC Cost File'!$A$2:$AB$31,MATCH($C46,'SC Cost File'!$A$2:$A$31,0),MATCH(H$7,'SC Cost File'!$A$2:$AB$2,0))/COUNTIF($G$7:$CV$7,H$7)</f>
        <v>1000</v>
      </c>
      <c r="I46" s="270">
        <f t="array" ref="I46">INDEX('SC Cost File'!$A$2:$AB$31,MATCH($C46,'SC Cost File'!$A$2:$A$31,0),MATCH(I$7,'SC Cost File'!$A$2:$AB$2,0))/COUNTIF($G$7:$CV$7,I$7)</f>
        <v>500</v>
      </c>
      <c r="J46" s="270">
        <f t="array" ref="J46">INDEX('SC Cost File'!$A$2:$AB$31,MATCH($C46,'SC Cost File'!$A$2:$A$31,0),MATCH(J$7,'SC Cost File'!$A$2:$AB$2,0))/COUNTIF($G$7:$CV$7,J$7)</f>
        <v>500</v>
      </c>
      <c r="K46" s="270">
        <f t="array" ref="K46">INDEX('SC Cost File'!$A$2:$AB$31,MATCH($C46,'SC Cost File'!$A$2:$A$31,0),MATCH(K$7,'SC Cost File'!$A$2:$AB$2,0))/COUNTIF($G$7:$CV$7,K$7)</f>
        <v>500</v>
      </c>
      <c r="L46" s="270">
        <f t="array" ref="L46">INDEX('SC Cost File'!$A$2:$AB$31,MATCH($C46,'SC Cost File'!$A$2:$A$31,0),MATCH(L$7,'SC Cost File'!$A$2:$AB$2,0))/COUNTIF($G$7:$CV$7,L$7)</f>
        <v>500</v>
      </c>
      <c r="M46" s="270">
        <f t="array" ref="M46">INDEX('SC Cost File'!$A$2:$AB$31,MATCH($C46,'SC Cost File'!$A$2:$A$31,0),MATCH(M$7,'SC Cost File'!$A$2:$AB$2,0))/COUNTIF($G$7:$CV$7,M$7)</f>
        <v>500</v>
      </c>
      <c r="N46" s="289">
        <f>SUMIF($O$8:$AV$8,"&gt;="&amp;'CURRENT FORECAST START DATE'!$C$4,'Weekly Spend'!O46:AV46)</f>
        <v>2663</v>
      </c>
      <c r="O46" s="270">
        <f t="array" ref="O46">INDEX('SC Cost File'!$A$2:$AB$31,MATCH($C46,'SC Cost File'!$A$2:$A$31,0),MATCH(O$7,'SC Cost File'!$A$2:$AB$2,0))/COUNTIF($G$7:$CV$7,O$7)</f>
        <v>500</v>
      </c>
      <c r="P46" s="270">
        <f t="array" ref="P46">INDEX('SC Cost File'!$A$2:$AB$31,MATCH($C46,'SC Cost File'!$A$2:$A$31,0),MATCH(P$7,'SC Cost File'!$A$2:$AB$2,0))/COUNTIF($G$7:$CV$7,P$7)</f>
        <v>500</v>
      </c>
      <c r="Q46" s="270">
        <f t="array" ref="Q46">INDEX('SC Cost File'!$A$2:$AB$31,MATCH($C46,'SC Cost File'!$A$2:$A$31,0),MATCH(Q$7,'SC Cost File'!$A$2:$AB$2,0))/COUNTIF($G$7:$CV$7,Q$7)</f>
        <v>500</v>
      </c>
      <c r="R46" s="270">
        <f t="array" ref="R46">INDEX('SC Cost File'!$A$2:$AB$31,MATCH($C46,'SC Cost File'!$A$2:$A$31,0),MATCH(R$7,'SC Cost File'!$A$2:$AB$2,0))/COUNTIF($G$7:$CV$7,R$7)</f>
        <v>400</v>
      </c>
      <c r="S46" s="270">
        <f t="array" ref="S46">INDEX('SC Cost File'!$A$2:$AB$31,MATCH($C46,'SC Cost File'!$A$2:$A$31,0),MATCH(S$7,'SC Cost File'!$A$2:$AB$2,0))/COUNTIF($G$7:$CV$7,S$7)</f>
        <v>400</v>
      </c>
      <c r="T46" s="270">
        <f t="array" ref="T46">INDEX('SC Cost File'!$A$2:$AB$31,MATCH($C46,'SC Cost File'!$A$2:$A$31,0),MATCH(T$7,'SC Cost File'!$A$2:$AB$2,0))/COUNTIF($G$7:$CV$7,T$7)</f>
        <v>400</v>
      </c>
      <c r="U46" s="270">
        <f t="array" ref="U46">INDEX('SC Cost File'!$A$2:$AB$31,MATCH($C46,'SC Cost File'!$A$2:$A$31,0),MATCH(U$7,'SC Cost File'!$A$2:$AB$2,0))/COUNTIF($G$7:$CV$7,U$7)</f>
        <v>400</v>
      </c>
      <c r="V46" s="270">
        <v>0</v>
      </c>
      <c r="W46" s="270">
        <v>0</v>
      </c>
      <c r="X46" s="270">
        <f t="array" ref="X46">INDEX('SC Cost File'!$A$2:$AB$31,MATCH($C46,'SC Cost File'!$A$2:$A$31,0),MATCH(X$7,'SC Cost File'!$A$2:$AB$2,0))/COUNTIF($G$7:$CV$7,X$7)</f>
        <v>500</v>
      </c>
      <c r="Y46" s="270">
        <f t="array" ref="Y46">INDEX('SC Cost File'!$A$2:$AB$31,MATCH($C46,'SC Cost File'!$A$2:$A$31,0),MATCH(Y$7,'SC Cost File'!$A$2:$AB$2,0))/COUNTIF($G$7:$CV$7,Y$7)</f>
        <v>500</v>
      </c>
      <c r="Z46" s="270">
        <f t="array" ref="Z46">INDEX('SC Cost File'!$A$2:$AB$31,MATCH($C46,'SC Cost File'!$A$2:$A$31,0),MATCH(Z$7,'SC Cost File'!$A$2:$AB$2,0))/COUNTIF($G$7:$CV$7,Z$7)</f>
        <v>500</v>
      </c>
      <c r="AA46" s="270">
        <f t="array" ref="AA46">INDEX('SC Cost File'!$A$2:$AB$31,MATCH($C46,'SC Cost File'!$A$2:$A$31,0),MATCH(AA$7,'SC Cost File'!$A$2:$AB$2,0))/COUNTIF($G$7:$CV$7,AA$7)</f>
        <v>500</v>
      </c>
      <c r="AB46" s="270"/>
      <c r="AC46" s="270"/>
      <c r="AD46" s="270"/>
      <c r="AE46" s="303">
        <v>1062</v>
      </c>
      <c r="AF46" s="270"/>
      <c r="AG46" s="270"/>
      <c r="AH46" s="270"/>
      <c r="AI46" s="270"/>
      <c r="AJ46" s="270">
        <v>2921</v>
      </c>
      <c r="AK46" s="270"/>
      <c r="AL46" s="270"/>
      <c r="AM46" s="270"/>
      <c r="AN46" s="270">
        <v>1062.5</v>
      </c>
      <c r="AO46" s="390"/>
      <c r="AP46" s="270"/>
      <c r="AQ46" s="270"/>
      <c r="AR46" s="270">
        <v>1063</v>
      </c>
      <c r="AS46" s="270">
        <f t="array" ref="AS46">INDEX('SC Cost File'!$A$2:$AB$31,MATCH($C46,'SC Cost File'!$A$2:$A$31,0),MATCH(AS$7,'SC Cost File'!$A$2:$AB$2,0))/COUNTIF($G$7:$CV$7,AS$7)</f>
        <v>400</v>
      </c>
      <c r="AT46" s="270">
        <f t="array" ref="AT46">INDEX('SC Cost File'!$A$2:$AB$31,MATCH($C46,'SC Cost File'!$A$2:$A$31,0),MATCH(AT$7,'SC Cost File'!$A$2:$AB$2,0))/COUNTIF($G$7:$CV$7,AT$7)</f>
        <v>400</v>
      </c>
      <c r="AU46" s="270">
        <f t="array" ref="AU46">INDEX('SC Cost File'!$A$2:$AB$31,MATCH($C46,'SC Cost File'!$A$2:$A$31,0),MATCH(AU$7,'SC Cost File'!$A$2:$AB$2,0))/COUNTIF($G$7:$CV$7,AU$7)</f>
        <v>400</v>
      </c>
      <c r="AV46" s="270">
        <f t="array" ref="AV46">INDEX('SC Cost File'!$A$2:$AB$31,MATCH($C46,'SC Cost File'!$A$2:$A$31,0),MATCH(AV$7,'SC Cost File'!$A$2:$AB$2,0))/COUNTIF($G$7:$CV$7,AV$7)</f>
        <v>400</v>
      </c>
      <c r="AW46" s="270">
        <f t="array" ref="AW46">INDEX('SC Cost File'!$A$2:$AB$31,MATCH($C46,'SC Cost File'!$A$2:$A$31,0),MATCH(AW$7,'SC Cost File'!$A$2:$AB$2,0))/COUNTIF($G$7:$CV$7,AW$7)</f>
        <v>500</v>
      </c>
      <c r="AX46" s="270">
        <f t="array" ref="AX46">INDEX('SC Cost File'!$A$2:$AB$31,MATCH($C46,'SC Cost File'!$A$2:$A$31,0),MATCH(AX$7,'SC Cost File'!$A$2:$AB$2,0))/COUNTIF($G$7:$CV$7,AX$7)</f>
        <v>500</v>
      </c>
      <c r="AY46" s="270">
        <f t="array" ref="AY46">INDEX('SC Cost File'!$A$2:$AB$31,MATCH($C46,'SC Cost File'!$A$2:$A$31,0),MATCH(AY$7,'SC Cost File'!$A$2:$AB$2,0))/COUNTIF($G$7:$CV$7,AY$7)</f>
        <v>500</v>
      </c>
      <c r="AZ46" s="270">
        <f t="array" ref="AZ46">INDEX('SC Cost File'!$A$2:$AB$31,MATCH($C46,'SC Cost File'!$A$2:$A$31,0),MATCH(AZ$7,'SC Cost File'!$A$2:$AB$2,0))/COUNTIF($G$7:$CV$7,AZ$7)</f>
        <v>500</v>
      </c>
      <c r="BA46" s="270">
        <f t="array" ref="BA46">INDEX('SC Cost File'!$A$2:$AB$31,MATCH($C46,'SC Cost File'!$A$2:$A$31,0),MATCH(BA$7,'SC Cost File'!$A$2:$AB$2,0))/COUNTIF($G$7:$CV$7,BA$7)</f>
        <v>500</v>
      </c>
      <c r="BB46" s="270">
        <f t="array" ref="BB46">INDEX('SC Cost File'!$A$2:$AB$31,MATCH($C46,'SC Cost File'!$A$2:$A$31,0),MATCH(BB$7,'SC Cost File'!$A$2:$AB$2,0))/COUNTIF($G$7:$CV$7,BB$7)</f>
        <v>500</v>
      </c>
      <c r="BC46" s="270">
        <f t="array" ref="BC46">INDEX('SC Cost File'!$A$2:$AB$31,MATCH($C46,'SC Cost File'!$A$2:$A$31,0),MATCH(BC$7,'SC Cost File'!$A$2:$AB$2,0))/COUNTIF($G$7:$CV$7,BC$7)</f>
        <v>500</v>
      </c>
      <c r="BD46" s="270">
        <f t="array" ref="BD46">INDEX('SC Cost File'!$A$2:$AB$31,MATCH($C46,'SC Cost File'!$A$2:$A$31,0),MATCH(BD$7,'SC Cost File'!$A$2:$AB$2,0))/COUNTIF($G$7:$CV$7,BD$7)</f>
        <v>500</v>
      </c>
      <c r="BE46" s="270">
        <f t="array" ref="BE46">INDEX('SC Cost File'!$A$2:$AB$31,MATCH($C46,'SC Cost File'!$A$2:$A$31,0),MATCH(BE$7,'SC Cost File'!$A$2:$AB$2,0))/COUNTIF($G$7:$CV$7,BE$7)</f>
        <v>400</v>
      </c>
      <c r="BF46" s="270">
        <f t="array" ref="BF46">INDEX('SC Cost File'!$A$2:$AB$31,MATCH($C46,'SC Cost File'!$A$2:$A$31,0),MATCH(BF$7,'SC Cost File'!$A$2:$AB$2,0))/COUNTIF($G$7:$CV$7,BF$7)</f>
        <v>400</v>
      </c>
      <c r="BG46" s="270">
        <f t="array" ref="BG46">INDEX('SC Cost File'!$A$2:$AB$31,MATCH($C46,'SC Cost File'!$A$2:$A$31,0),MATCH(BG$7,'SC Cost File'!$A$2:$AB$2,0))/COUNTIF($G$7:$CV$7,BG$7)</f>
        <v>400</v>
      </c>
      <c r="BH46" s="270">
        <f t="array" ref="BH46">INDEX('SC Cost File'!$A$2:$AB$31,MATCH($C46,'SC Cost File'!$A$2:$A$31,0),MATCH(BH$7,'SC Cost File'!$A$2:$AB$2,0))/COUNTIF($G$7:$CV$7,BH$7)</f>
        <v>400</v>
      </c>
      <c r="BI46" s="270">
        <f t="array" ref="BI46">INDEX('SC Cost File'!$A$2:$AB$31,MATCH($C46,'SC Cost File'!$A$2:$A$31,0),MATCH(BI$7,'SC Cost File'!$A$2:$AB$2,0))/COUNTIF($G$7:$CV$7,BI$7)</f>
        <v>400</v>
      </c>
      <c r="BJ46" s="270">
        <f t="array" ref="BJ46">INDEX('SC Cost File'!$A$2:$AB$31,MATCH($C46,'SC Cost File'!$A$2:$A$31,0),MATCH(BJ$7,'SC Cost File'!$A$2:$AB$2,0))/COUNTIF($G$7:$CV$7,BJ$7)</f>
        <v>500</v>
      </c>
      <c r="BK46" s="270">
        <f t="array" ref="BK46">INDEX('SC Cost File'!$A$2:$AB$31,MATCH($C46,'SC Cost File'!$A$2:$A$31,0),MATCH(BK$7,'SC Cost File'!$A$2:$AB$2,0))/COUNTIF($G$7:$CV$7,BK$7)</f>
        <v>500</v>
      </c>
      <c r="BL46" s="270">
        <f t="array" ref="BL46">INDEX('SC Cost File'!$A$2:$AB$31,MATCH($C46,'SC Cost File'!$A$2:$A$31,0),MATCH(BL$7,'SC Cost File'!$A$2:$AB$2,0))/COUNTIF($G$7:$CV$7,BL$7)</f>
        <v>500</v>
      </c>
      <c r="BM46" s="270">
        <f t="array" ref="BM46">INDEX('SC Cost File'!$A$2:$AB$31,MATCH($C46,'SC Cost File'!$A$2:$A$31,0),MATCH(BM$7,'SC Cost File'!$A$2:$AB$2,0))/COUNTIF($G$7:$CV$7,BM$7)</f>
        <v>500</v>
      </c>
      <c r="BN46" s="270">
        <f t="array" ref="BN46">INDEX('SC Cost File'!$A$2:$AB$31,MATCH($C46,'SC Cost File'!$A$2:$A$31,0),MATCH(BN$7,'SC Cost File'!$A$2:$AB$2,0))/COUNTIF($G$7:$CV$7,BN$7)</f>
        <v>500</v>
      </c>
      <c r="BO46" s="270">
        <f t="array" ref="BO46">INDEX('SC Cost File'!$A$2:$AB$31,MATCH($C46,'SC Cost File'!$A$2:$A$31,0),MATCH(BO$7,'SC Cost File'!$A$2:$AB$2,0))/COUNTIF($G$7:$CV$7,BO$7)</f>
        <v>500</v>
      </c>
      <c r="BP46" s="270">
        <f t="array" ref="BP46">INDEX('SC Cost File'!$A$2:$AB$31,MATCH($C46,'SC Cost File'!$A$2:$A$31,0),MATCH(BP$7,'SC Cost File'!$A$2:$AB$2,0))/COUNTIF($G$7:$CV$7,BP$7)</f>
        <v>500</v>
      </c>
      <c r="BQ46" s="270">
        <f t="array" ref="BQ46">INDEX('SC Cost File'!$A$2:$AB$31,MATCH($C46,'SC Cost File'!$A$2:$A$31,0),MATCH(BQ$7,'SC Cost File'!$A$2:$AB$2,0))/COUNTIF($G$7:$CV$7,BQ$7)</f>
        <v>500</v>
      </c>
      <c r="BR46" s="270">
        <f t="array" ref="BR46">INDEX('SC Cost File'!$A$2:$AB$31,MATCH($C46,'SC Cost File'!$A$2:$A$31,0),MATCH(BR$7,'SC Cost File'!$A$2:$AB$2,0))/COUNTIF($G$7:$CV$7,BR$7)</f>
        <v>400</v>
      </c>
      <c r="BS46" s="270">
        <f t="array" ref="BS46">INDEX('SC Cost File'!$A$2:$AB$31,MATCH($C46,'SC Cost File'!$A$2:$A$31,0),MATCH(BS$7,'SC Cost File'!$A$2:$AB$2,0))/COUNTIF($G$7:$CV$7,BS$7)</f>
        <v>400</v>
      </c>
      <c r="BT46" s="270">
        <f t="array" ref="BT46">INDEX('SC Cost File'!$A$2:$AB$31,MATCH($C46,'SC Cost File'!$A$2:$A$31,0),MATCH(BT$7,'SC Cost File'!$A$2:$AB$2,0))/COUNTIF($G$7:$CV$7,BT$7)</f>
        <v>400</v>
      </c>
      <c r="BU46" s="270">
        <f t="array" ref="BU46">INDEX('SC Cost File'!$A$2:$AB$31,MATCH($C46,'SC Cost File'!$A$2:$A$31,0),MATCH(BU$7,'SC Cost File'!$A$2:$AB$2,0))/COUNTIF($G$7:$CV$7,BU$7)</f>
        <v>400</v>
      </c>
      <c r="BV46" s="270">
        <f t="array" ref="BV46">INDEX('SC Cost File'!$A$2:$AB$31,MATCH($C46,'SC Cost File'!$A$2:$A$31,0),MATCH(BV$7,'SC Cost File'!$A$2:$AB$2,0))/COUNTIF($G$7:$CV$7,BV$7)</f>
        <v>400</v>
      </c>
      <c r="BW46" s="270">
        <f t="array" ref="BW46">INDEX('SC Cost File'!$A$2:$AB$31,MATCH($C46,'SC Cost File'!$A$2:$A$31,0),MATCH(BW$7,'SC Cost File'!$A$2:$AB$2,0))/COUNTIF($G$7:$CV$7,BW$7)</f>
        <v>500</v>
      </c>
      <c r="BX46" s="270">
        <f t="array" ref="BX46">INDEX('SC Cost File'!$A$2:$AB$31,MATCH($C46,'SC Cost File'!$A$2:$A$31,0),MATCH(BX$7,'SC Cost File'!$A$2:$AB$2,0))/COUNTIF($G$7:$CV$7,BX$7)</f>
        <v>500</v>
      </c>
      <c r="BY46" s="270">
        <f t="array" ref="BY46">INDEX('SC Cost File'!$A$2:$AB$31,MATCH($C46,'SC Cost File'!$A$2:$A$31,0),MATCH(BY$7,'SC Cost File'!$A$2:$AB$2,0))/COUNTIF($G$7:$CV$7,BY$7)</f>
        <v>500</v>
      </c>
      <c r="BZ46" s="270">
        <f t="array" ref="BZ46">INDEX('SC Cost File'!$A$2:$AB$31,MATCH($C46,'SC Cost File'!$A$2:$A$31,0),MATCH(BZ$7,'SC Cost File'!$A$2:$AB$2,0))/COUNTIF($G$7:$CV$7,BZ$7)</f>
        <v>500</v>
      </c>
      <c r="CA46" s="270">
        <f t="array" ref="CA46">INDEX('SC Cost File'!$A$2:$AB$31,MATCH($C46,'SC Cost File'!$A$2:$A$31,0),MATCH(CA$7,'SC Cost File'!$A$2:$AB$2,0))/COUNTIF($G$7:$CV$7,CA$7)</f>
        <v>400</v>
      </c>
      <c r="CB46" s="270">
        <f t="array" ref="CB46">INDEX('SC Cost File'!$A$2:$AB$31,MATCH($C46,'SC Cost File'!$A$2:$A$31,0),MATCH(CB$7,'SC Cost File'!$A$2:$AB$2,0))/COUNTIF($G$7:$CV$7,CB$7)</f>
        <v>400</v>
      </c>
      <c r="CC46" s="270">
        <f t="array" ref="CC46">INDEX('SC Cost File'!$A$2:$AB$31,MATCH($C46,'SC Cost File'!$A$2:$A$31,0),MATCH(CC$7,'SC Cost File'!$A$2:$AB$2,0))/COUNTIF($G$7:$CV$7,CC$7)</f>
        <v>400</v>
      </c>
      <c r="CD46" s="270">
        <f t="array" ref="CD46">INDEX('SC Cost File'!$A$2:$AB$31,MATCH($C46,'SC Cost File'!$A$2:$A$31,0),MATCH(CD$7,'SC Cost File'!$A$2:$AB$2,0))/COUNTIF($G$7:$CV$7,CD$7)</f>
        <v>400</v>
      </c>
      <c r="CE46" s="270">
        <f t="array" ref="CE46">INDEX('SC Cost File'!$A$2:$AB$31,MATCH($C46,'SC Cost File'!$A$2:$A$31,0),MATCH(CE$7,'SC Cost File'!$A$2:$AB$2,0))/COUNTIF($G$7:$CV$7,CE$7)</f>
        <v>400</v>
      </c>
      <c r="CF46" s="270">
        <f t="array" ref="CF46">INDEX('SC Cost File'!$A$2:$AB$31,MATCH($C46,'SC Cost File'!$A$2:$A$31,0),MATCH(CF$7,'SC Cost File'!$A$2:$AB$2,0))/COUNTIF($G$7:$CV$7,CF$7)</f>
        <v>500</v>
      </c>
      <c r="CG46" s="270">
        <f t="array" ref="CG46">INDEX('SC Cost File'!$A$2:$AB$31,MATCH($C46,'SC Cost File'!$A$2:$A$31,0),MATCH(CG$7,'SC Cost File'!$A$2:$AB$2,0))/COUNTIF($G$7:$CV$7,CG$7)</f>
        <v>500</v>
      </c>
      <c r="CH46" s="270">
        <f t="array" ref="CH46">INDEX('SC Cost File'!$A$2:$AB$31,MATCH($C46,'SC Cost File'!$A$2:$A$31,0),MATCH(CH$7,'SC Cost File'!$A$2:$AB$2,0))/COUNTIF($G$7:$CV$7,CH$7)</f>
        <v>500</v>
      </c>
      <c r="CI46" s="270">
        <f t="array" ref="CI46">INDEX('SC Cost File'!$A$2:$AB$31,MATCH($C46,'SC Cost File'!$A$2:$A$31,0),MATCH(CI$7,'SC Cost File'!$A$2:$AB$2,0))/COUNTIF($G$7:$CV$7,CI$7)</f>
        <v>500</v>
      </c>
      <c r="CJ46" s="270">
        <f t="array" ref="CJ46">INDEX('SC Cost File'!$A$2:$AB$31,MATCH($C46,'SC Cost File'!$A$2:$A$31,0),MATCH(CJ$7,'SC Cost File'!$A$2:$AB$2,0))/COUNTIF($G$7:$CV$7,CJ$7)</f>
        <v>500</v>
      </c>
      <c r="CK46" s="270">
        <f t="array" ref="CK46">INDEX('SC Cost File'!$A$2:$AB$31,MATCH($C46,'SC Cost File'!$A$2:$A$31,0),MATCH(CK$7,'SC Cost File'!$A$2:$AB$2,0))/COUNTIF($G$7:$CV$7,CK$7)</f>
        <v>500</v>
      </c>
      <c r="CL46" s="270">
        <f t="array" ref="CL46">INDEX('SC Cost File'!$A$2:$AB$31,MATCH($C46,'SC Cost File'!$A$2:$A$31,0),MATCH(CL$7,'SC Cost File'!$A$2:$AB$2,0))/COUNTIF($G$7:$CV$7,CL$7)</f>
        <v>500</v>
      </c>
      <c r="CM46" s="270">
        <f t="array" ref="CM46">INDEX('SC Cost File'!$A$2:$AB$31,MATCH($C46,'SC Cost File'!$A$2:$A$31,0),MATCH(CM$7,'SC Cost File'!$A$2:$AB$2,0))/COUNTIF($G$7:$CV$7,CM$7)</f>
        <v>500</v>
      </c>
      <c r="CN46" s="270">
        <f t="array" ref="CN46">INDEX('SC Cost File'!$A$2:$AB$31,MATCH($C46,'SC Cost File'!$A$2:$A$31,0),MATCH(CN$7,'SC Cost File'!$A$2:$AB$2,0))/COUNTIF($G$7:$CV$7,CN$7)</f>
        <v>400</v>
      </c>
      <c r="CO46" s="270">
        <f t="array" ref="CO46">INDEX('SC Cost File'!$A$2:$AB$31,MATCH($C46,'SC Cost File'!$A$2:$A$31,0),MATCH(CO$7,'SC Cost File'!$A$2:$AB$2,0))/COUNTIF($G$7:$CV$7,CO$7)</f>
        <v>400</v>
      </c>
      <c r="CP46" s="270">
        <f t="array" ref="CP46">INDEX('SC Cost File'!$A$2:$AB$31,MATCH($C46,'SC Cost File'!$A$2:$A$31,0),MATCH(CP$7,'SC Cost File'!$A$2:$AB$2,0))/COUNTIF($G$7:$CV$7,CP$7)</f>
        <v>400</v>
      </c>
      <c r="CQ46" s="270">
        <f t="array" ref="CQ46">INDEX('SC Cost File'!$A$2:$AB$31,MATCH($C46,'SC Cost File'!$A$2:$A$31,0),MATCH(CQ$7,'SC Cost File'!$A$2:$AB$2,0))/COUNTIF($G$7:$CV$7,CQ$7)</f>
        <v>400</v>
      </c>
      <c r="CR46" s="270">
        <f t="array" ref="CR46">INDEX('SC Cost File'!$A$2:$AB$31,MATCH($C46,'SC Cost File'!$A$2:$A$31,0),MATCH(CR$7,'SC Cost File'!$A$2:$AB$2,0))/COUNTIF($G$7:$CV$7,CR$7)</f>
        <v>400</v>
      </c>
      <c r="CS46" s="270">
        <f t="array" ref="CS46">INDEX('SC Cost File'!$A$2:$AB$31,MATCH($C46,'SC Cost File'!$A$2:$A$31,0),MATCH(CS$7,'SC Cost File'!$A$2:$AB$2,0))/COUNTIF($G$7:$CV$7,CS$7)</f>
        <v>500</v>
      </c>
      <c r="CT46" s="270">
        <f t="array" ref="CT46">INDEX('SC Cost File'!$A$2:$AB$31,MATCH($C46,'SC Cost File'!$A$2:$A$31,0),MATCH(CT$7,'SC Cost File'!$A$2:$AB$2,0))/COUNTIF($G$7:$CV$7,CT$7)</f>
        <v>500</v>
      </c>
      <c r="CU46" s="270">
        <f t="array" ref="CU46">INDEX('SC Cost File'!$A$2:$AB$31,MATCH($C46,'SC Cost File'!$A$2:$A$31,0),MATCH(CU$7,'SC Cost File'!$A$2:$AB$2,0))/COUNTIF($G$7:$CV$7,CU$7)</f>
        <v>500</v>
      </c>
      <c r="CV46" s="270">
        <f t="array" ref="CV46">INDEX('SC Cost File'!$A$2:$AB$31,MATCH($C46,'SC Cost File'!$A$2:$A$31,0),MATCH(CV$7,'SC Cost File'!$A$2:$AB$2,0))/COUNTIF($G$7:$CV$7,CV$7)</f>
        <v>500</v>
      </c>
      <c r="CW46" s="272"/>
      <c r="CX46" s="272"/>
      <c r="CY46" s="272"/>
      <c r="CZ46" s="272"/>
      <c r="DA46" s="272"/>
      <c r="DB46" s="272"/>
      <c r="DC46" s="272"/>
      <c r="DD46" s="272"/>
      <c r="DE46" s="272"/>
      <c r="DF46" s="272"/>
      <c r="DG46" s="272"/>
      <c r="DH46" s="272"/>
      <c r="DI46" s="272"/>
      <c r="DJ46" s="272"/>
      <c r="DK46" s="272"/>
      <c r="DL46" s="272"/>
      <c r="DM46" s="272"/>
      <c r="DN46" s="272"/>
      <c r="DO46" s="272"/>
      <c r="DP46" s="272"/>
    </row>
    <row r="47" spans="1:120" s="273" customFormat="1" ht="14.25" customHeight="1" x14ac:dyDescent="0.2">
      <c r="A47" s="270" t="s">
        <v>120</v>
      </c>
      <c r="B47" s="270">
        <f t="shared" si="19"/>
        <v>2</v>
      </c>
      <c r="C47" s="270" t="s">
        <v>140</v>
      </c>
      <c r="D47" s="270" t="s">
        <v>141</v>
      </c>
      <c r="E47" s="270" t="s">
        <v>125</v>
      </c>
      <c r="F47" s="270" t="s">
        <v>126</v>
      </c>
      <c r="G47" s="270">
        <f t="array" ref="G47">INDEX('SC Cost File'!$A$2:$AB$31,MATCH($C47,'SC Cost File'!$A$2:$A$31,0),MATCH(G$7,'SC Cost File'!$A$2:$AB$2,0))/COUNTIF($G$7:$CV$7,G$7)</f>
        <v>0</v>
      </c>
      <c r="H47" s="270">
        <f t="array" ref="H47">INDEX('SC Cost File'!$A$2:$AB$31,MATCH($C47,'SC Cost File'!$A$2:$A$31,0),MATCH(H$7,'SC Cost File'!$A$2:$AB$2,0))/COUNTIF($G$7:$CV$7,H$7)</f>
        <v>0</v>
      </c>
      <c r="I47" s="270">
        <f t="array" ref="I47">INDEX('SC Cost File'!$A$2:$AB$31,MATCH($C47,'SC Cost File'!$A$2:$A$31,0),MATCH(I$7,'SC Cost File'!$A$2:$AB$2,0))/COUNTIF($G$7:$CV$7,I$7)</f>
        <v>0</v>
      </c>
      <c r="J47" s="270">
        <f t="array" ref="J47">INDEX('SC Cost File'!$A$2:$AB$31,MATCH($C47,'SC Cost File'!$A$2:$A$31,0),MATCH(J$7,'SC Cost File'!$A$2:$AB$2,0))/COUNTIF($G$7:$CV$7,J$7)</f>
        <v>0</v>
      </c>
      <c r="K47" s="270">
        <f t="array" ref="K47">INDEX('SC Cost File'!$A$2:$AB$31,MATCH($C47,'SC Cost File'!$A$2:$A$31,0),MATCH(K$7,'SC Cost File'!$A$2:$AB$2,0))/COUNTIF($G$7:$CV$7,K$7)</f>
        <v>0</v>
      </c>
      <c r="L47" s="270">
        <f t="array" ref="L47">INDEX('SC Cost File'!$A$2:$AB$31,MATCH($C47,'SC Cost File'!$A$2:$A$31,0),MATCH(L$7,'SC Cost File'!$A$2:$AB$2,0))/COUNTIF($G$7:$CV$7,L$7)</f>
        <v>0</v>
      </c>
      <c r="M47" s="270">
        <f t="array" ref="M47">INDEX('SC Cost File'!$A$2:$AB$31,MATCH($C47,'SC Cost File'!$A$2:$A$31,0),MATCH(M$7,'SC Cost File'!$A$2:$AB$2,0))/COUNTIF($G$7:$CV$7,M$7)</f>
        <v>0</v>
      </c>
      <c r="N47" s="289">
        <f>SUMIF($O$8:$AV$8,"&gt;="&amp;'CURRENT FORECAST START DATE'!$C$4,'Weekly Spend'!O47:AV47)</f>
        <v>0</v>
      </c>
      <c r="O47" s="270">
        <f t="array" ref="O47">INDEX('SC Cost File'!$A$2:$AB$31,MATCH($C47,'SC Cost File'!$A$2:$A$31,0),MATCH(O$7,'SC Cost File'!$A$2:$AB$2,0))/COUNTIF($G$7:$CV$7,O$7)</f>
        <v>0</v>
      </c>
      <c r="P47" s="270">
        <f t="array" ref="P47">INDEX('SC Cost File'!$A$2:$AB$31,MATCH($C47,'SC Cost File'!$A$2:$A$31,0),MATCH(P$7,'SC Cost File'!$A$2:$AB$2,0))/COUNTIF($G$7:$CV$7,P$7)</f>
        <v>0</v>
      </c>
      <c r="Q47" s="270">
        <f t="array" ref="Q47">INDEX('SC Cost File'!$A$2:$AB$31,MATCH($C47,'SC Cost File'!$A$2:$A$31,0),MATCH(Q$7,'SC Cost File'!$A$2:$AB$2,0))/COUNTIF($G$7:$CV$7,Q$7)</f>
        <v>0</v>
      </c>
      <c r="R47" s="270">
        <f t="array" ref="R47">INDEX('SC Cost File'!$A$2:$AB$31,MATCH($C47,'SC Cost File'!$A$2:$A$31,0),MATCH(R$7,'SC Cost File'!$A$2:$AB$2,0))/COUNTIF($G$7:$CV$7,R$7)</f>
        <v>0</v>
      </c>
      <c r="S47" s="270">
        <f t="array" ref="S47">INDEX('SC Cost File'!$A$2:$AB$31,MATCH($C47,'SC Cost File'!$A$2:$A$31,0),MATCH(S$7,'SC Cost File'!$A$2:$AB$2,0))/COUNTIF($G$7:$CV$7,S$7)</f>
        <v>0</v>
      </c>
      <c r="T47" s="270">
        <f t="array" ref="T47">INDEX('SC Cost File'!$A$2:$AB$31,MATCH($C47,'SC Cost File'!$A$2:$A$31,0),MATCH(T$7,'SC Cost File'!$A$2:$AB$2,0))/COUNTIF($G$7:$CV$7,T$7)</f>
        <v>0</v>
      </c>
      <c r="U47" s="270">
        <f t="array" ref="U47">INDEX('SC Cost File'!$A$2:$AB$31,MATCH($C47,'SC Cost File'!$A$2:$A$31,0),MATCH(U$7,'SC Cost File'!$A$2:$AB$2,0))/COUNTIF($G$7:$CV$7,U$7)</f>
        <v>0</v>
      </c>
      <c r="V47" s="270">
        <f t="array" ref="V47">INDEX('SC Cost File'!$A$2:$AB$31,MATCH($C47,'SC Cost File'!$A$2:$A$31,0),MATCH(V$7,'SC Cost File'!$A$2:$AB$2,0))/COUNTIF($G$7:$CV$7,V$7)</f>
        <v>0</v>
      </c>
      <c r="W47" s="270">
        <v>0</v>
      </c>
      <c r="X47" s="270">
        <f t="array" ref="X47">INDEX('SC Cost File'!$A$2:$AB$31,MATCH($C47,'SC Cost File'!$A$2:$A$31,0),MATCH(X$7,'SC Cost File'!$A$2:$AB$2,0))/COUNTIF($G$7:$CV$7,X$7)</f>
        <v>1008</v>
      </c>
      <c r="Y47" s="270">
        <f t="array" ref="Y47">INDEX('SC Cost File'!$A$2:$AB$31,MATCH($C47,'SC Cost File'!$A$2:$A$31,0),MATCH(Y$7,'SC Cost File'!$A$2:$AB$2,0))/COUNTIF($G$7:$CV$7,Y$7)</f>
        <v>1008</v>
      </c>
      <c r="Z47" s="270">
        <f t="array" ref="Z47">INDEX('SC Cost File'!$A$2:$AB$31,MATCH($C47,'SC Cost File'!$A$2:$A$31,0),MATCH(Z$7,'SC Cost File'!$A$2:$AB$2,0))/COUNTIF($G$7:$CV$7,Z$7)</f>
        <v>1008</v>
      </c>
      <c r="AA47" s="303">
        <v>2500</v>
      </c>
      <c r="AB47" s="270">
        <f t="array" ref="AB47">INDEX('SC Cost File'!$A$2:$AB$31,MATCH($C47,'SC Cost File'!$A$2:$A$31,0),MATCH(AB$7,'SC Cost File'!$A$2:$AB$2,0))/COUNTIF($G$7:$CV$7,AB$7)</f>
        <v>0</v>
      </c>
      <c r="AC47" s="270">
        <f t="array" ref="AC47">INDEX('SC Cost File'!$A$2:$AB$31,MATCH($C47,'SC Cost File'!$A$2:$A$31,0),MATCH(AC$7,'SC Cost File'!$A$2:$AB$2,0))/COUNTIF($G$7:$CV$7,AC$7)</f>
        <v>0</v>
      </c>
      <c r="AD47" s="270">
        <f t="array" ref="AD47">INDEX('SC Cost File'!$A$2:$AB$31,MATCH($C47,'SC Cost File'!$A$2:$A$31,0),MATCH(AD$7,'SC Cost File'!$A$2:$AB$2,0))/COUNTIF($G$7:$CV$7,AD$7)</f>
        <v>0</v>
      </c>
      <c r="AE47" s="270">
        <f t="array" ref="AE47">INDEX('SC Cost File'!$A$2:$AB$31,MATCH($C47,'SC Cost File'!$A$2:$A$31,0),MATCH(AE$7,'SC Cost File'!$A$2:$AB$2,0))/COUNTIF($G$7:$CV$7,AE$7)</f>
        <v>0</v>
      </c>
      <c r="AF47" s="270">
        <f t="array" ref="AF47">INDEX('SC Cost File'!$A$2:$AB$31,MATCH($C47,'SC Cost File'!$A$2:$A$31,0),MATCH(AF$7,'SC Cost File'!$A$2:$AB$2,0))/COUNTIF($G$7:$CV$7,AF$7)</f>
        <v>0</v>
      </c>
      <c r="AG47" s="270">
        <f t="array" ref="AG47">INDEX('SC Cost File'!$A$2:$AB$31,MATCH($C47,'SC Cost File'!$A$2:$A$31,0),MATCH(AG$7,'SC Cost File'!$A$2:$AB$2,0))/COUNTIF($G$7:$CV$7,AG$7)</f>
        <v>0</v>
      </c>
      <c r="AH47" s="270">
        <f t="array" ref="AH47">INDEX('SC Cost File'!$A$2:$AB$31,MATCH($C47,'SC Cost File'!$A$2:$A$31,0),MATCH(AH$7,'SC Cost File'!$A$2:$AB$2,0))/COUNTIF($G$7:$CV$7,AH$7)</f>
        <v>0</v>
      </c>
      <c r="AI47" s="270">
        <f t="array" ref="AI47">INDEX('SC Cost File'!$A$2:$AB$31,MATCH($C47,'SC Cost File'!$A$2:$A$31,0),MATCH(AI$7,'SC Cost File'!$A$2:$AB$2,0))/COUNTIF($G$7:$CV$7,AI$7)</f>
        <v>0</v>
      </c>
      <c r="AJ47" s="270">
        <f t="array" ref="AJ47">INDEX('SC Cost File'!$A$2:$AB$31,MATCH($C47,'SC Cost File'!$A$2:$A$31,0),MATCH(AJ$7,'SC Cost File'!$A$2:$AB$2,0))/COUNTIF($G$7:$CV$7,AJ$7)</f>
        <v>0</v>
      </c>
      <c r="AK47" s="270">
        <f t="array" ref="AK47">INDEX('SC Cost File'!$A$2:$AB$31,MATCH($C47,'SC Cost File'!$A$2:$A$31,0),MATCH(AK$7,'SC Cost File'!$A$2:$AB$2,0))/COUNTIF($G$7:$CV$7,AK$7)</f>
        <v>0</v>
      </c>
      <c r="AL47" s="270">
        <f t="array" ref="AL47">INDEX('SC Cost File'!$A$2:$AB$31,MATCH($C47,'SC Cost File'!$A$2:$A$31,0),MATCH(AL$7,'SC Cost File'!$A$2:$AB$2,0))/COUNTIF($G$7:$CV$7,AL$7)</f>
        <v>0</v>
      </c>
      <c r="AM47" s="270">
        <f t="array" ref="AM47">INDEX('SC Cost File'!$A$2:$AB$31,MATCH($C47,'SC Cost File'!$A$2:$A$31,0),MATCH(AM$7,'SC Cost File'!$A$2:$AB$2,0))/COUNTIF($G$7:$CV$7,AM$7)</f>
        <v>0</v>
      </c>
      <c r="AN47" s="270">
        <f t="array" ref="AN47">INDEX('SC Cost File'!$A$2:$AB$31,MATCH($C47,'SC Cost File'!$A$2:$A$31,0),MATCH(AN$7,'SC Cost File'!$A$2:$AB$2,0))/COUNTIF($G$7:$CV$7,AN$7)</f>
        <v>0</v>
      </c>
      <c r="AO47" s="390">
        <f t="array" ref="AO47">INDEX('SC Cost File'!$A$2:$AB$31,MATCH($C47,'SC Cost File'!$A$2:$A$31,0),MATCH(AO$7,'SC Cost File'!$A$2:$AB$2,0))/COUNTIF($G$7:$CV$7,AO$7)</f>
        <v>0</v>
      </c>
      <c r="AP47" s="270">
        <f t="array" ref="AP47">INDEX('SC Cost File'!$A$2:$AB$31,MATCH($C47,'SC Cost File'!$A$2:$A$31,0),MATCH(AP$7,'SC Cost File'!$A$2:$AB$2,0))/COUNTIF($G$7:$CV$7,AP$7)</f>
        <v>0</v>
      </c>
      <c r="AQ47" s="270">
        <f t="array" ref="AQ47">INDEX('SC Cost File'!$A$2:$AB$31,MATCH($C47,'SC Cost File'!$A$2:$A$31,0),MATCH(AQ$7,'SC Cost File'!$A$2:$AB$2,0))/COUNTIF($G$7:$CV$7,AQ$7)</f>
        <v>0</v>
      </c>
      <c r="AR47" s="270">
        <f t="array" ref="AR47">INDEX('SC Cost File'!$A$2:$AB$31,MATCH($C47,'SC Cost File'!$A$2:$A$31,0),MATCH(AR$7,'SC Cost File'!$A$2:$AB$2,0))/COUNTIF($G$7:$CV$7,AR$7)</f>
        <v>0</v>
      </c>
      <c r="AS47" s="270">
        <f t="array" ref="AS47">INDEX('SC Cost File'!$A$2:$AB$31,MATCH($C47,'SC Cost File'!$A$2:$A$31,0),MATCH(AS$7,'SC Cost File'!$A$2:$AB$2,0))/COUNTIF($G$7:$CV$7,AS$7)</f>
        <v>0</v>
      </c>
      <c r="AT47" s="270">
        <f t="array" ref="AT47">INDEX('SC Cost File'!$A$2:$AB$31,MATCH($C47,'SC Cost File'!$A$2:$A$31,0),MATCH(AT$7,'SC Cost File'!$A$2:$AB$2,0))/COUNTIF($G$7:$CV$7,AT$7)</f>
        <v>0</v>
      </c>
      <c r="AU47" s="270">
        <f t="array" ref="AU47">INDEX('SC Cost File'!$A$2:$AB$31,MATCH($C47,'SC Cost File'!$A$2:$A$31,0),MATCH(AU$7,'SC Cost File'!$A$2:$AB$2,0))/COUNTIF($G$7:$CV$7,AU$7)</f>
        <v>0</v>
      </c>
      <c r="AV47" s="270">
        <f t="array" ref="AV47">INDEX('SC Cost File'!$A$2:$AB$31,MATCH($C47,'SC Cost File'!$A$2:$A$31,0),MATCH(AV$7,'SC Cost File'!$A$2:$AB$2,0))/COUNTIF($G$7:$CV$7,AV$7)</f>
        <v>0</v>
      </c>
      <c r="AW47" s="270">
        <f t="array" ref="AW47">INDEX('SC Cost File'!$A$2:$AB$31,MATCH($C47,'SC Cost File'!$A$2:$A$31,0),MATCH(AW$7,'SC Cost File'!$A$2:$AB$2,0))/COUNTIF($G$7:$CV$7,AW$7)</f>
        <v>0</v>
      </c>
      <c r="AX47" s="270">
        <f t="array" ref="AX47">INDEX('SC Cost File'!$A$2:$AB$31,MATCH($C47,'SC Cost File'!$A$2:$A$31,0),MATCH(AX$7,'SC Cost File'!$A$2:$AB$2,0))/COUNTIF($G$7:$CV$7,AX$7)</f>
        <v>0</v>
      </c>
      <c r="AY47" s="270">
        <f t="array" ref="AY47">INDEX('SC Cost File'!$A$2:$AB$31,MATCH($C47,'SC Cost File'!$A$2:$A$31,0),MATCH(AY$7,'SC Cost File'!$A$2:$AB$2,0))/COUNTIF($G$7:$CV$7,AY$7)</f>
        <v>0</v>
      </c>
      <c r="AZ47" s="270">
        <f t="array" ref="AZ47">INDEX('SC Cost File'!$A$2:$AB$31,MATCH($C47,'SC Cost File'!$A$2:$A$31,0),MATCH(AZ$7,'SC Cost File'!$A$2:$AB$2,0))/COUNTIF($G$7:$CV$7,AZ$7)</f>
        <v>0</v>
      </c>
      <c r="BA47" s="270">
        <f t="array" ref="BA47">INDEX('SC Cost File'!$A$2:$AB$31,MATCH($C47,'SC Cost File'!$A$2:$A$31,0),MATCH(BA$7,'SC Cost File'!$A$2:$AB$2,0))/COUNTIF($G$7:$CV$7,BA$7)</f>
        <v>0</v>
      </c>
      <c r="BB47" s="270">
        <f t="array" ref="BB47">INDEX('SC Cost File'!$A$2:$AB$31,MATCH($C47,'SC Cost File'!$A$2:$A$31,0),MATCH(BB$7,'SC Cost File'!$A$2:$AB$2,0))/COUNTIF($G$7:$CV$7,BB$7)</f>
        <v>0</v>
      </c>
      <c r="BC47" s="270">
        <f t="array" ref="BC47">INDEX('SC Cost File'!$A$2:$AB$31,MATCH($C47,'SC Cost File'!$A$2:$A$31,0),MATCH(BC$7,'SC Cost File'!$A$2:$AB$2,0))/COUNTIF($G$7:$CV$7,BC$7)</f>
        <v>0</v>
      </c>
      <c r="BD47" s="270">
        <f t="array" ref="BD47">INDEX('SC Cost File'!$A$2:$AB$31,MATCH($C47,'SC Cost File'!$A$2:$A$31,0),MATCH(BD$7,'SC Cost File'!$A$2:$AB$2,0))/COUNTIF($G$7:$CV$7,BD$7)</f>
        <v>0</v>
      </c>
      <c r="BE47" s="270">
        <f t="array" ref="BE47">INDEX('SC Cost File'!$A$2:$AB$31,MATCH($C47,'SC Cost File'!$A$2:$A$31,0),MATCH(BE$7,'SC Cost File'!$A$2:$AB$2,0))/COUNTIF($G$7:$CV$7,BE$7)</f>
        <v>0</v>
      </c>
      <c r="BF47" s="270">
        <f t="array" ref="BF47">INDEX('SC Cost File'!$A$2:$AB$31,MATCH($C47,'SC Cost File'!$A$2:$A$31,0),MATCH(BF$7,'SC Cost File'!$A$2:$AB$2,0))/COUNTIF($G$7:$CV$7,BF$7)</f>
        <v>0</v>
      </c>
      <c r="BG47" s="270">
        <f t="array" ref="BG47">INDEX('SC Cost File'!$A$2:$AB$31,MATCH($C47,'SC Cost File'!$A$2:$A$31,0),MATCH(BG$7,'SC Cost File'!$A$2:$AB$2,0))/COUNTIF($G$7:$CV$7,BG$7)</f>
        <v>0</v>
      </c>
      <c r="BH47" s="270">
        <f t="array" ref="BH47">INDEX('SC Cost File'!$A$2:$AB$31,MATCH($C47,'SC Cost File'!$A$2:$A$31,0),MATCH(BH$7,'SC Cost File'!$A$2:$AB$2,0))/COUNTIF($G$7:$CV$7,BH$7)</f>
        <v>0</v>
      </c>
      <c r="BI47" s="270">
        <f t="array" ref="BI47">INDEX('SC Cost File'!$A$2:$AB$31,MATCH($C47,'SC Cost File'!$A$2:$A$31,0),MATCH(BI$7,'SC Cost File'!$A$2:$AB$2,0))/COUNTIF($G$7:$CV$7,BI$7)</f>
        <v>0</v>
      </c>
      <c r="BJ47" s="270">
        <f t="array" ref="BJ47">INDEX('SC Cost File'!$A$2:$AB$31,MATCH($C47,'SC Cost File'!$A$2:$A$31,0),MATCH(BJ$7,'SC Cost File'!$A$2:$AB$2,0))/COUNTIF($G$7:$CV$7,BJ$7)</f>
        <v>0</v>
      </c>
      <c r="BK47" s="270">
        <f t="array" ref="BK47">INDEX('SC Cost File'!$A$2:$AB$31,MATCH($C47,'SC Cost File'!$A$2:$A$31,0),MATCH(BK$7,'SC Cost File'!$A$2:$AB$2,0))/COUNTIF($G$7:$CV$7,BK$7)</f>
        <v>0</v>
      </c>
      <c r="BL47" s="270">
        <f t="array" ref="BL47">INDEX('SC Cost File'!$A$2:$AB$31,MATCH($C47,'SC Cost File'!$A$2:$A$31,0),MATCH(BL$7,'SC Cost File'!$A$2:$AB$2,0))/COUNTIF($G$7:$CV$7,BL$7)</f>
        <v>0</v>
      </c>
      <c r="BM47" s="270">
        <f t="array" ref="BM47">INDEX('SC Cost File'!$A$2:$AB$31,MATCH($C47,'SC Cost File'!$A$2:$A$31,0),MATCH(BM$7,'SC Cost File'!$A$2:$AB$2,0))/COUNTIF($G$7:$CV$7,BM$7)</f>
        <v>0</v>
      </c>
      <c r="BN47" s="270">
        <f t="array" ref="BN47">INDEX('SC Cost File'!$A$2:$AB$31,MATCH($C47,'SC Cost File'!$A$2:$A$31,0),MATCH(BN$7,'SC Cost File'!$A$2:$AB$2,0))/COUNTIF($G$7:$CV$7,BN$7)</f>
        <v>0</v>
      </c>
      <c r="BO47" s="270">
        <f t="array" ref="BO47">INDEX('SC Cost File'!$A$2:$AB$31,MATCH($C47,'SC Cost File'!$A$2:$A$31,0),MATCH(BO$7,'SC Cost File'!$A$2:$AB$2,0))/COUNTIF($G$7:$CV$7,BO$7)</f>
        <v>0</v>
      </c>
      <c r="BP47" s="270">
        <f t="array" ref="BP47">INDEX('SC Cost File'!$A$2:$AB$31,MATCH($C47,'SC Cost File'!$A$2:$A$31,0),MATCH(BP$7,'SC Cost File'!$A$2:$AB$2,0))/COUNTIF($G$7:$CV$7,BP$7)</f>
        <v>0</v>
      </c>
      <c r="BQ47" s="270">
        <f t="array" ref="BQ47">INDEX('SC Cost File'!$A$2:$AB$31,MATCH($C47,'SC Cost File'!$A$2:$A$31,0),MATCH(BQ$7,'SC Cost File'!$A$2:$AB$2,0))/COUNTIF($G$7:$CV$7,BQ$7)</f>
        <v>0</v>
      </c>
      <c r="BR47" s="270">
        <f t="array" ref="BR47">INDEX('SC Cost File'!$A$2:$AB$31,MATCH($C47,'SC Cost File'!$A$2:$A$31,0),MATCH(BR$7,'SC Cost File'!$A$2:$AB$2,0))/COUNTIF($G$7:$CV$7,BR$7)</f>
        <v>0</v>
      </c>
      <c r="BS47" s="270">
        <f t="array" ref="BS47">INDEX('SC Cost File'!$A$2:$AB$31,MATCH($C47,'SC Cost File'!$A$2:$A$31,0),MATCH(BS$7,'SC Cost File'!$A$2:$AB$2,0))/COUNTIF($G$7:$CV$7,BS$7)</f>
        <v>0</v>
      </c>
      <c r="BT47" s="270">
        <f t="array" ref="BT47">INDEX('SC Cost File'!$A$2:$AB$31,MATCH($C47,'SC Cost File'!$A$2:$A$31,0),MATCH(BT$7,'SC Cost File'!$A$2:$AB$2,0))/COUNTIF($G$7:$CV$7,BT$7)</f>
        <v>0</v>
      </c>
      <c r="BU47" s="270">
        <f t="array" ref="BU47">INDEX('SC Cost File'!$A$2:$AB$31,MATCH($C47,'SC Cost File'!$A$2:$A$31,0),MATCH(BU$7,'SC Cost File'!$A$2:$AB$2,0))/COUNTIF($G$7:$CV$7,BU$7)</f>
        <v>0</v>
      </c>
      <c r="BV47" s="270">
        <f t="array" ref="BV47">INDEX('SC Cost File'!$A$2:$AB$31,MATCH($C47,'SC Cost File'!$A$2:$A$31,0),MATCH(BV$7,'SC Cost File'!$A$2:$AB$2,0))/COUNTIF($G$7:$CV$7,BV$7)</f>
        <v>0</v>
      </c>
      <c r="BW47" s="270">
        <f t="array" ref="BW47">INDEX('SC Cost File'!$A$2:$AB$31,MATCH($C47,'SC Cost File'!$A$2:$A$31,0),MATCH(BW$7,'SC Cost File'!$A$2:$AB$2,0))/COUNTIF($G$7:$CV$7,BW$7)</f>
        <v>1875</v>
      </c>
      <c r="BX47" s="270">
        <f t="array" ref="BX47">INDEX('SC Cost File'!$A$2:$AB$31,MATCH($C47,'SC Cost File'!$A$2:$A$31,0),MATCH(BX$7,'SC Cost File'!$A$2:$AB$2,0))/COUNTIF($G$7:$CV$7,BX$7)</f>
        <v>1875</v>
      </c>
      <c r="BY47" s="270">
        <f t="array" ref="BY47">INDEX('SC Cost File'!$A$2:$AB$31,MATCH($C47,'SC Cost File'!$A$2:$A$31,0),MATCH(BY$7,'SC Cost File'!$A$2:$AB$2,0))/COUNTIF($G$7:$CV$7,BY$7)</f>
        <v>1875</v>
      </c>
      <c r="BZ47" s="270">
        <f t="array" ref="BZ47">INDEX('SC Cost File'!$A$2:$AB$31,MATCH($C47,'SC Cost File'!$A$2:$A$31,0),MATCH(BZ$7,'SC Cost File'!$A$2:$AB$2,0))/COUNTIF($G$7:$CV$7,BZ$7)</f>
        <v>1875</v>
      </c>
      <c r="CA47" s="270">
        <f t="array" ref="CA47">INDEX('SC Cost File'!$A$2:$AB$31,MATCH($C47,'SC Cost File'!$A$2:$A$31,0),MATCH(CA$7,'SC Cost File'!$A$2:$AB$2,0))/COUNTIF($G$7:$CV$7,CA$7)</f>
        <v>0</v>
      </c>
      <c r="CB47" s="270">
        <f t="array" ref="CB47">INDEX('SC Cost File'!$A$2:$AB$31,MATCH($C47,'SC Cost File'!$A$2:$A$31,0),MATCH(CB$7,'SC Cost File'!$A$2:$AB$2,0))/COUNTIF($G$7:$CV$7,CB$7)</f>
        <v>0</v>
      </c>
      <c r="CC47" s="270">
        <f t="array" ref="CC47">INDEX('SC Cost File'!$A$2:$AB$31,MATCH($C47,'SC Cost File'!$A$2:$A$31,0),MATCH(CC$7,'SC Cost File'!$A$2:$AB$2,0))/COUNTIF($G$7:$CV$7,CC$7)</f>
        <v>0</v>
      </c>
      <c r="CD47" s="270">
        <f t="array" ref="CD47">INDEX('SC Cost File'!$A$2:$AB$31,MATCH($C47,'SC Cost File'!$A$2:$A$31,0),MATCH(CD$7,'SC Cost File'!$A$2:$AB$2,0))/COUNTIF($G$7:$CV$7,CD$7)</f>
        <v>0</v>
      </c>
      <c r="CE47" s="270">
        <f t="array" ref="CE47">INDEX('SC Cost File'!$A$2:$AB$31,MATCH($C47,'SC Cost File'!$A$2:$A$31,0),MATCH(CE$7,'SC Cost File'!$A$2:$AB$2,0))/COUNTIF($G$7:$CV$7,CE$7)</f>
        <v>0</v>
      </c>
      <c r="CF47" s="270">
        <f t="array" ref="CF47">INDEX('SC Cost File'!$A$2:$AB$31,MATCH($C47,'SC Cost File'!$A$2:$A$31,0),MATCH(CF$7,'SC Cost File'!$A$2:$AB$2,0))/COUNTIF($G$7:$CV$7,CF$7)</f>
        <v>0</v>
      </c>
      <c r="CG47" s="270">
        <f t="array" ref="CG47">INDEX('SC Cost File'!$A$2:$AB$31,MATCH($C47,'SC Cost File'!$A$2:$A$31,0),MATCH(CG$7,'SC Cost File'!$A$2:$AB$2,0))/COUNTIF($G$7:$CV$7,CG$7)</f>
        <v>0</v>
      </c>
      <c r="CH47" s="270">
        <f t="array" ref="CH47">INDEX('SC Cost File'!$A$2:$AB$31,MATCH($C47,'SC Cost File'!$A$2:$A$31,0),MATCH(CH$7,'SC Cost File'!$A$2:$AB$2,0))/COUNTIF($G$7:$CV$7,CH$7)</f>
        <v>0</v>
      </c>
      <c r="CI47" s="270">
        <f t="array" ref="CI47">INDEX('SC Cost File'!$A$2:$AB$31,MATCH($C47,'SC Cost File'!$A$2:$A$31,0),MATCH(CI$7,'SC Cost File'!$A$2:$AB$2,0))/COUNTIF($G$7:$CV$7,CI$7)</f>
        <v>0</v>
      </c>
      <c r="CJ47" s="270">
        <f t="array" ref="CJ47">INDEX('SC Cost File'!$A$2:$AB$31,MATCH($C47,'SC Cost File'!$A$2:$A$31,0),MATCH(CJ$7,'SC Cost File'!$A$2:$AB$2,0))/COUNTIF($G$7:$CV$7,CJ$7)</f>
        <v>0</v>
      </c>
      <c r="CK47" s="270">
        <f t="array" ref="CK47">INDEX('SC Cost File'!$A$2:$AB$31,MATCH($C47,'SC Cost File'!$A$2:$A$31,0),MATCH(CK$7,'SC Cost File'!$A$2:$AB$2,0))/COUNTIF($G$7:$CV$7,CK$7)</f>
        <v>0</v>
      </c>
      <c r="CL47" s="270">
        <f t="array" ref="CL47">INDEX('SC Cost File'!$A$2:$AB$31,MATCH($C47,'SC Cost File'!$A$2:$A$31,0),MATCH(CL$7,'SC Cost File'!$A$2:$AB$2,0))/COUNTIF($G$7:$CV$7,CL$7)</f>
        <v>0</v>
      </c>
      <c r="CM47" s="270">
        <f t="array" ref="CM47">INDEX('SC Cost File'!$A$2:$AB$31,MATCH($C47,'SC Cost File'!$A$2:$A$31,0),MATCH(CM$7,'SC Cost File'!$A$2:$AB$2,0))/COUNTIF($G$7:$CV$7,CM$7)</f>
        <v>0</v>
      </c>
      <c r="CN47" s="270">
        <f t="array" ref="CN47">INDEX('SC Cost File'!$A$2:$AB$31,MATCH($C47,'SC Cost File'!$A$2:$A$31,0),MATCH(CN$7,'SC Cost File'!$A$2:$AB$2,0))/COUNTIF($G$7:$CV$7,CN$7)</f>
        <v>0</v>
      </c>
      <c r="CO47" s="270">
        <f t="array" ref="CO47">INDEX('SC Cost File'!$A$2:$AB$31,MATCH($C47,'SC Cost File'!$A$2:$A$31,0),MATCH(CO$7,'SC Cost File'!$A$2:$AB$2,0))/COUNTIF($G$7:$CV$7,CO$7)</f>
        <v>0</v>
      </c>
      <c r="CP47" s="270">
        <f t="array" ref="CP47">INDEX('SC Cost File'!$A$2:$AB$31,MATCH($C47,'SC Cost File'!$A$2:$A$31,0),MATCH(CP$7,'SC Cost File'!$A$2:$AB$2,0))/COUNTIF($G$7:$CV$7,CP$7)</f>
        <v>0</v>
      </c>
      <c r="CQ47" s="270">
        <f t="array" ref="CQ47">INDEX('SC Cost File'!$A$2:$AB$31,MATCH($C47,'SC Cost File'!$A$2:$A$31,0),MATCH(CQ$7,'SC Cost File'!$A$2:$AB$2,0))/COUNTIF($G$7:$CV$7,CQ$7)</f>
        <v>0</v>
      </c>
      <c r="CR47" s="270">
        <f t="array" ref="CR47">INDEX('SC Cost File'!$A$2:$AB$31,MATCH($C47,'SC Cost File'!$A$2:$A$31,0),MATCH(CR$7,'SC Cost File'!$A$2:$AB$2,0))/COUNTIF($G$7:$CV$7,CR$7)</f>
        <v>0</v>
      </c>
      <c r="CS47" s="270">
        <f t="array" ref="CS47">INDEX('SC Cost File'!$A$2:$AB$31,MATCH($C47,'SC Cost File'!$A$2:$A$31,0),MATCH(CS$7,'SC Cost File'!$A$2:$AB$2,0))/COUNTIF($G$7:$CV$7,CS$7)</f>
        <v>0</v>
      </c>
      <c r="CT47" s="270">
        <f t="array" ref="CT47">INDEX('SC Cost File'!$A$2:$AB$31,MATCH($C47,'SC Cost File'!$A$2:$A$31,0),MATCH(CT$7,'SC Cost File'!$A$2:$AB$2,0))/COUNTIF($G$7:$CV$7,CT$7)</f>
        <v>0</v>
      </c>
      <c r="CU47" s="270">
        <f t="array" ref="CU47">INDEX('SC Cost File'!$A$2:$AB$31,MATCH($C47,'SC Cost File'!$A$2:$A$31,0),MATCH(CU$7,'SC Cost File'!$A$2:$AB$2,0))/COUNTIF($G$7:$CV$7,CU$7)</f>
        <v>0</v>
      </c>
      <c r="CV47" s="270">
        <f t="array" ref="CV47">INDEX('SC Cost File'!$A$2:$AB$31,MATCH($C47,'SC Cost File'!$A$2:$A$31,0),MATCH(CV$7,'SC Cost File'!$A$2:$AB$2,0))/COUNTIF($G$7:$CV$7,CV$7)</f>
        <v>0</v>
      </c>
      <c r="CW47" s="272"/>
      <c r="CX47" s="272"/>
      <c r="CY47" s="272"/>
      <c r="CZ47" s="272"/>
      <c r="DA47" s="272"/>
      <c r="DB47" s="272"/>
      <c r="DC47" s="272"/>
      <c r="DD47" s="272"/>
      <c r="DE47" s="272"/>
      <c r="DF47" s="272"/>
      <c r="DG47" s="272"/>
      <c r="DH47" s="272"/>
      <c r="DI47" s="272"/>
      <c r="DJ47" s="272"/>
      <c r="DK47" s="272"/>
      <c r="DL47" s="272"/>
      <c r="DM47" s="272"/>
      <c r="DN47" s="272"/>
      <c r="DO47" s="272"/>
      <c r="DP47" s="272"/>
    </row>
    <row r="48" spans="1:120" s="273" customFormat="1" ht="14.25" customHeight="1" x14ac:dyDescent="0.2">
      <c r="A48" s="270" t="s">
        <v>120</v>
      </c>
      <c r="B48" s="270">
        <f t="shared" si="19"/>
        <v>2</v>
      </c>
      <c r="C48" s="270" t="s">
        <v>142</v>
      </c>
      <c r="D48" s="270" t="s">
        <v>143</v>
      </c>
      <c r="E48" s="270" t="s">
        <v>125</v>
      </c>
      <c r="F48" s="270" t="s">
        <v>126</v>
      </c>
      <c r="G48" s="270">
        <f t="array" ref="G48">INDEX('SC Cost File'!$A$2:$AB$31,MATCH($C48,'SC Cost File'!$A$2:$A$31,0),MATCH(G$7,'SC Cost File'!$A$2:$AB$2,0))/COUNTIF($G$7:$CV$7,G$7)</f>
        <v>75</v>
      </c>
      <c r="H48" s="270">
        <f t="array" ref="H48">INDEX('SC Cost File'!$A$2:$AB$31,MATCH($C48,'SC Cost File'!$A$2:$A$31,0),MATCH(H$7,'SC Cost File'!$A$2:$AB$2,0))/COUNTIF($G$7:$CV$7,H$7)</f>
        <v>75</v>
      </c>
      <c r="I48" s="270">
        <f t="array" ref="I48">INDEX('SC Cost File'!$A$2:$AB$31,MATCH($C48,'SC Cost File'!$A$2:$A$31,0),MATCH(I$7,'SC Cost File'!$A$2:$AB$2,0))/COUNTIF($G$7:$CV$7,I$7)</f>
        <v>37.5</v>
      </c>
      <c r="J48" s="270">
        <f t="array" ref="J48">INDEX('SC Cost File'!$A$2:$AB$31,MATCH($C48,'SC Cost File'!$A$2:$A$31,0),MATCH(J$7,'SC Cost File'!$A$2:$AB$2,0))/COUNTIF($G$7:$CV$7,J$7)</f>
        <v>37.5</v>
      </c>
      <c r="K48" s="270">
        <f t="array" ref="K48">INDEX('SC Cost File'!$A$2:$AB$31,MATCH($C48,'SC Cost File'!$A$2:$A$31,0),MATCH(K$7,'SC Cost File'!$A$2:$AB$2,0))/COUNTIF($G$7:$CV$7,K$7)</f>
        <v>37.5</v>
      </c>
      <c r="L48" s="270">
        <f t="array" ref="L48">INDEX('SC Cost File'!$A$2:$AB$31,MATCH($C48,'SC Cost File'!$A$2:$A$31,0),MATCH(L$7,'SC Cost File'!$A$2:$AB$2,0))/COUNTIF($G$7:$CV$7,L$7)</f>
        <v>37.5</v>
      </c>
      <c r="M48" s="270">
        <f t="array" ref="M48">INDEX('SC Cost File'!$A$2:$AB$31,MATCH($C48,'SC Cost File'!$A$2:$A$31,0),MATCH(M$7,'SC Cost File'!$A$2:$AB$2,0))/COUNTIF($G$7:$CV$7,M$7)</f>
        <v>37.5</v>
      </c>
      <c r="N48" s="289">
        <f>SUMIF($O$8:$AV$8,"&gt;="&amp;'CURRENT FORECAST START DATE'!$C$4,'Weekly Spend'!O48:AV48)</f>
        <v>875</v>
      </c>
      <c r="O48" s="270">
        <f t="array" ref="O48">INDEX('SC Cost File'!$A$2:$AB$31,MATCH($C48,'SC Cost File'!$A$2:$A$31,0),MATCH(O$7,'SC Cost File'!$A$2:$AB$2,0))/COUNTIF($G$7:$CV$7,O$7)</f>
        <v>37.5</v>
      </c>
      <c r="P48" s="270">
        <f t="array" ref="P48">INDEX('SC Cost File'!$A$2:$AB$31,MATCH($C48,'SC Cost File'!$A$2:$A$31,0),MATCH(P$7,'SC Cost File'!$A$2:$AB$2,0))/COUNTIF($G$7:$CV$7,P$7)</f>
        <v>37.5</v>
      </c>
      <c r="Q48" s="270">
        <f t="array" ref="Q48">INDEX('SC Cost File'!$A$2:$AB$31,MATCH($C48,'SC Cost File'!$A$2:$A$31,0),MATCH(Q$7,'SC Cost File'!$A$2:$AB$2,0))/COUNTIF($G$7:$CV$7,Q$7)</f>
        <v>37.5</v>
      </c>
      <c r="R48" s="270">
        <f t="array" ref="R48">INDEX('SC Cost File'!$A$2:$AB$31,MATCH($C48,'SC Cost File'!$A$2:$A$31,0),MATCH(R$7,'SC Cost File'!$A$2:$AB$2,0))/COUNTIF($G$7:$CV$7,R$7)</f>
        <v>30</v>
      </c>
      <c r="S48" s="270">
        <f t="array" ref="S48">INDEX('SC Cost File'!$A$2:$AB$31,MATCH($C48,'SC Cost File'!$A$2:$A$31,0),MATCH(S$7,'SC Cost File'!$A$2:$AB$2,0))/COUNTIF($G$7:$CV$7,S$7)</f>
        <v>30</v>
      </c>
      <c r="T48" s="270">
        <f t="array" ref="T48">INDEX('SC Cost File'!$A$2:$AB$31,MATCH($C48,'SC Cost File'!$A$2:$A$31,0),MATCH(T$7,'SC Cost File'!$A$2:$AB$2,0))/COUNTIF($G$7:$CV$7,T$7)</f>
        <v>30</v>
      </c>
      <c r="U48" s="270">
        <f t="array" ref="U48">INDEX('SC Cost File'!$A$2:$AB$31,MATCH($C48,'SC Cost File'!$A$2:$A$31,0),MATCH(U$7,'SC Cost File'!$A$2:$AB$2,0))/COUNTIF($G$7:$CV$7,U$7)</f>
        <v>30</v>
      </c>
      <c r="V48" s="270">
        <v>0</v>
      </c>
      <c r="W48" s="270">
        <v>0</v>
      </c>
      <c r="X48" s="270">
        <f t="array" ref="X48">INDEX('SC Cost File'!$A$2:$AB$31,MATCH($C48,'SC Cost File'!$A$2:$A$31,0),MATCH(X$7,'SC Cost File'!$A$2:$AB$2,0))/COUNTIF($G$7:$CV$7,X$7)</f>
        <v>125</v>
      </c>
      <c r="Y48" s="270">
        <f t="array" ref="Y48">INDEX('SC Cost File'!$A$2:$AB$31,MATCH($C48,'SC Cost File'!$A$2:$A$31,0),MATCH(Y$7,'SC Cost File'!$A$2:$AB$2,0))/COUNTIF($G$7:$CV$7,Y$7)</f>
        <v>125</v>
      </c>
      <c r="Z48" s="270">
        <f t="array" ref="Z48">INDEX('SC Cost File'!$A$2:$AB$31,MATCH($C48,'SC Cost File'!$A$2:$A$31,0),MATCH(Z$7,'SC Cost File'!$A$2:$AB$2,0))/COUNTIF($G$7:$CV$7,Z$7)</f>
        <v>125</v>
      </c>
      <c r="AA48" s="270">
        <f t="array" ref="AA48">INDEX('SC Cost File'!$A$2:$AB$31,MATCH($C48,'SC Cost File'!$A$2:$A$31,0),MATCH(AA$7,'SC Cost File'!$A$2:$AB$2,0))/COUNTIF($G$7:$CV$7,AA$7)</f>
        <v>125</v>
      </c>
      <c r="AB48" s="270">
        <f t="array" ref="AB48">INDEX('SC Cost File'!$A$2:$AB$31,MATCH($C48,'SC Cost File'!$A$2:$A$31,0),MATCH(AB$7,'SC Cost File'!$A$2:$AB$2,0))/COUNTIF($G$7:$CV$7,AB$7)</f>
        <v>125</v>
      </c>
      <c r="AC48" s="270">
        <f t="array" ref="AC48">INDEX('SC Cost File'!$A$2:$AB$31,MATCH($C48,'SC Cost File'!$A$2:$A$31,0),MATCH(AC$7,'SC Cost File'!$A$2:$AB$2,0))/COUNTIF($G$7:$CV$7,AC$7)</f>
        <v>125</v>
      </c>
      <c r="AD48" s="270">
        <f t="array" ref="AD48">INDEX('SC Cost File'!$A$2:$AB$31,MATCH($C48,'SC Cost File'!$A$2:$A$31,0),MATCH(AD$7,'SC Cost File'!$A$2:$AB$2,0))/COUNTIF($G$7:$CV$7,AD$7)</f>
        <v>125</v>
      </c>
      <c r="AE48" s="270">
        <f t="array" ref="AE48">INDEX('SC Cost File'!$A$2:$AB$31,MATCH($C48,'SC Cost File'!$A$2:$A$31,0),MATCH(AE$7,'SC Cost File'!$A$2:$AB$2,0))/COUNTIF($G$7:$CV$7,AE$7)</f>
        <v>100</v>
      </c>
      <c r="AF48" s="270">
        <f t="array" ref="AF48">INDEX('SC Cost File'!$A$2:$AB$31,MATCH($C48,'SC Cost File'!$A$2:$A$31,0),MATCH(AF$7,'SC Cost File'!$A$2:$AB$2,0))/COUNTIF($G$7:$CV$7,AF$7)</f>
        <v>100</v>
      </c>
      <c r="AG48" s="270">
        <f t="array" ref="AG48">INDEX('SC Cost File'!$A$2:$AB$31,MATCH($C48,'SC Cost File'!$A$2:$A$31,0),MATCH(AG$7,'SC Cost File'!$A$2:$AB$2,0))/COUNTIF($G$7:$CV$7,AG$7)</f>
        <v>100</v>
      </c>
      <c r="AH48" s="270">
        <f t="array" ref="AH48">INDEX('SC Cost File'!$A$2:$AB$31,MATCH($C48,'SC Cost File'!$A$2:$A$31,0),MATCH(AH$7,'SC Cost File'!$A$2:$AB$2,0))/COUNTIF($G$7:$CV$7,AH$7)</f>
        <v>100</v>
      </c>
      <c r="AI48" s="270">
        <f t="array" ref="AI48">INDEX('SC Cost File'!$A$2:$AB$31,MATCH($C48,'SC Cost File'!$A$2:$A$31,0),MATCH(AI$7,'SC Cost File'!$A$2:$AB$2,0))/COUNTIF($G$7:$CV$7,AI$7)</f>
        <v>100</v>
      </c>
      <c r="AJ48" s="270">
        <f t="array" ref="AJ48">INDEX('SC Cost File'!$A$2:$AB$31,MATCH($C48,'SC Cost File'!$A$2:$A$31,0),MATCH(AJ$7,'SC Cost File'!$A$2:$AB$2,0))/COUNTIF($G$7:$CV$7,AJ$7)</f>
        <v>125</v>
      </c>
      <c r="AK48" s="270">
        <f t="array" ref="AK48">INDEX('SC Cost File'!$A$2:$AB$31,MATCH($C48,'SC Cost File'!$A$2:$A$31,0),MATCH(AK$7,'SC Cost File'!$A$2:$AB$2,0))/COUNTIF($G$7:$CV$7,AK$7)</f>
        <v>125</v>
      </c>
      <c r="AL48" s="270">
        <f t="array" ref="AL48">INDEX('SC Cost File'!$A$2:$AB$31,MATCH($C48,'SC Cost File'!$A$2:$A$31,0),MATCH(AL$7,'SC Cost File'!$A$2:$AB$2,0))/COUNTIF($G$7:$CV$7,AL$7)</f>
        <v>125</v>
      </c>
      <c r="AM48" s="270">
        <f t="array" ref="AM48">INDEX('SC Cost File'!$A$2:$AB$31,MATCH($C48,'SC Cost File'!$A$2:$A$31,0),MATCH(AM$7,'SC Cost File'!$A$2:$AB$2,0))/COUNTIF($G$7:$CV$7,AM$7)</f>
        <v>125</v>
      </c>
      <c r="AN48" s="270">
        <f t="array" ref="AN48">INDEX('SC Cost File'!$A$2:$AB$31,MATCH($C48,'SC Cost File'!$A$2:$A$31,0),MATCH(AN$7,'SC Cost File'!$A$2:$AB$2,0))/COUNTIF($G$7:$CV$7,AN$7)</f>
        <v>125</v>
      </c>
      <c r="AO48" s="390">
        <f t="array" ref="AO48">INDEX('SC Cost File'!$A$2:$AB$31,MATCH($C48,'SC Cost File'!$A$2:$A$31,0),MATCH(AO$7,'SC Cost File'!$A$2:$AB$2,0))/COUNTIF($G$7:$CV$7,AO$7)</f>
        <v>125</v>
      </c>
      <c r="AP48" s="270">
        <f t="array" ref="AP48">INDEX('SC Cost File'!$A$2:$AB$31,MATCH($C48,'SC Cost File'!$A$2:$A$31,0),MATCH(AP$7,'SC Cost File'!$A$2:$AB$2,0))/COUNTIF($G$7:$CV$7,AP$7)</f>
        <v>125</v>
      </c>
      <c r="AQ48" s="270">
        <f t="array" ref="AQ48">INDEX('SC Cost File'!$A$2:$AB$31,MATCH($C48,'SC Cost File'!$A$2:$A$31,0),MATCH(AQ$7,'SC Cost File'!$A$2:$AB$2,0))/COUNTIF($G$7:$CV$7,AQ$7)</f>
        <v>125</v>
      </c>
      <c r="AR48" s="270">
        <f t="array" ref="AR48">INDEX('SC Cost File'!$A$2:$AB$31,MATCH($C48,'SC Cost File'!$A$2:$A$31,0),MATCH(AR$7,'SC Cost File'!$A$2:$AB$2,0))/COUNTIF($G$7:$CV$7,AR$7)</f>
        <v>100</v>
      </c>
      <c r="AS48" s="270">
        <f t="array" ref="AS48">INDEX('SC Cost File'!$A$2:$AB$31,MATCH($C48,'SC Cost File'!$A$2:$A$31,0),MATCH(AS$7,'SC Cost File'!$A$2:$AB$2,0))/COUNTIF($G$7:$CV$7,AS$7)</f>
        <v>100</v>
      </c>
      <c r="AT48" s="270">
        <f t="array" ref="AT48">INDEX('SC Cost File'!$A$2:$AB$31,MATCH($C48,'SC Cost File'!$A$2:$A$31,0),MATCH(AT$7,'SC Cost File'!$A$2:$AB$2,0))/COUNTIF($G$7:$CV$7,AT$7)</f>
        <v>100</v>
      </c>
      <c r="AU48" s="270">
        <f t="array" ref="AU48">INDEX('SC Cost File'!$A$2:$AB$31,MATCH($C48,'SC Cost File'!$A$2:$A$31,0),MATCH(AU$7,'SC Cost File'!$A$2:$AB$2,0))/COUNTIF($G$7:$CV$7,AU$7)</f>
        <v>100</v>
      </c>
      <c r="AV48" s="270">
        <f t="array" ref="AV48">INDEX('SC Cost File'!$A$2:$AB$31,MATCH($C48,'SC Cost File'!$A$2:$A$31,0),MATCH(AV$7,'SC Cost File'!$A$2:$AB$2,0))/COUNTIF($G$7:$CV$7,AV$7)</f>
        <v>100</v>
      </c>
      <c r="AW48" s="270">
        <f t="array" ref="AW48">INDEX('SC Cost File'!$A$2:$AB$31,MATCH($C48,'SC Cost File'!$A$2:$A$31,0),MATCH(AW$7,'SC Cost File'!$A$2:$AB$2,0))/COUNTIF($G$7:$CV$7,AW$7)</f>
        <v>125</v>
      </c>
      <c r="AX48" s="270">
        <f t="array" ref="AX48">INDEX('SC Cost File'!$A$2:$AB$31,MATCH($C48,'SC Cost File'!$A$2:$A$31,0),MATCH(AX$7,'SC Cost File'!$A$2:$AB$2,0))/COUNTIF($G$7:$CV$7,AX$7)</f>
        <v>125</v>
      </c>
      <c r="AY48" s="270">
        <f t="array" ref="AY48">INDEX('SC Cost File'!$A$2:$AB$31,MATCH($C48,'SC Cost File'!$A$2:$A$31,0),MATCH(AY$7,'SC Cost File'!$A$2:$AB$2,0))/COUNTIF($G$7:$CV$7,AY$7)</f>
        <v>125</v>
      </c>
      <c r="AZ48" s="270">
        <f t="array" ref="AZ48">INDEX('SC Cost File'!$A$2:$AB$31,MATCH($C48,'SC Cost File'!$A$2:$A$31,0),MATCH(AZ$7,'SC Cost File'!$A$2:$AB$2,0))/COUNTIF($G$7:$CV$7,AZ$7)</f>
        <v>125</v>
      </c>
      <c r="BA48" s="270">
        <f t="array" ref="BA48">INDEX('SC Cost File'!$A$2:$AB$31,MATCH($C48,'SC Cost File'!$A$2:$A$31,0),MATCH(BA$7,'SC Cost File'!$A$2:$AB$2,0))/COUNTIF($G$7:$CV$7,BA$7)</f>
        <v>125</v>
      </c>
      <c r="BB48" s="270">
        <f t="array" ref="BB48">INDEX('SC Cost File'!$A$2:$AB$31,MATCH($C48,'SC Cost File'!$A$2:$A$31,0),MATCH(BB$7,'SC Cost File'!$A$2:$AB$2,0))/COUNTIF($G$7:$CV$7,BB$7)</f>
        <v>125</v>
      </c>
      <c r="BC48" s="270">
        <f t="array" ref="BC48">INDEX('SC Cost File'!$A$2:$AB$31,MATCH($C48,'SC Cost File'!$A$2:$A$31,0),MATCH(BC$7,'SC Cost File'!$A$2:$AB$2,0))/COUNTIF($G$7:$CV$7,BC$7)</f>
        <v>125</v>
      </c>
      <c r="BD48" s="270">
        <f t="array" ref="BD48">INDEX('SC Cost File'!$A$2:$AB$31,MATCH($C48,'SC Cost File'!$A$2:$A$31,0),MATCH(BD$7,'SC Cost File'!$A$2:$AB$2,0))/COUNTIF($G$7:$CV$7,BD$7)</f>
        <v>125</v>
      </c>
      <c r="BE48" s="270">
        <f t="array" ref="BE48">INDEX('SC Cost File'!$A$2:$AB$31,MATCH($C48,'SC Cost File'!$A$2:$A$31,0),MATCH(BE$7,'SC Cost File'!$A$2:$AB$2,0))/COUNTIF($G$7:$CV$7,BE$7)</f>
        <v>100</v>
      </c>
      <c r="BF48" s="270">
        <f t="array" ref="BF48">INDEX('SC Cost File'!$A$2:$AB$31,MATCH($C48,'SC Cost File'!$A$2:$A$31,0),MATCH(BF$7,'SC Cost File'!$A$2:$AB$2,0))/COUNTIF($G$7:$CV$7,BF$7)</f>
        <v>100</v>
      </c>
      <c r="BG48" s="270">
        <f t="array" ref="BG48">INDEX('SC Cost File'!$A$2:$AB$31,MATCH($C48,'SC Cost File'!$A$2:$A$31,0),MATCH(BG$7,'SC Cost File'!$A$2:$AB$2,0))/COUNTIF($G$7:$CV$7,BG$7)</f>
        <v>100</v>
      </c>
      <c r="BH48" s="270">
        <f t="array" ref="BH48">INDEX('SC Cost File'!$A$2:$AB$31,MATCH($C48,'SC Cost File'!$A$2:$A$31,0),MATCH(BH$7,'SC Cost File'!$A$2:$AB$2,0))/COUNTIF($G$7:$CV$7,BH$7)</f>
        <v>100</v>
      </c>
      <c r="BI48" s="270">
        <f t="array" ref="BI48">INDEX('SC Cost File'!$A$2:$AB$31,MATCH($C48,'SC Cost File'!$A$2:$A$31,0),MATCH(BI$7,'SC Cost File'!$A$2:$AB$2,0))/COUNTIF($G$7:$CV$7,BI$7)</f>
        <v>100</v>
      </c>
      <c r="BJ48" s="270">
        <f t="array" ref="BJ48">INDEX('SC Cost File'!$A$2:$AB$31,MATCH($C48,'SC Cost File'!$A$2:$A$31,0),MATCH(BJ$7,'SC Cost File'!$A$2:$AB$2,0))/COUNTIF($G$7:$CV$7,BJ$7)</f>
        <v>125</v>
      </c>
      <c r="BK48" s="270">
        <f t="array" ref="BK48">INDEX('SC Cost File'!$A$2:$AB$31,MATCH($C48,'SC Cost File'!$A$2:$A$31,0),MATCH(BK$7,'SC Cost File'!$A$2:$AB$2,0))/COUNTIF($G$7:$CV$7,BK$7)</f>
        <v>125</v>
      </c>
      <c r="BL48" s="270">
        <f t="array" ref="BL48">INDEX('SC Cost File'!$A$2:$AB$31,MATCH($C48,'SC Cost File'!$A$2:$A$31,0),MATCH(BL$7,'SC Cost File'!$A$2:$AB$2,0))/COUNTIF($G$7:$CV$7,BL$7)</f>
        <v>125</v>
      </c>
      <c r="BM48" s="270">
        <f t="array" ref="BM48">INDEX('SC Cost File'!$A$2:$AB$31,MATCH($C48,'SC Cost File'!$A$2:$A$31,0),MATCH(BM$7,'SC Cost File'!$A$2:$AB$2,0))/COUNTIF($G$7:$CV$7,BM$7)</f>
        <v>125</v>
      </c>
      <c r="BN48" s="270">
        <f t="array" ref="BN48">INDEX('SC Cost File'!$A$2:$AB$31,MATCH($C48,'SC Cost File'!$A$2:$A$31,0),MATCH(BN$7,'SC Cost File'!$A$2:$AB$2,0))/COUNTIF($G$7:$CV$7,BN$7)</f>
        <v>125</v>
      </c>
      <c r="BO48" s="270">
        <f t="array" ref="BO48">INDEX('SC Cost File'!$A$2:$AB$31,MATCH($C48,'SC Cost File'!$A$2:$A$31,0),MATCH(BO$7,'SC Cost File'!$A$2:$AB$2,0))/COUNTIF($G$7:$CV$7,BO$7)</f>
        <v>125</v>
      </c>
      <c r="BP48" s="270">
        <f t="array" ref="BP48">INDEX('SC Cost File'!$A$2:$AB$31,MATCH($C48,'SC Cost File'!$A$2:$A$31,0),MATCH(BP$7,'SC Cost File'!$A$2:$AB$2,0))/COUNTIF($G$7:$CV$7,BP$7)</f>
        <v>125</v>
      </c>
      <c r="BQ48" s="270">
        <f t="array" ref="BQ48">INDEX('SC Cost File'!$A$2:$AB$31,MATCH($C48,'SC Cost File'!$A$2:$A$31,0),MATCH(BQ$7,'SC Cost File'!$A$2:$AB$2,0))/COUNTIF($G$7:$CV$7,BQ$7)</f>
        <v>125</v>
      </c>
      <c r="BR48" s="270">
        <f t="array" ref="BR48">INDEX('SC Cost File'!$A$2:$AB$31,MATCH($C48,'SC Cost File'!$A$2:$A$31,0),MATCH(BR$7,'SC Cost File'!$A$2:$AB$2,0))/COUNTIF($G$7:$CV$7,BR$7)</f>
        <v>100</v>
      </c>
      <c r="BS48" s="270">
        <f t="array" ref="BS48">INDEX('SC Cost File'!$A$2:$AB$31,MATCH($C48,'SC Cost File'!$A$2:$A$31,0),MATCH(BS$7,'SC Cost File'!$A$2:$AB$2,0))/COUNTIF($G$7:$CV$7,BS$7)</f>
        <v>100</v>
      </c>
      <c r="BT48" s="270">
        <f t="array" ref="BT48">INDEX('SC Cost File'!$A$2:$AB$31,MATCH($C48,'SC Cost File'!$A$2:$A$31,0),MATCH(BT$7,'SC Cost File'!$A$2:$AB$2,0))/COUNTIF($G$7:$CV$7,BT$7)</f>
        <v>100</v>
      </c>
      <c r="BU48" s="270">
        <f t="array" ref="BU48">INDEX('SC Cost File'!$A$2:$AB$31,MATCH($C48,'SC Cost File'!$A$2:$A$31,0),MATCH(BU$7,'SC Cost File'!$A$2:$AB$2,0))/COUNTIF($G$7:$CV$7,BU$7)</f>
        <v>100</v>
      </c>
      <c r="BV48" s="270">
        <f t="array" ref="BV48">INDEX('SC Cost File'!$A$2:$AB$31,MATCH($C48,'SC Cost File'!$A$2:$A$31,0),MATCH(BV$7,'SC Cost File'!$A$2:$AB$2,0))/COUNTIF($G$7:$CV$7,BV$7)</f>
        <v>100</v>
      </c>
      <c r="BW48" s="270">
        <f t="array" ref="BW48">INDEX('SC Cost File'!$A$2:$AB$31,MATCH($C48,'SC Cost File'!$A$2:$A$31,0),MATCH(BW$7,'SC Cost File'!$A$2:$AB$2,0))/COUNTIF($G$7:$CV$7,BW$7)</f>
        <v>125</v>
      </c>
      <c r="BX48" s="270">
        <f t="array" ref="BX48">INDEX('SC Cost File'!$A$2:$AB$31,MATCH($C48,'SC Cost File'!$A$2:$A$31,0),MATCH(BX$7,'SC Cost File'!$A$2:$AB$2,0))/COUNTIF($G$7:$CV$7,BX$7)</f>
        <v>125</v>
      </c>
      <c r="BY48" s="270">
        <f t="array" ref="BY48">INDEX('SC Cost File'!$A$2:$AB$31,MATCH($C48,'SC Cost File'!$A$2:$A$31,0),MATCH(BY$7,'SC Cost File'!$A$2:$AB$2,0))/COUNTIF($G$7:$CV$7,BY$7)</f>
        <v>125</v>
      </c>
      <c r="BZ48" s="270">
        <f t="array" ref="BZ48">INDEX('SC Cost File'!$A$2:$AB$31,MATCH($C48,'SC Cost File'!$A$2:$A$31,0),MATCH(BZ$7,'SC Cost File'!$A$2:$AB$2,0))/COUNTIF($G$7:$CV$7,BZ$7)</f>
        <v>125</v>
      </c>
      <c r="CA48" s="270">
        <f t="array" ref="CA48">INDEX('SC Cost File'!$A$2:$AB$31,MATCH($C48,'SC Cost File'!$A$2:$A$31,0),MATCH(CA$7,'SC Cost File'!$A$2:$AB$2,0))/COUNTIF($G$7:$CV$7,CA$7)</f>
        <v>100</v>
      </c>
      <c r="CB48" s="270">
        <f t="array" ref="CB48">INDEX('SC Cost File'!$A$2:$AB$31,MATCH($C48,'SC Cost File'!$A$2:$A$31,0),MATCH(CB$7,'SC Cost File'!$A$2:$AB$2,0))/COUNTIF($G$7:$CV$7,CB$7)</f>
        <v>100</v>
      </c>
      <c r="CC48" s="270">
        <f t="array" ref="CC48">INDEX('SC Cost File'!$A$2:$AB$31,MATCH($C48,'SC Cost File'!$A$2:$A$31,0),MATCH(CC$7,'SC Cost File'!$A$2:$AB$2,0))/COUNTIF($G$7:$CV$7,CC$7)</f>
        <v>100</v>
      </c>
      <c r="CD48" s="270">
        <f t="array" ref="CD48">INDEX('SC Cost File'!$A$2:$AB$31,MATCH($C48,'SC Cost File'!$A$2:$A$31,0),MATCH(CD$7,'SC Cost File'!$A$2:$AB$2,0))/COUNTIF($G$7:$CV$7,CD$7)</f>
        <v>100</v>
      </c>
      <c r="CE48" s="270">
        <f t="array" ref="CE48">INDEX('SC Cost File'!$A$2:$AB$31,MATCH($C48,'SC Cost File'!$A$2:$A$31,0),MATCH(CE$7,'SC Cost File'!$A$2:$AB$2,0))/COUNTIF($G$7:$CV$7,CE$7)</f>
        <v>100</v>
      </c>
      <c r="CF48" s="270">
        <f t="array" ref="CF48">INDEX('SC Cost File'!$A$2:$AB$31,MATCH($C48,'SC Cost File'!$A$2:$A$31,0),MATCH(CF$7,'SC Cost File'!$A$2:$AB$2,0))/COUNTIF($G$7:$CV$7,CF$7)</f>
        <v>125</v>
      </c>
      <c r="CG48" s="270">
        <f t="array" ref="CG48">INDEX('SC Cost File'!$A$2:$AB$31,MATCH($C48,'SC Cost File'!$A$2:$A$31,0),MATCH(CG$7,'SC Cost File'!$A$2:$AB$2,0))/COUNTIF($G$7:$CV$7,CG$7)</f>
        <v>125</v>
      </c>
      <c r="CH48" s="270">
        <f t="array" ref="CH48">INDEX('SC Cost File'!$A$2:$AB$31,MATCH($C48,'SC Cost File'!$A$2:$A$31,0),MATCH(CH$7,'SC Cost File'!$A$2:$AB$2,0))/COUNTIF($G$7:$CV$7,CH$7)</f>
        <v>125</v>
      </c>
      <c r="CI48" s="270">
        <f t="array" ref="CI48">INDEX('SC Cost File'!$A$2:$AB$31,MATCH($C48,'SC Cost File'!$A$2:$A$31,0),MATCH(CI$7,'SC Cost File'!$A$2:$AB$2,0))/COUNTIF($G$7:$CV$7,CI$7)</f>
        <v>125</v>
      </c>
      <c r="CJ48" s="270">
        <f t="array" ref="CJ48">INDEX('SC Cost File'!$A$2:$AB$31,MATCH($C48,'SC Cost File'!$A$2:$A$31,0),MATCH(CJ$7,'SC Cost File'!$A$2:$AB$2,0))/COUNTIF($G$7:$CV$7,CJ$7)</f>
        <v>125</v>
      </c>
      <c r="CK48" s="270">
        <f t="array" ref="CK48">INDEX('SC Cost File'!$A$2:$AB$31,MATCH($C48,'SC Cost File'!$A$2:$A$31,0),MATCH(CK$7,'SC Cost File'!$A$2:$AB$2,0))/COUNTIF($G$7:$CV$7,CK$7)</f>
        <v>125</v>
      </c>
      <c r="CL48" s="270">
        <f t="array" ref="CL48">INDEX('SC Cost File'!$A$2:$AB$31,MATCH($C48,'SC Cost File'!$A$2:$A$31,0),MATCH(CL$7,'SC Cost File'!$A$2:$AB$2,0))/COUNTIF($G$7:$CV$7,CL$7)</f>
        <v>125</v>
      </c>
      <c r="CM48" s="270">
        <f t="array" ref="CM48">INDEX('SC Cost File'!$A$2:$AB$31,MATCH($C48,'SC Cost File'!$A$2:$A$31,0),MATCH(CM$7,'SC Cost File'!$A$2:$AB$2,0))/COUNTIF($G$7:$CV$7,CM$7)</f>
        <v>125</v>
      </c>
      <c r="CN48" s="270">
        <f t="array" ref="CN48">INDEX('SC Cost File'!$A$2:$AB$31,MATCH($C48,'SC Cost File'!$A$2:$A$31,0),MATCH(CN$7,'SC Cost File'!$A$2:$AB$2,0))/COUNTIF($G$7:$CV$7,CN$7)</f>
        <v>100</v>
      </c>
      <c r="CO48" s="270">
        <f t="array" ref="CO48">INDEX('SC Cost File'!$A$2:$AB$31,MATCH($C48,'SC Cost File'!$A$2:$A$31,0),MATCH(CO$7,'SC Cost File'!$A$2:$AB$2,0))/COUNTIF($G$7:$CV$7,CO$7)</f>
        <v>100</v>
      </c>
      <c r="CP48" s="270">
        <f t="array" ref="CP48">INDEX('SC Cost File'!$A$2:$AB$31,MATCH($C48,'SC Cost File'!$A$2:$A$31,0),MATCH(CP$7,'SC Cost File'!$A$2:$AB$2,0))/COUNTIF($G$7:$CV$7,CP$7)</f>
        <v>100</v>
      </c>
      <c r="CQ48" s="270">
        <f t="array" ref="CQ48">INDEX('SC Cost File'!$A$2:$AB$31,MATCH($C48,'SC Cost File'!$A$2:$A$31,0),MATCH(CQ$7,'SC Cost File'!$A$2:$AB$2,0))/COUNTIF($G$7:$CV$7,CQ$7)</f>
        <v>100</v>
      </c>
      <c r="CR48" s="270">
        <f t="array" ref="CR48">INDEX('SC Cost File'!$A$2:$AB$31,MATCH($C48,'SC Cost File'!$A$2:$A$31,0),MATCH(CR$7,'SC Cost File'!$A$2:$AB$2,0))/COUNTIF($G$7:$CV$7,CR$7)</f>
        <v>100</v>
      </c>
      <c r="CS48" s="270">
        <f t="array" ref="CS48">INDEX('SC Cost File'!$A$2:$AB$31,MATCH($C48,'SC Cost File'!$A$2:$A$31,0),MATCH(CS$7,'SC Cost File'!$A$2:$AB$2,0))/COUNTIF($G$7:$CV$7,CS$7)</f>
        <v>125</v>
      </c>
      <c r="CT48" s="270">
        <f t="array" ref="CT48">INDEX('SC Cost File'!$A$2:$AB$31,MATCH($C48,'SC Cost File'!$A$2:$A$31,0),MATCH(CT$7,'SC Cost File'!$A$2:$AB$2,0))/COUNTIF($G$7:$CV$7,CT$7)</f>
        <v>125</v>
      </c>
      <c r="CU48" s="270">
        <f t="array" ref="CU48">INDEX('SC Cost File'!$A$2:$AB$31,MATCH($C48,'SC Cost File'!$A$2:$A$31,0),MATCH(CU$7,'SC Cost File'!$A$2:$AB$2,0))/COUNTIF($G$7:$CV$7,CU$7)</f>
        <v>125</v>
      </c>
      <c r="CV48" s="270">
        <f t="array" ref="CV48">INDEX('SC Cost File'!$A$2:$AB$31,MATCH($C48,'SC Cost File'!$A$2:$A$31,0),MATCH(CV$7,'SC Cost File'!$A$2:$AB$2,0))/COUNTIF($G$7:$CV$7,CV$7)</f>
        <v>125</v>
      </c>
      <c r="CW48" s="272"/>
      <c r="CX48" s="272"/>
      <c r="CY48" s="272"/>
      <c r="CZ48" s="272"/>
      <c r="DA48" s="272"/>
      <c r="DB48" s="272"/>
      <c r="DC48" s="272"/>
      <c r="DD48" s="272"/>
      <c r="DE48" s="272"/>
      <c r="DF48" s="272"/>
      <c r="DG48" s="272"/>
      <c r="DH48" s="272"/>
      <c r="DI48" s="272"/>
      <c r="DJ48" s="272"/>
      <c r="DK48" s="272"/>
      <c r="DL48" s="272"/>
      <c r="DM48" s="272"/>
      <c r="DN48" s="272"/>
      <c r="DO48" s="272"/>
      <c r="DP48" s="272"/>
    </row>
    <row r="49" spans="1:120" s="273" customFormat="1" ht="14.25" customHeight="1" x14ac:dyDescent="0.2">
      <c r="A49" s="270" t="s">
        <v>120</v>
      </c>
      <c r="B49" s="270">
        <f t="shared" si="19"/>
        <v>2</v>
      </c>
      <c r="C49" s="270" t="s">
        <v>144</v>
      </c>
      <c r="D49" s="270" t="s">
        <v>145</v>
      </c>
      <c r="E49" s="270" t="s">
        <v>125</v>
      </c>
      <c r="F49" s="270" t="s">
        <v>126</v>
      </c>
      <c r="G49" s="270">
        <f t="array" ref="G49">INDEX('SC Cost File'!$A$2:$AB$31,MATCH($C49,'SC Cost File'!$A$2:$A$31,0),MATCH(G$7,'SC Cost File'!$A$2:$AB$2,0))/COUNTIF($G$7:$CV$7,G$7)</f>
        <v>0</v>
      </c>
      <c r="H49" s="270">
        <f t="array" ref="H49">INDEX('SC Cost File'!$A$2:$AB$31,MATCH($C49,'SC Cost File'!$A$2:$A$31,0),MATCH(H$7,'SC Cost File'!$A$2:$AB$2,0))/COUNTIF($G$7:$CV$7,H$7)</f>
        <v>0</v>
      </c>
      <c r="I49" s="270">
        <f t="array" ref="I49">INDEX('SC Cost File'!$A$2:$AB$31,MATCH($C49,'SC Cost File'!$A$2:$A$31,0),MATCH(I$7,'SC Cost File'!$A$2:$AB$2,0))/COUNTIF($G$7:$CV$7,I$7)</f>
        <v>0</v>
      </c>
      <c r="J49" s="270">
        <f t="array" ref="J49">INDEX('SC Cost File'!$A$2:$AB$31,MATCH($C49,'SC Cost File'!$A$2:$A$31,0),MATCH(J$7,'SC Cost File'!$A$2:$AB$2,0))/COUNTIF($G$7:$CV$7,J$7)</f>
        <v>0</v>
      </c>
      <c r="K49" s="270">
        <f t="array" ref="K49">INDEX('SC Cost File'!$A$2:$AB$31,MATCH($C49,'SC Cost File'!$A$2:$A$31,0),MATCH(K$7,'SC Cost File'!$A$2:$AB$2,0))/COUNTIF($G$7:$CV$7,K$7)</f>
        <v>0</v>
      </c>
      <c r="L49" s="270">
        <f t="array" ref="L49">INDEX('SC Cost File'!$A$2:$AB$31,MATCH($C49,'SC Cost File'!$A$2:$A$31,0),MATCH(L$7,'SC Cost File'!$A$2:$AB$2,0))/COUNTIF($G$7:$CV$7,L$7)</f>
        <v>0</v>
      </c>
      <c r="M49" s="270">
        <f t="array" ref="M49">INDEX('SC Cost File'!$A$2:$AB$31,MATCH($C49,'SC Cost File'!$A$2:$A$31,0),MATCH(M$7,'SC Cost File'!$A$2:$AB$2,0))/COUNTIF($G$7:$CV$7,M$7)</f>
        <v>0</v>
      </c>
      <c r="N49" s="289">
        <f>SUMIF($O$8:$AV$8,"&gt;="&amp;'CURRENT FORECAST START DATE'!$C$4,'Weekly Spend'!O49:AV49)</f>
        <v>0</v>
      </c>
      <c r="O49" s="270">
        <f t="array" ref="O49">INDEX('SC Cost File'!$A$2:$AB$31,MATCH($C49,'SC Cost File'!$A$2:$A$31,0),MATCH(O$7,'SC Cost File'!$A$2:$AB$2,0))/COUNTIF($G$7:$CV$7,O$7)</f>
        <v>0</v>
      </c>
      <c r="P49" s="270">
        <f t="array" ref="P49">INDEX('SC Cost File'!$A$2:$AB$31,MATCH($C49,'SC Cost File'!$A$2:$A$31,0),MATCH(P$7,'SC Cost File'!$A$2:$AB$2,0))/COUNTIF($G$7:$CV$7,P$7)</f>
        <v>0</v>
      </c>
      <c r="Q49" s="270">
        <f t="array" ref="Q49">INDEX('SC Cost File'!$A$2:$AB$31,MATCH($C49,'SC Cost File'!$A$2:$A$31,0),MATCH(Q$7,'SC Cost File'!$A$2:$AB$2,0))/COUNTIF($G$7:$CV$7,Q$7)</f>
        <v>0</v>
      </c>
      <c r="R49" s="270">
        <f t="array" ref="R49">INDEX('SC Cost File'!$A$2:$AB$31,MATCH($C49,'SC Cost File'!$A$2:$A$31,0),MATCH(R$7,'SC Cost File'!$A$2:$AB$2,0))/COUNTIF($G$7:$CV$7,R$7)</f>
        <v>0</v>
      </c>
      <c r="S49" s="270">
        <f t="array" ref="S49">INDEX('SC Cost File'!$A$2:$AB$31,MATCH($C49,'SC Cost File'!$A$2:$A$31,0),MATCH(S$7,'SC Cost File'!$A$2:$AB$2,0))/COUNTIF($G$7:$CV$7,S$7)</f>
        <v>0</v>
      </c>
      <c r="T49" s="270">
        <f t="array" ref="T49">INDEX('SC Cost File'!$A$2:$AB$31,MATCH($C49,'SC Cost File'!$A$2:$A$31,0),MATCH(T$7,'SC Cost File'!$A$2:$AB$2,0))/COUNTIF($G$7:$CV$7,T$7)</f>
        <v>0</v>
      </c>
      <c r="U49" s="270">
        <f t="array" ref="U49">INDEX('SC Cost File'!$A$2:$AB$31,MATCH($C49,'SC Cost File'!$A$2:$A$31,0),MATCH(U$7,'SC Cost File'!$A$2:$AB$2,0))/COUNTIF($G$7:$CV$7,U$7)</f>
        <v>0</v>
      </c>
      <c r="V49" s="270">
        <f t="array" ref="V49">INDEX('SC Cost File'!$A$2:$AB$31,MATCH($C49,'SC Cost File'!$A$2:$A$31,0),MATCH(V$7,'SC Cost File'!$A$2:$AB$2,0))/COUNTIF($G$7:$CV$7,V$7)</f>
        <v>0</v>
      </c>
      <c r="W49" s="270">
        <v>7455</v>
      </c>
      <c r="X49" s="270">
        <v>0</v>
      </c>
      <c r="Y49" s="270">
        <v>0</v>
      </c>
      <c r="Z49" s="270">
        <v>0</v>
      </c>
      <c r="AA49" s="270">
        <f t="array" ref="AA49">INDEX('SC Cost File'!$A$2:$AB$31,MATCH($C49,'SC Cost File'!$A$2:$A$31,0),MATCH(AA$7,'SC Cost File'!$A$2:$AB$2,0))/COUNTIF($G$7:$CV$7,AA$7)</f>
        <v>0</v>
      </c>
      <c r="AB49" s="270">
        <f t="array" ref="AB49">INDEX('SC Cost File'!$A$2:$AB$31,MATCH($C49,'SC Cost File'!$A$2:$A$31,0),MATCH(AB$7,'SC Cost File'!$A$2:$AB$2,0))/COUNTIF($G$7:$CV$7,AB$7)</f>
        <v>0</v>
      </c>
      <c r="AC49" s="270">
        <f t="array" ref="AC49">INDEX('SC Cost File'!$A$2:$AB$31,MATCH($C49,'SC Cost File'!$A$2:$A$31,0),MATCH(AC$7,'SC Cost File'!$A$2:$AB$2,0))/COUNTIF($G$7:$CV$7,AC$7)</f>
        <v>0</v>
      </c>
      <c r="AD49" s="270">
        <f t="array" ref="AD49">INDEX('SC Cost File'!$A$2:$AB$31,MATCH($C49,'SC Cost File'!$A$2:$A$31,0),MATCH(AD$7,'SC Cost File'!$A$2:$AB$2,0))/COUNTIF($G$7:$CV$7,AD$7)</f>
        <v>0</v>
      </c>
      <c r="AE49" s="270">
        <f t="array" ref="AE49">INDEX('SC Cost File'!$A$2:$AB$31,MATCH($C49,'SC Cost File'!$A$2:$A$31,0),MATCH(AE$7,'SC Cost File'!$A$2:$AB$2,0))/COUNTIF($G$7:$CV$7,AE$7)</f>
        <v>0</v>
      </c>
      <c r="AF49" s="270">
        <f t="array" ref="AF49">INDEX('SC Cost File'!$A$2:$AB$31,MATCH($C49,'SC Cost File'!$A$2:$A$31,0),MATCH(AF$7,'SC Cost File'!$A$2:$AB$2,0))/COUNTIF($G$7:$CV$7,AF$7)</f>
        <v>0</v>
      </c>
      <c r="AG49" s="270">
        <f t="array" ref="AG49">INDEX('SC Cost File'!$A$2:$AB$31,MATCH($C49,'SC Cost File'!$A$2:$A$31,0),MATCH(AG$7,'SC Cost File'!$A$2:$AB$2,0))/COUNTIF($G$7:$CV$7,AG$7)</f>
        <v>0</v>
      </c>
      <c r="AH49" s="270">
        <f t="array" ref="AH49">INDEX('SC Cost File'!$A$2:$AB$31,MATCH($C49,'SC Cost File'!$A$2:$A$31,0),MATCH(AH$7,'SC Cost File'!$A$2:$AB$2,0))/COUNTIF($G$7:$CV$7,AH$7)</f>
        <v>0</v>
      </c>
      <c r="AI49" s="270">
        <f t="array" ref="AI49">INDEX('SC Cost File'!$A$2:$AB$31,MATCH($C49,'SC Cost File'!$A$2:$A$31,0),MATCH(AI$7,'SC Cost File'!$A$2:$AB$2,0))/COUNTIF($G$7:$CV$7,AI$7)</f>
        <v>0</v>
      </c>
      <c r="AJ49" s="270">
        <f t="array" ref="AJ49">INDEX('SC Cost File'!$A$2:$AB$31,MATCH($C49,'SC Cost File'!$A$2:$A$31,0),MATCH(AJ$7,'SC Cost File'!$A$2:$AB$2,0))/COUNTIF($G$7:$CV$7,AJ$7)</f>
        <v>0</v>
      </c>
      <c r="AK49" s="270">
        <f t="array" ref="AK49">INDEX('SC Cost File'!$A$2:$AB$31,MATCH($C49,'SC Cost File'!$A$2:$A$31,0),MATCH(AK$7,'SC Cost File'!$A$2:$AB$2,0))/COUNTIF($G$7:$CV$7,AK$7)</f>
        <v>0</v>
      </c>
      <c r="AL49" s="270">
        <f t="array" ref="AL49">INDEX('SC Cost File'!$A$2:$AB$31,MATCH($C49,'SC Cost File'!$A$2:$A$31,0),MATCH(AL$7,'SC Cost File'!$A$2:$AB$2,0))/COUNTIF($G$7:$CV$7,AL$7)</f>
        <v>0</v>
      </c>
      <c r="AM49" s="270">
        <f t="array" ref="AM49">INDEX('SC Cost File'!$A$2:$AB$31,MATCH($C49,'SC Cost File'!$A$2:$A$31,0),MATCH(AM$7,'SC Cost File'!$A$2:$AB$2,0))/COUNTIF($G$7:$CV$7,AM$7)</f>
        <v>0</v>
      </c>
      <c r="AN49" s="270">
        <f t="array" ref="AN49">INDEX('SC Cost File'!$A$2:$AB$31,MATCH($C49,'SC Cost File'!$A$2:$A$31,0),MATCH(AN$7,'SC Cost File'!$A$2:$AB$2,0))/COUNTIF($G$7:$CV$7,AN$7)</f>
        <v>0</v>
      </c>
      <c r="AO49" s="390">
        <f t="array" ref="AO49">INDEX('SC Cost File'!$A$2:$AB$31,MATCH($C49,'SC Cost File'!$A$2:$A$31,0),MATCH(AO$7,'SC Cost File'!$A$2:$AB$2,0))/COUNTIF($G$7:$CV$7,AO$7)</f>
        <v>0</v>
      </c>
      <c r="AP49" s="270">
        <f t="array" ref="AP49">INDEX('SC Cost File'!$A$2:$AB$31,MATCH($C49,'SC Cost File'!$A$2:$A$31,0),MATCH(AP$7,'SC Cost File'!$A$2:$AB$2,0))/COUNTIF($G$7:$CV$7,AP$7)</f>
        <v>0</v>
      </c>
      <c r="AQ49" s="270">
        <f t="array" ref="AQ49">INDEX('SC Cost File'!$A$2:$AB$31,MATCH($C49,'SC Cost File'!$A$2:$A$31,0),MATCH(AQ$7,'SC Cost File'!$A$2:$AB$2,0))/COUNTIF($G$7:$CV$7,AQ$7)</f>
        <v>0</v>
      </c>
      <c r="AR49" s="270">
        <f t="array" ref="AR49">INDEX('SC Cost File'!$A$2:$AB$31,MATCH($C49,'SC Cost File'!$A$2:$A$31,0),MATCH(AR$7,'SC Cost File'!$A$2:$AB$2,0))/COUNTIF($G$7:$CV$7,AR$7)</f>
        <v>0</v>
      </c>
      <c r="AS49" s="270">
        <f t="array" ref="AS49">INDEX('SC Cost File'!$A$2:$AB$31,MATCH($C49,'SC Cost File'!$A$2:$A$31,0),MATCH(AS$7,'SC Cost File'!$A$2:$AB$2,0))/COUNTIF($G$7:$CV$7,AS$7)</f>
        <v>0</v>
      </c>
      <c r="AT49" s="270">
        <f t="array" ref="AT49">INDEX('SC Cost File'!$A$2:$AB$31,MATCH($C49,'SC Cost File'!$A$2:$A$31,0),MATCH(AT$7,'SC Cost File'!$A$2:$AB$2,0))/COUNTIF($G$7:$CV$7,AT$7)</f>
        <v>0</v>
      </c>
      <c r="AU49" s="270">
        <f t="array" ref="AU49">INDEX('SC Cost File'!$A$2:$AB$31,MATCH($C49,'SC Cost File'!$A$2:$A$31,0),MATCH(AU$7,'SC Cost File'!$A$2:$AB$2,0))/COUNTIF($G$7:$CV$7,AU$7)</f>
        <v>0</v>
      </c>
      <c r="AV49" s="270">
        <f t="array" ref="AV49">INDEX('SC Cost File'!$A$2:$AB$31,MATCH($C49,'SC Cost File'!$A$2:$A$31,0),MATCH(AV$7,'SC Cost File'!$A$2:$AB$2,0))/COUNTIF($G$7:$CV$7,AV$7)</f>
        <v>0</v>
      </c>
      <c r="AW49" s="270">
        <f t="array" ref="AW49">INDEX('SC Cost File'!$A$2:$AB$31,MATCH($C49,'SC Cost File'!$A$2:$A$31,0),MATCH(AW$7,'SC Cost File'!$A$2:$AB$2,0))/COUNTIF($G$7:$CV$7,AW$7)</f>
        <v>0</v>
      </c>
      <c r="AX49" s="270">
        <f t="array" ref="AX49">INDEX('SC Cost File'!$A$2:$AB$31,MATCH($C49,'SC Cost File'!$A$2:$A$31,0),MATCH(AX$7,'SC Cost File'!$A$2:$AB$2,0))/COUNTIF($G$7:$CV$7,AX$7)</f>
        <v>0</v>
      </c>
      <c r="AY49" s="270">
        <f t="array" ref="AY49">INDEX('SC Cost File'!$A$2:$AB$31,MATCH($C49,'SC Cost File'!$A$2:$A$31,0),MATCH(AY$7,'SC Cost File'!$A$2:$AB$2,0))/COUNTIF($G$7:$CV$7,AY$7)</f>
        <v>0</v>
      </c>
      <c r="AZ49" s="270">
        <f t="array" ref="AZ49">INDEX('SC Cost File'!$A$2:$AB$31,MATCH($C49,'SC Cost File'!$A$2:$A$31,0),MATCH(AZ$7,'SC Cost File'!$A$2:$AB$2,0))/COUNTIF($G$7:$CV$7,AZ$7)</f>
        <v>0</v>
      </c>
      <c r="BA49" s="270">
        <f t="array" ref="BA49">INDEX('SC Cost File'!$A$2:$AB$31,MATCH($C49,'SC Cost File'!$A$2:$A$31,0),MATCH(BA$7,'SC Cost File'!$A$2:$AB$2,0))/COUNTIF($G$7:$CV$7,BA$7)</f>
        <v>0</v>
      </c>
      <c r="BB49" s="270">
        <f t="array" ref="BB49">INDEX('SC Cost File'!$A$2:$AB$31,MATCH($C49,'SC Cost File'!$A$2:$A$31,0),MATCH(BB$7,'SC Cost File'!$A$2:$AB$2,0))/COUNTIF($G$7:$CV$7,BB$7)</f>
        <v>0</v>
      </c>
      <c r="BC49" s="270">
        <f t="array" ref="BC49">INDEX('SC Cost File'!$A$2:$AB$31,MATCH($C49,'SC Cost File'!$A$2:$A$31,0),MATCH(BC$7,'SC Cost File'!$A$2:$AB$2,0))/COUNTIF($G$7:$CV$7,BC$7)</f>
        <v>0</v>
      </c>
      <c r="BD49" s="270">
        <f t="array" ref="BD49">INDEX('SC Cost File'!$A$2:$AB$31,MATCH($C49,'SC Cost File'!$A$2:$A$31,0),MATCH(BD$7,'SC Cost File'!$A$2:$AB$2,0))/COUNTIF($G$7:$CV$7,BD$7)</f>
        <v>0</v>
      </c>
      <c r="BE49" s="270">
        <f t="array" ref="BE49">INDEX('SC Cost File'!$A$2:$AB$31,MATCH($C49,'SC Cost File'!$A$2:$A$31,0),MATCH(BE$7,'SC Cost File'!$A$2:$AB$2,0))/COUNTIF($G$7:$CV$7,BE$7)</f>
        <v>0</v>
      </c>
      <c r="BF49" s="270">
        <f t="array" ref="BF49">INDEX('SC Cost File'!$A$2:$AB$31,MATCH($C49,'SC Cost File'!$A$2:$A$31,0),MATCH(BF$7,'SC Cost File'!$A$2:$AB$2,0))/COUNTIF($G$7:$CV$7,BF$7)</f>
        <v>0</v>
      </c>
      <c r="BG49" s="270">
        <f t="array" ref="BG49">INDEX('SC Cost File'!$A$2:$AB$31,MATCH($C49,'SC Cost File'!$A$2:$A$31,0),MATCH(BG$7,'SC Cost File'!$A$2:$AB$2,0))/COUNTIF($G$7:$CV$7,BG$7)</f>
        <v>0</v>
      </c>
      <c r="BH49" s="270">
        <f t="array" ref="BH49">INDEX('SC Cost File'!$A$2:$AB$31,MATCH($C49,'SC Cost File'!$A$2:$A$31,0),MATCH(BH$7,'SC Cost File'!$A$2:$AB$2,0))/COUNTIF($G$7:$CV$7,BH$7)</f>
        <v>0</v>
      </c>
      <c r="BI49" s="270">
        <f t="array" ref="BI49">INDEX('SC Cost File'!$A$2:$AB$31,MATCH($C49,'SC Cost File'!$A$2:$A$31,0),MATCH(BI$7,'SC Cost File'!$A$2:$AB$2,0))/COUNTIF($G$7:$CV$7,BI$7)</f>
        <v>0</v>
      </c>
      <c r="BJ49" s="270">
        <f t="array" ref="BJ49">INDEX('SC Cost File'!$A$2:$AB$31,MATCH($C49,'SC Cost File'!$A$2:$A$31,0),MATCH(BJ$7,'SC Cost File'!$A$2:$AB$2,0))/COUNTIF($G$7:$CV$7,BJ$7)</f>
        <v>0</v>
      </c>
      <c r="BK49" s="270">
        <f t="array" ref="BK49">INDEX('SC Cost File'!$A$2:$AB$31,MATCH($C49,'SC Cost File'!$A$2:$A$31,0),MATCH(BK$7,'SC Cost File'!$A$2:$AB$2,0))/COUNTIF($G$7:$CV$7,BK$7)</f>
        <v>0</v>
      </c>
      <c r="BL49" s="270">
        <f t="array" ref="BL49">INDEX('SC Cost File'!$A$2:$AB$31,MATCH($C49,'SC Cost File'!$A$2:$A$31,0),MATCH(BL$7,'SC Cost File'!$A$2:$AB$2,0))/COUNTIF($G$7:$CV$7,BL$7)</f>
        <v>0</v>
      </c>
      <c r="BM49" s="270">
        <f t="array" ref="BM49">INDEX('SC Cost File'!$A$2:$AB$31,MATCH($C49,'SC Cost File'!$A$2:$A$31,0),MATCH(BM$7,'SC Cost File'!$A$2:$AB$2,0))/COUNTIF($G$7:$CV$7,BM$7)</f>
        <v>0</v>
      </c>
      <c r="BN49" s="270">
        <f t="array" ref="BN49">INDEX('SC Cost File'!$A$2:$AB$31,MATCH($C49,'SC Cost File'!$A$2:$A$31,0),MATCH(BN$7,'SC Cost File'!$A$2:$AB$2,0))/COUNTIF($G$7:$CV$7,BN$7)</f>
        <v>0</v>
      </c>
      <c r="BO49" s="270">
        <f t="array" ref="BO49">INDEX('SC Cost File'!$A$2:$AB$31,MATCH($C49,'SC Cost File'!$A$2:$A$31,0),MATCH(BO$7,'SC Cost File'!$A$2:$AB$2,0))/COUNTIF($G$7:$CV$7,BO$7)</f>
        <v>0</v>
      </c>
      <c r="BP49" s="270">
        <f t="array" ref="BP49">INDEX('SC Cost File'!$A$2:$AB$31,MATCH($C49,'SC Cost File'!$A$2:$A$31,0),MATCH(BP$7,'SC Cost File'!$A$2:$AB$2,0))/COUNTIF($G$7:$CV$7,BP$7)</f>
        <v>0</v>
      </c>
      <c r="BQ49" s="270">
        <f t="array" ref="BQ49">INDEX('SC Cost File'!$A$2:$AB$31,MATCH($C49,'SC Cost File'!$A$2:$A$31,0),MATCH(BQ$7,'SC Cost File'!$A$2:$AB$2,0))/COUNTIF($G$7:$CV$7,BQ$7)</f>
        <v>0</v>
      </c>
      <c r="BR49" s="270">
        <f t="array" ref="BR49">INDEX('SC Cost File'!$A$2:$AB$31,MATCH($C49,'SC Cost File'!$A$2:$A$31,0),MATCH(BR$7,'SC Cost File'!$A$2:$AB$2,0))/COUNTIF($G$7:$CV$7,BR$7)</f>
        <v>0</v>
      </c>
      <c r="BS49" s="270">
        <f t="array" ref="BS49">INDEX('SC Cost File'!$A$2:$AB$31,MATCH($C49,'SC Cost File'!$A$2:$A$31,0),MATCH(BS$7,'SC Cost File'!$A$2:$AB$2,0))/COUNTIF($G$7:$CV$7,BS$7)</f>
        <v>0</v>
      </c>
      <c r="BT49" s="270">
        <f t="array" ref="BT49">INDEX('SC Cost File'!$A$2:$AB$31,MATCH($C49,'SC Cost File'!$A$2:$A$31,0),MATCH(BT$7,'SC Cost File'!$A$2:$AB$2,0))/COUNTIF($G$7:$CV$7,BT$7)</f>
        <v>0</v>
      </c>
      <c r="BU49" s="270">
        <f t="array" ref="BU49">INDEX('SC Cost File'!$A$2:$AB$31,MATCH($C49,'SC Cost File'!$A$2:$A$31,0),MATCH(BU$7,'SC Cost File'!$A$2:$AB$2,0))/COUNTIF($G$7:$CV$7,BU$7)</f>
        <v>0</v>
      </c>
      <c r="BV49" s="270">
        <f t="array" ref="BV49">INDEX('SC Cost File'!$A$2:$AB$31,MATCH($C49,'SC Cost File'!$A$2:$A$31,0),MATCH(BV$7,'SC Cost File'!$A$2:$AB$2,0))/COUNTIF($G$7:$CV$7,BV$7)</f>
        <v>0</v>
      </c>
      <c r="BW49" s="270">
        <f t="array" ref="BW49">INDEX('SC Cost File'!$A$2:$AB$31,MATCH($C49,'SC Cost File'!$A$2:$A$31,0),MATCH(BW$7,'SC Cost File'!$A$2:$AB$2,0))/COUNTIF($G$7:$CV$7,BW$7)</f>
        <v>745</v>
      </c>
      <c r="BX49" s="270">
        <f t="array" ref="BX49">INDEX('SC Cost File'!$A$2:$AB$31,MATCH($C49,'SC Cost File'!$A$2:$A$31,0),MATCH(BX$7,'SC Cost File'!$A$2:$AB$2,0))/COUNTIF($G$7:$CV$7,BX$7)</f>
        <v>745</v>
      </c>
      <c r="BY49" s="270">
        <f t="array" ref="BY49">INDEX('SC Cost File'!$A$2:$AB$31,MATCH($C49,'SC Cost File'!$A$2:$A$31,0),MATCH(BY$7,'SC Cost File'!$A$2:$AB$2,0))/COUNTIF($G$7:$CV$7,BY$7)</f>
        <v>745</v>
      </c>
      <c r="BZ49" s="270">
        <f t="array" ref="BZ49">INDEX('SC Cost File'!$A$2:$AB$31,MATCH($C49,'SC Cost File'!$A$2:$A$31,0),MATCH(BZ$7,'SC Cost File'!$A$2:$AB$2,0))/COUNTIF($G$7:$CV$7,BZ$7)</f>
        <v>745</v>
      </c>
      <c r="CA49" s="270">
        <f t="array" ref="CA49">INDEX('SC Cost File'!$A$2:$AB$31,MATCH($C49,'SC Cost File'!$A$2:$A$31,0),MATCH(CA$7,'SC Cost File'!$A$2:$AB$2,0))/COUNTIF($G$7:$CV$7,CA$7)</f>
        <v>0</v>
      </c>
      <c r="CB49" s="270">
        <f t="array" ref="CB49">INDEX('SC Cost File'!$A$2:$AB$31,MATCH($C49,'SC Cost File'!$A$2:$A$31,0),MATCH(CB$7,'SC Cost File'!$A$2:$AB$2,0))/COUNTIF($G$7:$CV$7,CB$7)</f>
        <v>0</v>
      </c>
      <c r="CC49" s="270">
        <f t="array" ref="CC49">INDEX('SC Cost File'!$A$2:$AB$31,MATCH($C49,'SC Cost File'!$A$2:$A$31,0),MATCH(CC$7,'SC Cost File'!$A$2:$AB$2,0))/COUNTIF($G$7:$CV$7,CC$7)</f>
        <v>0</v>
      </c>
      <c r="CD49" s="270">
        <f t="array" ref="CD49">INDEX('SC Cost File'!$A$2:$AB$31,MATCH($C49,'SC Cost File'!$A$2:$A$31,0),MATCH(CD$7,'SC Cost File'!$A$2:$AB$2,0))/COUNTIF($G$7:$CV$7,CD$7)</f>
        <v>0</v>
      </c>
      <c r="CE49" s="270">
        <f t="array" ref="CE49">INDEX('SC Cost File'!$A$2:$AB$31,MATCH($C49,'SC Cost File'!$A$2:$A$31,0),MATCH(CE$7,'SC Cost File'!$A$2:$AB$2,0))/COUNTIF($G$7:$CV$7,CE$7)</f>
        <v>0</v>
      </c>
      <c r="CF49" s="270">
        <f t="array" ref="CF49">INDEX('SC Cost File'!$A$2:$AB$31,MATCH($C49,'SC Cost File'!$A$2:$A$31,0),MATCH(CF$7,'SC Cost File'!$A$2:$AB$2,0))/COUNTIF($G$7:$CV$7,CF$7)</f>
        <v>0</v>
      </c>
      <c r="CG49" s="270">
        <f t="array" ref="CG49">INDEX('SC Cost File'!$A$2:$AB$31,MATCH($C49,'SC Cost File'!$A$2:$A$31,0),MATCH(CG$7,'SC Cost File'!$A$2:$AB$2,0))/COUNTIF($G$7:$CV$7,CG$7)</f>
        <v>0</v>
      </c>
      <c r="CH49" s="270">
        <f t="array" ref="CH49">INDEX('SC Cost File'!$A$2:$AB$31,MATCH($C49,'SC Cost File'!$A$2:$A$31,0),MATCH(CH$7,'SC Cost File'!$A$2:$AB$2,0))/COUNTIF($G$7:$CV$7,CH$7)</f>
        <v>0</v>
      </c>
      <c r="CI49" s="270">
        <f t="array" ref="CI49">INDEX('SC Cost File'!$A$2:$AB$31,MATCH($C49,'SC Cost File'!$A$2:$A$31,0),MATCH(CI$7,'SC Cost File'!$A$2:$AB$2,0))/COUNTIF($G$7:$CV$7,CI$7)</f>
        <v>0</v>
      </c>
      <c r="CJ49" s="270">
        <f t="array" ref="CJ49">INDEX('SC Cost File'!$A$2:$AB$31,MATCH($C49,'SC Cost File'!$A$2:$A$31,0),MATCH(CJ$7,'SC Cost File'!$A$2:$AB$2,0))/COUNTIF($G$7:$CV$7,CJ$7)</f>
        <v>0</v>
      </c>
      <c r="CK49" s="270">
        <f t="array" ref="CK49">INDEX('SC Cost File'!$A$2:$AB$31,MATCH($C49,'SC Cost File'!$A$2:$A$31,0),MATCH(CK$7,'SC Cost File'!$A$2:$AB$2,0))/COUNTIF($G$7:$CV$7,CK$7)</f>
        <v>0</v>
      </c>
      <c r="CL49" s="270">
        <f t="array" ref="CL49">INDEX('SC Cost File'!$A$2:$AB$31,MATCH($C49,'SC Cost File'!$A$2:$A$31,0),MATCH(CL$7,'SC Cost File'!$A$2:$AB$2,0))/COUNTIF($G$7:$CV$7,CL$7)</f>
        <v>0</v>
      </c>
      <c r="CM49" s="270">
        <f t="array" ref="CM49">INDEX('SC Cost File'!$A$2:$AB$31,MATCH($C49,'SC Cost File'!$A$2:$A$31,0),MATCH(CM$7,'SC Cost File'!$A$2:$AB$2,0))/COUNTIF($G$7:$CV$7,CM$7)</f>
        <v>0</v>
      </c>
      <c r="CN49" s="270">
        <f t="array" ref="CN49">INDEX('SC Cost File'!$A$2:$AB$31,MATCH($C49,'SC Cost File'!$A$2:$A$31,0),MATCH(CN$7,'SC Cost File'!$A$2:$AB$2,0))/COUNTIF($G$7:$CV$7,CN$7)</f>
        <v>0</v>
      </c>
      <c r="CO49" s="270">
        <f t="array" ref="CO49">INDEX('SC Cost File'!$A$2:$AB$31,MATCH($C49,'SC Cost File'!$A$2:$A$31,0),MATCH(CO$7,'SC Cost File'!$A$2:$AB$2,0))/COUNTIF($G$7:$CV$7,CO$7)</f>
        <v>0</v>
      </c>
      <c r="CP49" s="270">
        <f t="array" ref="CP49">INDEX('SC Cost File'!$A$2:$AB$31,MATCH($C49,'SC Cost File'!$A$2:$A$31,0),MATCH(CP$7,'SC Cost File'!$A$2:$AB$2,0))/COUNTIF($G$7:$CV$7,CP$7)</f>
        <v>0</v>
      </c>
      <c r="CQ49" s="270">
        <f t="array" ref="CQ49">INDEX('SC Cost File'!$A$2:$AB$31,MATCH($C49,'SC Cost File'!$A$2:$A$31,0),MATCH(CQ$7,'SC Cost File'!$A$2:$AB$2,0))/COUNTIF($G$7:$CV$7,CQ$7)</f>
        <v>0</v>
      </c>
      <c r="CR49" s="270">
        <f t="array" ref="CR49">INDEX('SC Cost File'!$A$2:$AB$31,MATCH($C49,'SC Cost File'!$A$2:$A$31,0),MATCH(CR$7,'SC Cost File'!$A$2:$AB$2,0))/COUNTIF($G$7:$CV$7,CR$7)</f>
        <v>0</v>
      </c>
      <c r="CS49" s="270">
        <f t="array" ref="CS49">INDEX('SC Cost File'!$A$2:$AB$31,MATCH($C49,'SC Cost File'!$A$2:$A$31,0),MATCH(CS$7,'SC Cost File'!$A$2:$AB$2,0))/COUNTIF($G$7:$CV$7,CS$7)</f>
        <v>0</v>
      </c>
      <c r="CT49" s="270">
        <f t="array" ref="CT49">INDEX('SC Cost File'!$A$2:$AB$31,MATCH($C49,'SC Cost File'!$A$2:$A$31,0),MATCH(CT$7,'SC Cost File'!$A$2:$AB$2,0))/COUNTIF($G$7:$CV$7,CT$7)</f>
        <v>0</v>
      </c>
      <c r="CU49" s="270">
        <f t="array" ref="CU49">INDEX('SC Cost File'!$A$2:$AB$31,MATCH($C49,'SC Cost File'!$A$2:$A$31,0),MATCH(CU$7,'SC Cost File'!$A$2:$AB$2,0))/COUNTIF($G$7:$CV$7,CU$7)</f>
        <v>0</v>
      </c>
      <c r="CV49" s="270">
        <f t="array" ref="CV49">INDEX('SC Cost File'!$A$2:$AB$31,MATCH($C49,'SC Cost File'!$A$2:$A$31,0),MATCH(CV$7,'SC Cost File'!$A$2:$AB$2,0))/COUNTIF($G$7:$CV$7,CV$7)</f>
        <v>0</v>
      </c>
      <c r="CW49" s="272"/>
      <c r="CX49" s="272"/>
      <c r="CY49" s="272"/>
      <c r="CZ49" s="272"/>
      <c r="DA49" s="272"/>
      <c r="DB49" s="272"/>
      <c r="DC49" s="272"/>
      <c r="DD49" s="272"/>
      <c r="DE49" s="272"/>
      <c r="DF49" s="272"/>
      <c r="DG49" s="272"/>
      <c r="DH49" s="272"/>
      <c r="DI49" s="272"/>
      <c r="DJ49" s="272"/>
      <c r="DK49" s="272"/>
      <c r="DL49" s="272"/>
      <c r="DM49" s="272"/>
      <c r="DN49" s="272"/>
      <c r="DO49" s="272"/>
      <c r="DP49" s="272"/>
    </row>
    <row r="50" spans="1:120" s="273" customFormat="1" ht="14.25" customHeight="1" x14ac:dyDescent="0.2">
      <c r="A50" s="270" t="s">
        <v>120</v>
      </c>
      <c r="B50" s="270">
        <f t="shared" si="19"/>
        <v>2</v>
      </c>
      <c r="C50" s="270" t="s">
        <v>146</v>
      </c>
      <c r="D50" s="270" t="s">
        <v>147</v>
      </c>
      <c r="E50" s="270" t="s">
        <v>125</v>
      </c>
      <c r="F50" s="270" t="s">
        <v>126</v>
      </c>
      <c r="G50" s="270">
        <f t="array" ref="G50">INDEX('SC Cost File'!$A$2:$AB$31,MATCH($C50,'SC Cost File'!$A$2:$A$31,0),MATCH(G$7,'SC Cost File'!$A$2:$AB$2,0))/COUNTIF($G$7:$CV$7,G$7)</f>
        <v>100</v>
      </c>
      <c r="H50" s="270">
        <f t="array" ref="H50">INDEX('SC Cost File'!$A$2:$AB$31,MATCH($C50,'SC Cost File'!$A$2:$A$31,0),MATCH(H$7,'SC Cost File'!$A$2:$AB$2,0))/COUNTIF($G$7:$CV$7,H$7)</f>
        <v>100</v>
      </c>
      <c r="I50" s="270">
        <f t="array" ref="I50">INDEX('SC Cost File'!$A$2:$AB$31,MATCH($C50,'SC Cost File'!$A$2:$A$31,0),MATCH(I$7,'SC Cost File'!$A$2:$AB$2,0))/COUNTIF($G$7:$CV$7,I$7)</f>
        <v>50</v>
      </c>
      <c r="J50" s="270">
        <f t="array" ref="J50">INDEX('SC Cost File'!$A$2:$AB$31,MATCH($C50,'SC Cost File'!$A$2:$A$31,0),MATCH(J$7,'SC Cost File'!$A$2:$AB$2,0))/COUNTIF($G$7:$CV$7,J$7)</f>
        <v>50</v>
      </c>
      <c r="K50" s="270">
        <f t="array" ref="K50">INDEX('SC Cost File'!$A$2:$AB$31,MATCH($C50,'SC Cost File'!$A$2:$A$31,0),MATCH(K$7,'SC Cost File'!$A$2:$AB$2,0))/COUNTIF($G$7:$CV$7,K$7)</f>
        <v>50</v>
      </c>
      <c r="L50" s="270">
        <f t="array" ref="L50">INDEX('SC Cost File'!$A$2:$AB$31,MATCH($C50,'SC Cost File'!$A$2:$A$31,0),MATCH(L$7,'SC Cost File'!$A$2:$AB$2,0))/COUNTIF($G$7:$CV$7,L$7)</f>
        <v>50</v>
      </c>
      <c r="M50" s="270">
        <f t="array" ref="M50">INDEX('SC Cost File'!$A$2:$AB$31,MATCH($C50,'SC Cost File'!$A$2:$A$31,0),MATCH(M$7,'SC Cost File'!$A$2:$AB$2,0))/COUNTIF($G$7:$CV$7,M$7)</f>
        <v>50</v>
      </c>
      <c r="N50" s="289">
        <f>SUMIF($O$8:$AV$8,"&gt;="&amp;'CURRENT FORECAST START DATE'!$C$4,'Weekly Spend'!O50:AV50)</f>
        <v>0</v>
      </c>
      <c r="O50" s="270">
        <v>0</v>
      </c>
      <c r="P50" s="270">
        <v>0</v>
      </c>
      <c r="Q50" s="270">
        <v>0</v>
      </c>
      <c r="R50" s="270">
        <v>0</v>
      </c>
      <c r="S50" s="270">
        <v>0</v>
      </c>
      <c r="T50" s="270">
        <v>0</v>
      </c>
      <c r="U50" s="270">
        <v>0</v>
      </c>
      <c r="V50" s="270">
        <v>0</v>
      </c>
      <c r="W50" s="270">
        <v>0</v>
      </c>
      <c r="X50" s="270">
        <v>0</v>
      </c>
      <c r="Y50" s="270">
        <v>0</v>
      </c>
      <c r="Z50" s="270">
        <v>0</v>
      </c>
      <c r="AA50" s="270">
        <v>0</v>
      </c>
      <c r="AB50" s="270">
        <v>0</v>
      </c>
      <c r="AC50" s="270">
        <v>0</v>
      </c>
      <c r="AD50" s="270">
        <v>0</v>
      </c>
      <c r="AE50" s="270">
        <v>0</v>
      </c>
      <c r="AF50" s="270">
        <v>0</v>
      </c>
      <c r="AG50" s="270">
        <v>0</v>
      </c>
      <c r="AH50" s="270">
        <v>0</v>
      </c>
      <c r="AI50" s="270">
        <v>0</v>
      </c>
      <c r="AJ50" s="270">
        <v>0</v>
      </c>
      <c r="AK50" s="270">
        <v>0</v>
      </c>
      <c r="AL50" s="270">
        <v>0</v>
      </c>
      <c r="AM50" s="270">
        <v>0</v>
      </c>
      <c r="AN50" s="270">
        <v>0</v>
      </c>
      <c r="AO50" s="390">
        <v>0</v>
      </c>
      <c r="AP50" s="270">
        <v>0</v>
      </c>
      <c r="AQ50" s="270">
        <v>0</v>
      </c>
      <c r="AR50" s="270">
        <v>0</v>
      </c>
      <c r="AS50" s="270">
        <v>0</v>
      </c>
      <c r="AT50" s="270">
        <v>0</v>
      </c>
      <c r="AU50" s="270">
        <v>0</v>
      </c>
      <c r="AV50" s="270">
        <v>0</v>
      </c>
      <c r="AW50" s="270">
        <v>0</v>
      </c>
      <c r="AX50" s="270">
        <v>0</v>
      </c>
      <c r="AY50" s="270">
        <v>0</v>
      </c>
      <c r="AZ50" s="270">
        <v>0</v>
      </c>
      <c r="BA50" s="270">
        <v>0</v>
      </c>
      <c r="BB50" s="270">
        <v>0</v>
      </c>
      <c r="BC50" s="270">
        <v>0</v>
      </c>
      <c r="BD50" s="270">
        <v>0</v>
      </c>
      <c r="BE50" s="270">
        <v>0</v>
      </c>
      <c r="BF50" s="270">
        <v>0</v>
      </c>
      <c r="BG50" s="270">
        <v>0</v>
      </c>
      <c r="BH50" s="270">
        <v>0</v>
      </c>
      <c r="BI50" s="270">
        <v>0</v>
      </c>
      <c r="BJ50" s="270">
        <v>0</v>
      </c>
      <c r="BK50" s="270">
        <v>0</v>
      </c>
      <c r="BL50" s="270">
        <v>0</v>
      </c>
      <c r="BM50" s="270">
        <v>0</v>
      </c>
      <c r="BN50" s="270">
        <v>0</v>
      </c>
      <c r="BO50" s="270">
        <v>0</v>
      </c>
      <c r="BP50" s="270">
        <v>0</v>
      </c>
      <c r="BQ50" s="270">
        <v>0</v>
      </c>
      <c r="BR50" s="270">
        <v>0</v>
      </c>
      <c r="BS50" s="270">
        <v>0</v>
      </c>
      <c r="BT50" s="270">
        <v>0</v>
      </c>
      <c r="BU50" s="270">
        <v>0</v>
      </c>
      <c r="BV50" s="270">
        <v>0</v>
      </c>
      <c r="BW50" s="270">
        <v>0</v>
      </c>
      <c r="BX50" s="270">
        <v>0</v>
      </c>
      <c r="BY50" s="270">
        <v>0</v>
      </c>
      <c r="BZ50" s="270">
        <v>0</v>
      </c>
      <c r="CA50" s="270">
        <v>0</v>
      </c>
      <c r="CB50" s="270">
        <v>0</v>
      </c>
      <c r="CC50" s="270">
        <v>0</v>
      </c>
      <c r="CD50" s="270">
        <v>0</v>
      </c>
      <c r="CE50" s="270">
        <v>0</v>
      </c>
      <c r="CF50" s="270">
        <v>0</v>
      </c>
      <c r="CG50" s="270">
        <v>0</v>
      </c>
      <c r="CH50" s="270">
        <v>0</v>
      </c>
      <c r="CI50" s="270">
        <v>0</v>
      </c>
      <c r="CJ50" s="270">
        <v>0</v>
      </c>
      <c r="CK50" s="270">
        <v>0</v>
      </c>
      <c r="CL50" s="270">
        <v>0</v>
      </c>
      <c r="CM50" s="270">
        <v>0</v>
      </c>
      <c r="CN50" s="270">
        <v>0</v>
      </c>
      <c r="CO50" s="270">
        <v>0</v>
      </c>
      <c r="CP50" s="270">
        <v>0</v>
      </c>
      <c r="CQ50" s="270">
        <v>0</v>
      </c>
      <c r="CR50" s="270">
        <v>0</v>
      </c>
      <c r="CS50" s="270">
        <v>0</v>
      </c>
      <c r="CT50" s="270">
        <v>0</v>
      </c>
      <c r="CU50" s="270">
        <v>0</v>
      </c>
      <c r="CV50" s="270">
        <v>0</v>
      </c>
      <c r="CW50" s="272"/>
      <c r="CX50" s="272"/>
      <c r="CY50" s="272"/>
      <c r="CZ50" s="272"/>
      <c r="DA50" s="272"/>
      <c r="DB50" s="272"/>
      <c r="DC50" s="272"/>
      <c r="DD50" s="272"/>
      <c r="DE50" s="272"/>
      <c r="DF50" s="272"/>
      <c r="DG50" s="272"/>
      <c r="DH50" s="272"/>
      <c r="DI50" s="272"/>
      <c r="DJ50" s="272"/>
      <c r="DK50" s="272"/>
      <c r="DL50" s="272"/>
      <c r="DM50" s="272"/>
      <c r="DN50" s="272"/>
      <c r="DO50" s="272"/>
      <c r="DP50" s="272"/>
    </row>
    <row r="51" spans="1:120" s="273" customFormat="1" ht="14.25" customHeight="1" x14ac:dyDescent="0.2">
      <c r="A51" s="270" t="s">
        <v>120</v>
      </c>
      <c r="B51" s="270">
        <f t="shared" si="19"/>
        <v>2</v>
      </c>
      <c r="C51" s="270" t="s">
        <v>148</v>
      </c>
      <c r="D51" s="270" t="s">
        <v>149</v>
      </c>
      <c r="E51" s="270" t="s">
        <v>110</v>
      </c>
      <c r="F51" s="270" t="s">
        <v>126</v>
      </c>
      <c r="G51" s="270">
        <f t="array" ref="G51">INDEX('SC Cost File'!$A$2:$AB$31,MATCH($C51,'SC Cost File'!$A$2:$A$31,0),MATCH(G$7,'SC Cost File'!$A$2:$AB$2,0))/COUNTIF($G$7:$CV$7,G$7)</f>
        <v>562.5</v>
      </c>
      <c r="H51" s="270">
        <f t="array" ref="H51">INDEX('SC Cost File'!$A$2:$AB$31,MATCH($C51,'SC Cost File'!$A$2:$A$31,0),MATCH(H$7,'SC Cost File'!$A$2:$AB$2,0))/COUNTIF($G$7:$CV$7,H$7)</f>
        <v>562.5</v>
      </c>
      <c r="I51" s="270">
        <f t="array" ref="I51">INDEX('SC Cost File'!$A$2:$AB$31,MATCH($C51,'SC Cost File'!$A$2:$A$31,0),MATCH(I$7,'SC Cost File'!$A$2:$AB$2,0))/COUNTIF($G$7:$CV$7,I$7)</f>
        <v>0</v>
      </c>
      <c r="J51" s="270">
        <f t="array" ref="J51">INDEX('SC Cost File'!$A$2:$AB$31,MATCH($C51,'SC Cost File'!$A$2:$A$31,0),MATCH(J$7,'SC Cost File'!$A$2:$AB$2,0))/COUNTIF($G$7:$CV$7,J$7)</f>
        <v>0</v>
      </c>
      <c r="K51" s="270">
        <f t="array" ref="K51">INDEX('SC Cost File'!$A$2:$AB$31,MATCH($C51,'SC Cost File'!$A$2:$A$31,0),MATCH(K$7,'SC Cost File'!$A$2:$AB$2,0))/COUNTIF($G$7:$CV$7,K$7)</f>
        <v>0</v>
      </c>
      <c r="L51" s="270">
        <f t="array" ref="L51">INDEX('SC Cost File'!$A$2:$AB$31,MATCH($C51,'SC Cost File'!$A$2:$A$31,0),MATCH(L$7,'SC Cost File'!$A$2:$AB$2,0))/COUNTIF($G$7:$CV$7,L$7)</f>
        <v>0</v>
      </c>
      <c r="M51" s="270">
        <f t="array" ref="M51">INDEX('SC Cost File'!$A$2:$AB$31,MATCH($C51,'SC Cost File'!$A$2:$A$31,0),MATCH(M$7,'SC Cost File'!$A$2:$AB$2,0))/COUNTIF($G$7:$CV$7,M$7)</f>
        <v>0</v>
      </c>
      <c r="N51" s="289">
        <f>SUMIF($O$8:$AV$8,"&gt;="&amp;'CURRENT FORECAST START DATE'!$C$4,'Weekly Spend'!O51:AV51)</f>
        <v>0</v>
      </c>
      <c r="O51" s="270">
        <f t="array" ref="O51">INDEX('SC Cost File'!$A$2:$AB$31,MATCH($C51,'SC Cost File'!$A$2:$A$31,0),MATCH(O$7,'SC Cost File'!$A$2:$AB$2,0))/COUNTIF($G$7:$CV$7,O$7)</f>
        <v>0</v>
      </c>
      <c r="P51" s="270">
        <f t="array" ref="P51">INDEX('SC Cost File'!$A$2:$AB$31,MATCH($C51,'SC Cost File'!$A$2:$A$31,0),MATCH(P$7,'SC Cost File'!$A$2:$AB$2,0))/COUNTIF($G$7:$CV$7,P$7)</f>
        <v>0</v>
      </c>
      <c r="Q51" s="270">
        <f t="array" ref="Q51">INDEX('SC Cost File'!$A$2:$AB$31,MATCH($C51,'SC Cost File'!$A$2:$A$31,0),MATCH(Q$7,'SC Cost File'!$A$2:$AB$2,0))/COUNTIF($G$7:$CV$7,Q$7)</f>
        <v>0</v>
      </c>
      <c r="R51" s="270">
        <f t="array" ref="R51">INDEX('SC Cost File'!$A$2:$AB$31,MATCH($C51,'SC Cost File'!$A$2:$A$31,0),MATCH(R$7,'SC Cost File'!$A$2:$AB$2,0))/COUNTIF($G$7:$CV$7,R$7)</f>
        <v>0</v>
      </c>
      <c r="S51" s="270">
        <f t="array" ref="S51">INDEX('SC Cost File'!$A$2:$AB$31,MATCH($C51,'SC Cost File'!$A$2:$A$31,0),MATCH(S$7,'SC Cost File'!$A$2:$AB$2,0))/COUNTIF($G$7:$CV$7,S$7)</f>
        <v>0</v>
      </c>
      <c r="T51" s="270">
        <f t="array" ref="T51">INDEX('SC Cost File'!$A$2:$AB$31,MATCH($C51,'SC Cost File'!$A$2:$A$31,0),MATCH(T$7,'SC Cost File'!$A$2:$AB$2,0))/COUNTIF($G$7:$CV$7,T$7)</f>
        <v>0</v>
      </c>
      <c r="U51" s="270">
        <f t="array" ref="U51">INDEX('SC Cost File'!$A$2:$AB$31,MATCH($C51,'SC Cost File'!$A$2:$A$31,0),MATCH(U$7,'SC Cost File'!$A$2:$AB$2,0))/COUNTIF($G$7:$CV$7,U$7)</f>
        <v>0</v>
      </c>
      <c r="V51" s="270">
        <f t="array" ref="V51">INDEX('SC Cost File'!$A$2:$AB$31,MATCH($C51,'SC Cost File'!$A$2:$A$31,0),MATCH(V$7,'SC Cost File'!$A$2:$AB$2,0))/COUNTIF($G$7:$CV$7,V$7)</f>
        <v>0</v>
      </c>
      <c r="W51" s="270">
        <f t="array" ref="W51">INDEX('SC Cost File'!$A$2:$AB$31,MATCH($C51,'SC Cost File'!$A$2:$A$31,0),MATCH(W$7,'SC Cost File'!$A$2:$AB$2,0))/COUNTIF($G$7:$CV$7,W$7)</f>
        <v>0</v>
      </c>
      <c r="X51" s="270">
        <f t="array" ref="X51">INDEX('SC Cost File'!$A$2:$AB$31,MATCH($C51,'SC Cost File'!$A$2:$A$31,0),MATCH(X$7,'SC Cost File'!$A$2:$AB$2,0))/COUNTIF($G$7:$CV$7,X$7)</f>
        <v>0</v>
      </c>
      <c r="Y51" s="270">
        <f t="array" ref="Y51">INDEX('SC Cost File'!$A$2:$AB$31,MATCH($C51,'SC Cost File'!$A$2:$A$31,0),MATCH(Y$7,'SC Cost File'!$A$2:$AB$2,0))/COUNTIF($G$7:$CV$7,Y$7)</f>
        <v>0</v>
      </c>
      <c r="Z51" s="270">
        <f t="array" ref="Z51">INDEX('SC Cost File'!$A$2:$AB$31,MATCH($C51,'SC Cost File'!$A$2:$A$31,0),MATCH(Z$7,'SC Cost File'!$A$2:$AB$2,0))/COUNTIF($G$7:$CV$7,Z$7)</f>
        <v>0</v>
      </c>
      <c r="AA51" s="270">
        <f t="array" ref="AA51">INDEX('SC Cost File'!$A$2:$AB$31,MATCH($C51,'SC Cost File'!$A$2:$A$31,0),MATCH(AA$7,'SC Cost File'!$A$2:$AB$2,0))/COUNTIF($G$7:$CV$7,AA$7)</f>
        <v>281.25</v>
      </c>
      <c r="AB51" s="270">
        <f t="array" ref="AB51">INDEX('SC Cost File'!$A$2:$AB$31,MATCH($C51,'SC Cost File'!$A$2:$A$31,0),MATCH(AB$7,'SC Cost File'!$A$2:$AB$2,0))/COUNTIF($G$7:$CV$7,AB$7)</f>
        <v>281.25</v>
      </c>
      <c r="AC51" s="270">
        <f t="array" ref="AC51">INDEX('SC Cost File'!$A$2:$AB$31,MATCH($C51,'SC Cost File'!$A$2:$A$31,0),MATCH(AC$7,'SC Cost File'!$A$2:$AB$2,0))/COUNTIF($G$7:$CV$7,AC$7)</f>
        <v>281.25</v>
      </c>
      <c r="AD51" s="270">
        <f t="array" ref="AD51">INDEX('SC Cost File'!$A$2:$AB$31,MATCH($C51,'SC Cost File'!$A$2:$A$31,0),MATCH(AD$7,'SC Cost File'!$A$2:$AB$2,0))/COUNTIF($G$7:$CV$7,AD$7)</f>
        <v>281.25</v>
      </c>
      <c r="AE51" s="270">
        <f t="array" ref="AE51">INDEX('SC Cost File'!$A$2:$AB$31,MATCH($C51,'SC Cost File'!$A$2:$A$31,0),MATCH(AE$7,'SC Cost File'!$A$2:$AB$2,0))/COUNTIF($G$7:$CV$7,AE$7)</f>
        <v>0</v>
      </c>
      <c r="AF51" s="270">
        <f t="array" ref="AF51">INDEX('SC Cost File'!$A$2:$AB$31,MATCH($C51,'SC Cost File'!$A$2:$A$31,0),MATCH(AF$7,'SC Cost File'!$A$2:$AB$2,0))/COUNTIF($G$7:$CV$7,AF$7)</f>
        <v>0</v>
      </c>
      <c r="AG51" s="270">
        <f t="array" ref="AG51">INDEX('SC Cost File'!$A$2:$AB$31,MATCH($C51,'SC Cost File'!$A$2:$A$31,0),MATCH(AG$7,'SC Cost File'!$A$2:$AB$2,0))/COUNTIF($G$7:$CV$7,AG$7)</f>
        <v>0</v>
      </c>
      <c r="AH51" s="270">
        <f t="array" ref="AH51">INDEX('SC Cost File'!$A$2:$AB$31,MATCH($C51,'SC Cost File'!$A$2:$A$31,0),MATCH(AH$7,'SC Cost File'!$A$2:$AB$2,0))/COUNTIF($G$7:$CV$7,AH$7)</f>
        <v>0</v>
      </c>
      <c r="AI51" s="270">
        <f t="array" ref="AI51">INDEX('SC Cost File'!$A$2:$AB$31,MATCH($C51,'SC Cost File'!$A$2:$A$31,0),MATCH(AI$7,'SC Cost File'!$A$2:$AB$2,0))/COUNTIF($G$7:$CV$7,AI$7)</f>
        <v>0</v>
      </c>
      <c r="AJ51" s="270">
        <f t="array" ref="AJ51">INDEX('SC Cost File'!$A$2:$AB$31,MATCH($C51,'SC Cost File'!$A$2:$A$31,0),MATCH(AJ$7,'SC Cost File'!$A$2:$AB$2,0))/COUNTIF($G$7:$CV$7,AJ$7)</f>
        <v>0</v>
      </c>
      <c r="AK51" s="270">
        <f t="array" ref="AK51">INDEX('SC Cost File'!$A$2:$AB$31,MATCH($C51,'SC Cost File'!$A$2:$A$31,0),MATCH(AK$7,'SC Cost File'!$A$2:$AB$2,0))/COUNTIF($G$7:$CV$7,AK$7)</f>
        <v>0</v>
      </c>
      <c r="AL51" s="418">
        <f t="array" ref="AL51">INDEX('SC Cost File'!$A$2:$AB$31,MATCH($C51,'SC Cost File'!$A$2:$A$31,0),MATCH(AL$7,'SC Cost File'!$A$2:$AB$2,0))/COUNTIF($G$7:$CV$7,AL$7)</f>
        <v>0</v>
      </c>
      <c r="AM51" s="270">
        <f t="array" ref="AM51">INDEX('SC Cost File'!$A$2:$AB$31,MATCH($C51,'SC Cost File'!$A$2:$A$31,0),MATCH(AM$7,'SC Cost File'!$A$2:$AB$2,0))/COUNTIF($G$7:$CV$7,AM$7)</f>
        <v>0</v>
      </c>
      <c r="AN51" s="270">
        <f t="array" ref="AN51">INDEX('SC Cost File'!$A$2:$AB$31,MATCH($C51,'SC Cost File'!$A$2:$A$31,0),MATCH(AN$7,'SC Cost File'!$A$2:$AB$2,0))/COUNTIF($G$7:$CV$7,AN$7)</f>
        <v>0</v>
      </c>
      <c r="AO51" s="390">
        <f t="array" ref="AO51">INDEX('SC Cost File'!$A$2:$AB$31,MATCH($C51,'SC Cost File'!$A$2:$A$31,0),MATCH(AO$7,'SC Cost File'!$A$2:$AB$2,0))/COUNTIF($G$7:$CV$7,AO$7)</f>
        <v>0</v>
      </c>
      <c r="AP51" s="270">
        <f t="array" ref="AP51">INDEX('SC Cost File'!$A$2:$AB$31,MATCH($C51,'SC Cost File'!$A$2:$A$31,0),MATCH(AP$7,'SC Cost File'!$A$2:$AB$2,0))/COUNTIF($G$7:$CV$7,AP$7)</f>
        <v>0</v>
      </c>
      <c r="AQ51" s="270">
        <f t="array" ref="AQ51">INDEX('SC Cost File'!$A$2:$AB$31,MATCH($C51,'SC Cost File'!$A$2:$A$31,0),MATCH(AQ$7,'SC Cost File'!$A$2:$AB$2,0))/COUNTIF($G$7:$CV$7,AQ$7)</f>
        <v>0</v>
      </c>
      <c r="AR51" s="270">
        <f t="array" ref="AR51">INDEX('SC Cost File'!$A$2:$AB$31,MATCH($C51,'SC Cost File'!$A$2:$A$31,0),MATCH(AR$7,'SC Cost File'!$A$2:$AB$2,0))/COUNTIF($G$7:$CV$7,AR$7)</f>
        <v>0</v>
      </c>
      <c r="AS51" s="270">
        <f t="array" ref="AS51">INDEX('SC Cost File'!$A$2:$AB$31,MATCH($C51,'SC Cost File'!$A$2:$A$31,0),MATCH(AS$7,'SC Cost File'!$A$2:$AB$2,0))/COUNTIF($G$7:$CV$7,AS$7)</f>
        <v>0</v>
      </c>
      <c r="AT51" s="270">
        <f t="array" ref="AT51">INDEX('SC Cost File'!$A$2:$AB$31,MATCH($C51,'SC Cost File'!$A$2:$A$31,0),MATCH(AT$7,'SC Cost File'!$A$2:$AB$2,0))/COUNTIF($G$7:$CV$7,AT$7)</f>
        <v>0</v>
      </c>
      <c r="AU51" s="270">
        <f t="array" ref="AU51">INDEX('SC Cost File'!$A$2:$AB$31,MATCH($C51,'SC Cost File'!$A$2:$A$31,0),MATCH(AU$7,'SC Cost File'!$A$2:$AB$2,0))/COUNTIF($G$7:$CV$7,AU$7)</f>
        <v>0</v>
      </c>
      <c r="AV51" s="270">
        <f t="array" ref="AV51">INDEX('SC Cost File'!$A$2:$AB$31,MATCH($C51,'SC Cost File'!$A$2:$A$31,0),MATCH(AV$7,'SC Cost File'!$A$2:$AB$2,0))/COUNTIF($G$7:$CV$7,AV$7)</f>
        <v>0</v>
      </c>
      <c r="AW51" s="270">
        <f t="array" ref="AW51">INDEX('SC Cost File'!$A$2:$AB$31,MATCH($C51,'SC Cost File'!$A$2:$A$31,0),MATCH(AW$7,'SC Cost File'!$A$2:$AB$2,0))/COUNTIF($G$7:$CV$7,AW$7)</f>
        <v>281.25</v>
      </c>
      <c r="AX51" s="270">
        <f t="array" ref="AX51">INDEX('SC Cost File'!$A$2:$AB$31,MATCH($C51,'SC Cost File'!$A$2:$A$31,0),MATCH(AX$7,'SC Cost File'!$A$2:$AB$2,0))/COUNTIF($G$7:$CV$7,AX$7)</f>
        <v>281.25</v>
      </c>
      <c r="AY51" s="270">
        <f t="array" ref="AY51">INDEX('SC Cost File'!$A$2:$AB$31,MATCH($C51,'SC Cost File'!$A$2:$A$31,0),MATCH(AY$7,'SC Cost File'!$A$2:$AB$2,0))/COUNTIF($G$7:$CV$7,AY$7)</f>
        <v>281.25</v>
      </c>
      <c r="AZ51" s="270">
        <f t="array" ref="AZ51">INDEX('SC Cost File'!$A$2:$AB$31,MATCH($C51,'SC Cost File'!$A$2:$A$31,0),MATCH(AZ$7,'SC Cost File'!$A$2:$AB$2,0))/COUNTIF($G$7:$CV$7,AZ$7)</f>
        <v>281.25</v>
      </c>
      <c r="BA51" s="270">
        <f t="array" ref="BA51">INDEX('SC Cost File'!$A$2:$AB$31,MATCH($C51,'SC Cost File'!$A$2:$A$31,0),MATCH(BA$7,'SC Cost File'!$A$2:$AB$2,0))/COUNTIF($G$7:$CV$7,BA$7)</f>
        <v>0</v>
      </c>
      <c r="BB51" s="270">
        <f t="array" ref="BB51">INDEX('SC Cost File'!$A$2:$AB$31,MATCH($C51,'SC Cost File'!$A$2:$A$31,0),MATCH(BB$7,'SC Cost File'!$A$2:$AB$2,0))/COUNTIF($G$7:$CV$7,BB$7)</f>
        <v>0</v>
      </c>
      <c r="BC51" s="270">
        <f t="array" ref="BC51">INDEX('SC Cost File'!$A$2:$AB$31,MATCH($C51,'SC Cost File'!$A$2:$A$31,0),MATCH(BC$7,'SC Cost File'!$A$2:$AB$2,0))/COUNTIF($G$7:$CV$7,BC$7)</f>
        <v>0</v>
      </c>
      <c r="BD51" s="270">
        <f t="array" ref="BD51">INDEX('SC Cost File'!$A$2:$AB$31,MATCH($C51,'SC Cost File'!$A$2:$A$31,0),MATCH(BD$7,'SC Cost File'!$A$2:$AB$2,0))/COUNTIF($G$7:$CV$7,BD$7)</f>
        <v>0</v>
      </c>
      <c r="BE51" s="270">
        <f t="array" ref="BE51">INDEX('SC Cost File'!$A$2:$AB$31,MATCH($C51,'SC Cost File'!$A$2:$A$31,0),MATCH(BE$7,'SC Cost File'!$A$2:$AB$2,0))/COUNTIF($G$7:$CV$7,BE$7)</f>
        <v>0</v>
      </c>
      <c r="BF51" s="270">
        <f t="array" ref="BF51">INDEX('SC Cost File'!$A$2:$AB$31,MATCH($C51,'SC Cost File'!$A$2:$A$31,0),MATCH(BF$7,'SC Cost File'!$A$2:$AB$2,0))/COUNTIF($G$7:$CV$7,BF$7)</f>
        <v>0</v>
      </c>
      <c r="BG51" s="270">
        <f t="array" ref="BG51">INDEX('SC Cost File'!$A$2:$AB$31,MATCH($C51,'SC Cost File'!$A$2:$A$31,0),MATCH(BG$7,'SC Cost File'!$A$2:$AB$2,0))/COUNTIF($G$7:$CV$7,BG$7)</f>
        <v>0</v>
      </c>
      <c r="BH51" s="270">
        <f t="array" ref="BH51">INDEX('SC Cost File'!$A$2:$AB$31,MATCH($C51,'SC Cost File'!$A$2:$A$31,0),MATCH(BH$7,'SC Cost File'!$A$2:$AB$2,0))/COUNTIF($G$7:$CV$7,BH$7)</f>
        <v>0</v>
      </c>
      <c r="BI51" s="270">
        <f t="array" ref="BI51">INDEX('SC Cost File'!$A$2:$AB$31,MATCH($C51,'SC Cost File'!$A$2:$A$31,0),MATCH(BI$7,'SC Cost File'!$A$2:$AB$2,0))/COUNTIF($G$7:$CV$7,BI$7)</f>
        <v>0</v>
      </c>
      <c r="BJ51" s="270">
        <f t="array" ref="BJ51">INDEX('SC Cost File'!$A$2:$AB$31,MATCH($C51,'SC Cost File'!$A$2:$A$31,0),MATCH(BJ$7,'SC Cost File'!$A$2:$AB$2,0))/COUNTIF($G$7:$CV$7,BJ$7)</f>
        <v>0</v>
      </c>
      <c r="BK51" s="270">
        <f t="array" ref="BK51">INDEX('SC Cost File'!$A$2:$AB$31,MATCH($C51,'SC Cost File'!$A$2:$A$31,0),MATCH(BK$7,'SC Cost File'!$A$2:$AB$2,0))/COUNTIF($G$7:$CV$7,BK$7)</f>
        <v>0</v>
      </c>
      <c r="BL51" s="270">
        <f t="array" ref="BL51">INDEX('SC Cost File'!$A$2:$AB$31,MATCH($C51,'SC Cost File'!$A$2:$A$31,0),MATCH(BL$7,'SC Cost File'!$A$2:$AB$2,0))/COUNTIF($G$7:$CV$7,BL$7)</f>
        <v>0</v>
      </c>
      <c r="BM51" s="270">
        <f t="array" ref="BM51">INDEX('SC Cost File'!$A$2:$AB$31,MATCH($C51,'SC Cost File'!$A$2:$A$31,0),MATCH(BM$7,'SC Cost File'!$A$2:$AB$2,0))/COUNTIF($G$7:$CV$7,BM$7)</f>
        <v>0</v>
      </c>
      <c r="BN51" s="270">
        <f t="array" ref="BN51">INDEX('SC Cost File'!$A$2:$AB$31,MATCH($C51,'SC Cost File'!$A$2:$A$31,0),MATCH(BN$7,'SC Cost File'!$A$2:$AB$2,0))/COUNTIF($G$7:$CV$7,BN$7)</f>
        <v>281.25</v>
      </c>
      <c r="BO51" s="270">
        <f t="array" ref="BO51">INDEX('SC Cost File'!$A$2:$AB$31,MATCH($C51,'SC Cost File'!$A$2:$A$31,0),MATCH(BO$7,'SC Cost File'!$A$2:$AB$2,0))/COUNTIF($G$7:$CV$7,BO$7)</f>
        <v>281.25</v>
      </c>
      <c r="BP51" s="270">
        <f t="array" ref="BP51">INDEX('SC Cost File'!$A$2:$AB$31,MATCH($C51,'SC Cost File'!$A$2:$A$31,0),MATCH(BP$7,'SC Cost File'!$A$2:$AB$2,0))/COUNTIF($G$7:$CV$7,BP$7)</f>
        <v>281.25</v>
      </c>
      <c r="BQ51" s="270">
        <f t="array" ref="BQ51">INDEX('SC Cost File'!$A$2:$AB$31,MATCH($C51,'SC Cost File'!$A$2:$A$31,0),MATCH(BQ$7,'SC Cost File'!$A$2:$AB$2,0))/COUNTIF($G$7:$CV$7,BQ$7)</f>
        <v>281.25</v>
      </c>
      <c r="BR51" s="270">
        <f t="array" ref="BR51">INDEX('SC Cost File'!$A$2:$AB$31,MATCH($C51,'SC Cost File'!$A$2:$A$31,0),MATCH(BR$7,'SC Cost File'!$A$2:$AB$2,0))/COUNTIF($G$7:$CV$7,BR$7)</f>
        <v>0</v>
      </c>
      <c r="BS51" s="270">
        <f t="array" ref="BS51">INDEX('SC Cost File'!$A$2:$AB$31,MATCH($C51,'SC Cost File'!$A$2:$A$31,0),MATCH(BS$7,'SC Cost File'!$A$2:$AB$2,0))/COUNTIF($G$7:$CV$7,BS$7)</f>
        <v>0</v>
      </c>
      <c r="BT51" s="270">
        <f t="array" ref="BT51">INDEX('SC Cost File'!$A$2:$AB$31,MATCH($C51,'SC Cost File'!$A$2:$A$31,0),MATCH(BT$7,'SC Cost File'!$A$2:$AB$2,0))/COUNTIF($G$7:$CV$7,BT$7)</f>
        <v>0</v>
      </c>
      <c r="BU51" s="270">
        <f t="array" ref="BU51">INDEX('SC Cost File'!$A$2:$AB$31,MATCH($C51,'SC Cost File'!$A$2:$A$31,0),MATCH(BU$7,'SC Cost File'!$A$2:$AB$2,0))/COUNTIF($G$7:$CV$7,BU$7)</f>
        <v>0</v>
      </c>
      <c r="BV51" s="270">
        <f t="array" ref="BV51">INDEX('SC Cost File'!$A$2:$AB$31,MATCH($C51,'SC Cost File'!$A$2:$A$31,0),MATCH(BV$7,'SC Cost File'!$A$2:$AB$2,0))/COUNTIF($G$7:$CV$7,BV$7)</f>
        <v>0</v>
      </c>
      <c r="BW51" s="270">
        <f t="array" ref="BW51">INDEX('SC Cost File'!$A$2:$AB$31,MATCH($C51,'SC Cost File'!$A$2:$A$31,0),MATCH(BW$7,'SC Cost File'!$A$2:$AB$2,0))/COUNTIF($G$7:$CV$7,BW$7)</f>
        <v>0</v>
      </c>
      <c r="BX51" s="270">
        <f t="array" ref="BX51">INDEX('SC Cost File'!$A$2:$AB$31,MATCH($C51,'SC Cost File'!$A$2:$A$31,0),MATCH(BX$7,'SC Cost File'!$A$2:$AB$2,0))/COUNTIF($G$7:$CV$7,BX$7)</f>
        <v>0</v>
      </c>
      <c r="BY51" s="270">
        <f t="array" ref="BY51">INDEX('SC Cost File'!$A$2:$AB$31,MATCH($C51,'SC Cost File'!$A$2:$A$31,0),MATCH(BY$7,'SC Cost File'!$A$2:$AB$2,0))/COUNTIF($G$7:$CV$7,BY$7)</f>
        <v>0</v>
      </c>
      <c r="BZ51" s="270">
        <f t="array" ref="BZ51">INDEX('SC Cost File'!$A$2:$AB$31,MATCH($C51,'SC Cost File'!$A$2:$A$31,0),MATCH(BZ$7,'SC Cost File'!$A$2:$AB$2,0))/COUNTIF($G$7:$CV$7,BZ$7)</f>
        <v>0</v>
      </c>
      <c r="CA51" s="270">
        <f t="array" ref="CA51">INDEX('SC Cost File'!$A$2:$AB$31,MATCH($C51,'SC Cost File'!$A$2:$A$31,0),MATCH(CA$7,'SC Cost File'!$A$2:$AB$2,0))/COUNTIF($G$7:$CV$7,CA$7)</f>
        <v>0</v>
      </c>
      <c r="CB51" s="270">
        <f t="array" ref="CB51">INDEX('SC Cost File'!$A$2:$AB$31,MATCH($C51,'SC Cost File'!$A$2:$A$31,0),MATCH(CB$7,'SC Cost File'!$A$2:$AB$2,0))/COUNTIF($G$7:$CV$7,CB$7)</f>
        <v>0</v>
      </c>
      <c r="CC51" s="270">
        <f t="array" ref="CC51">INDEX('SC Cost File'!$A$2:$AB$31,MATCH($C51,'SC Cost File'!$A$2:$A$31,0),MATCH(CC$7,'SC Cost File'!$A$2:$AB$2,0))/COUNTIF($G$7:$CV$7,CC$7)</f>
        <v>0</v>
      </c>
      <c r="CD51" s="270">
        <f t="array" ref="CD51">INDEX('SC Cost File'!$A$2:$AB$31,MATCH($C51,'SC Cost File'!$A$2:$A$31,0),MATCH(CD$7,'SC Cost File'!$A$2:$AB$2,0))/COUNTIF($G$7:$CV$7,CD$7)</f>
        <v>0</v>
      </c>
      <c r="CE51" s="270">
        <f t="array" ref="CE51">INDEX('SC Cost File'!$A$2:$AB$31,MATCH($C51,'SC Cost File'!$A$2:$A$31,0),MATCH(CE$7,'SC Cost File'!$A$2:$AB$2,0))/COUNTIF($G$7:$CV$7,CE$7)</f>
        <v>0</v>
      </c>
      <c r="CF51" s="270">
        <f t="array" ref="CF51">INDEX('SC Cost File'!$A$2:$AB$31,MATCH($C51,'SC Cost File'!$A$2:$A$31,0),MATCH(CF$7,'SC Cost File'!$A$2:$AB$2,0))/COUNTIF($G$7:$CV$7,CF$7)</f>
        <v>281.25</v>
      </c>
      <c r="CG51" s="270">
        <f t="array" ref="CG51">INDEX('SC Cost File'!$A$2:$AB$31,MATCH($C51,'SC Cost File'!$A$2:$A$31,0),MATCH(CG$7,'SC Cost File'!$A$2:$AB$2,0))/COUNTIF($G$7:$CV$7,CG$7)</f>
        <v>281.25</v>
      </c>
      <c r="CH51" s="270">
        <f t="array" ref="CH51">INDEX('SC Cost File'!$A$2:$AB$31,MATCH($C51,'SC Cost File'!$A$2:$A$31,0),MATCH(CH$7,'SC Cost File'!$A$2:$AB$2,0))/COUNTIF($G$7:$CV$7,CH$7)</f>
        <v>281.25</v>
      </c>
      <c r="CI51" s="270">
        <f t="array" ref="CI51">INDEX('SC Cost File'!$A$2:$AB$31,MATCH($C51,'SC Cost File'!$A$2:$A$31,0),MATCH(CI$7,'SC Cost File'!$A$2:$AB$2,0))/COUNTIF($G$7:$CV$7,CI$7)</f>
        <v>281.25</v>
      </c>
      <c r="CJ51" s="270">
        <f t="array" ref="CJ51">INDEX('SC Cost File'!$A$2:$AB$31,MATCH($C51,'SC Cost File'!$A$2:$A$31,0),MATCH(CJ$7,'SC Cost File'!$A$2:$AB$2,0))/COUNTIF($G$7:$CV$7,CJ$7)</f>
        <v>0</v>
      </c>
      <c r="CK51" s="270">
        <f t="array" ref="CK51">INDEX('SC Cost File'!$A$2:$AB$31,MATCH($C51,'SC Cost File'!$A$2:$A$31,0),MATCH(CK$7,'SC Cost File'!$A$2:$AB$2,0))/COUNTIF($G$7:$CV$7,CK$7)</f>
        <v>0</v>
      </c>
      <c r="CL51" s="270">
        <f t="array" ref="CL51">INDEX('SC Cost File'!$A$2:$AB$31,MATCH($C51,'SC Cost File'!$A$2:$A$31,0),MATCH(CL$7,'SC Cost File'!$A$2:$AB$2,0))/COUNTIF($G$7:$CV$7,CL$7)</f>
        <v>0</v>
      </c>
      <c r="CM51" s="270">
        <f t="array" ref="CM51">INDEX('SC Cost File'!$A$2:$AB$31,MATCH($C51,'SC Cost File'!$A$2:$A$31,0),MATCH(CM$7,'SC Cost File'!$A$2:$AB$2,0))/COUNTIF($G$7:$CV$7,CM$7)</f>
        <v>0</v>
      </c>
      <c r="CN51" s="270">
        <f t="array" ref="CN51">INDEX('SC Cost File'!$A$2:$AB$31,MATCH($C51,'SC Cost File'!$A$2:$A$31,0),MATCH(CN$7,'SC Cost File'!$A$2:$AB$2,0))/COUNTIF($G$7:$CV$7,CN$7)</f>
        <v>0</v>
      </c>
      <c r="CO51" s="270">
        <f t="array" ref="CO51">INDEX('SC Cost File'!$A$2:$AB$31,MATCH($C51,'SC Cost File'!$A$2:$A$31,0),MATCH(CO$7,'SC Cost File'!$A$2:$AB$2,0))/COUNTIF($G$7:$CV$7,CO$7)</f>
        <v>0</v>
      </c>
      <c r="CP51" s="270">
        <f t="array" ref="CP51">INDEX('SC Cost File'!$A$2:$AB$31,MATCH($C51,'SC Cost File'!$A$2:$A$31,0),MATCH(CP$7,'SC Cost File'!$A$2:$AB$2,0))/COUNTIF($G$7:$CV$7,CP$7)</f>
        <v>0</v>
      </c>
      <c r="CQ51" s="270">
        <f t="array" ref="CQ51">INDEX('SC Cost File'!$A$2:$AB$31,MATCH($C51,'SC Cost File'!$A$2:$A$31,0),MATCH(CQ$7,'SC Cost File'!$A$2:$AB$2,0))/COUNTIF($G$7:$CV$7,CQ$7)</f>
        <v>0</v>
      </c>
      <c r="CR51" s="270">
        <f t="array" ref="CR51">INDEX('SC Cost File'!$A$2:$AB$31,MATCH($C51,'SC Cost File'!$A$2:$A$31,0),MATCH(CR$7,'SC Cost File'!$A$2:$AB$2,0))/COUNTIF($G$7:$CV$7,CR$7)</f>
        <v>0</v>
      </c>
      <c r="CS51" s="270">
        <f t="array" ref="CS51">INDEX('SC Cost File'!$A$2:$AB$31,MATCH($C51,'SC Cost File'!$A$2:$A$31,0),MATCH(CS$7,'SC Cost File'!$A$2:$AB$2,0))/COUNTIF($G$7:$CV$7,CS$7)</f>
        <v>281.25</v>
      </c>
      <c r="CT51" s="270">
        <f t="array" ref="CT51">INDEX('SC Cost File'!$A$2:$AB$31,MATCH($C51,'SC Cost File'!$A$2:$A$31,0),MATCH(CT$7,'SC Cost File'!$A$2:$AB$2,0))/COUNTIF($G$7:$CV$7,CT$7)</f>
        <v>281.25</v>
      </c>
      <c r="CU51" s="270">
        <f t="array" ref="CU51">INDEX('SC Cost File'!$A$2:$AB$31,MATCH($C51,'SC Cost File'!$A$2:$A$31,0),MATCH(CU$7,'SC Cost File'!$A$2:$AB$2,0))/COUNTIF($G$7:$CV$7,CU$7)</f>
        <v>281.25</v>
      </c>
      <c r="CV51" s="270">
        <f t="array" ref="CV51">INDEX('SC Cost File'!$A$2:$AB$31,MATCH($C51,'SC Cost File'!$A$2:$A$31,0),MATCH(CV$7,'SC Cost File'!$A$2:$AB$2,0))/COUNTIF($G$7:$CV$7,CV$7)</f>
        <v>281.25</v>
      </c>
      <c r="CW51" s="272"/>
      <c r="CX51" s="272"/>
      <c r="CY51" s="272"/>
      <c r="CZ51" s="272"/>
      <c r="DA51" s="272"/>
      <c r="DB51" s="272"/>
      <c r="DC51" s="272"/>
      <c r="DD51" s="272"/>
      <c r="DE51" s="272"/>
      <c r="DF51" s="272"/>
      <c r="DG51" s="272"/>
      <c r="DH51" s="272"/>
      <c r="DI51" s="272"/>
      <c r="DJ51" s="272"/>
      <c r="DK51" s="272"/>
      <c r="DL51" s="272"/>
      <c r="DM51" s="272"/>
      <c r="DN51" s="272"/>
      <c r="DO51" s="272"/>
      <c r="DP51" s="272"/>
    </row>
    <row r="52" spans="1:120" s="273" customFormat="1" ht="14.25" customHeight="1" x14ac:dyDescent="0.2">
      <c r="A52" s="270"/>
      <c r="B52" s="270"/>
      <c r="C52" s="270"/>
      <c r="D52" s="270" t="s">
        <v>150</v>
      </c>
      <c r="E52" s="270" t="s">
        <v>125</v>
      </c>
      <c r="F52" s="270" t="s">
        <v>126</v>
      </c>
      <c r="G52" s="270"/>
      <c r="H52" s="270"/>
      <c r="I52" s="270"/>
      <c r="J52" s="270"/>
      <c r="K52" s="270"/>
      <c r="L52" s="270"/>
      <c r="M52" s="270"/>
      <c r="N52" s="419">
        <f>SUMIF($O$8:$AV$8,"&gt;="&amp;'CURRENT FORECAST START DATE'!$C$4,'Weekly Spend'!O52:AV52)</f>
        <v>53376.800000000003</v>
      </c>
      <c r="O52" s="418">
        <v>0</v>
      </c>
      <c r="P52" s="418">
        <v>0</v>
      </c>
      <c r="Q52" s="418">
        <v>0</v>
      </c>
      <c r="R52" s="418">
        <v>0</v>
      </c>
      <c r="S52" s="418">
        <v>0</v>
      </c>
      <c r="T52" s="418">
        <v>0</v>
      </c>
      <c r="U52" s="418">
        <v>0</v>
      </c>
      <c r="V52" s="418">
        <v>0</v>
      </c>
      <c r="W52" s="418">
        <v>0</v>
      </c>
      <c r="X52" s="418">
        <v>0</v>
      </c>
      <c r="Y52" s="418">
        <v>0</v>
      </c>
      <c r="Z52" s="418"/>
      <c r="AA52" s="418">
        <v>0</v>
      </c>
      <c r="AB52" s="418"/>
      <c r="AC52" s="418"/>
      <c r="AD52" s="417"/>
      <c r="AE52" s="417"/>
      <c r="AF52" s="417"/>
      <c r="AG52" s="417"/>
      <c r="AH52" s="417"/>
      <c r="AI52" s="417"/>
      <c r="AJ52" s="417"/>
      <c r="AK52" s="324"/>
      <c r="AL52" s="417"/>
      <c r="AM52" s="324"/>
      <c r="AN52" s="417"/>
      <c r="AO52" s="390">
        <v>3376.8</v>
      </c>
      <c r="AP52" s="270">
        <v>0</v>
      </c>
      <c r="AQ52" s="270">
        <v>0</v>
      </c>
      <c r="AR52" s="270">
        <v>0</v>
      </c>
      <c r="AS52" s="270">
        <v>0</v>
      </c>
      <c r="AT52" s="270">
        <v>0</v>
      </c>
      <c r="AU52" s="324">
        <f>25000+25000</f>
        <v>50000</v>
      </c>
      <c r="AV52" s="270">
        <v>0</v>
      </c>
      <c r="AW52" s="270">
        <v>0</v>
      </c>
      <c r="AX52" s="270"/>
      <c r="AY52" s="270"/>
      <c r="AZ52" s="270">
        <v>0</v>
      </c>
      <c r="BA52" s="270"/>
      <c r="BB52" s="270"/>
      <c r="BC52" s="270">
        <v>0</v>
      </c>
      <c r="BD52" s="270">
        <v>0</v>
      </c>
      <c r="BE52" s="270">
        <v>0</v>
      </c>
      <c r="BF52" s="270">
        <v>0</v>
      </c>
      <c r="BG52" s="270">
        <v>0</v>
      </c>
      <c r="BH52" s="270">
        <v>0</v>
      </c>
      <c r="BI52" s="270">
        <v>0</v>
      </c>
      <c r="BJ52" s="270">
        <v>0</v>
      </c>
      <c r="BK52" s="270">
        <v>0</v>
      </c>
      <c r="BL52" s="270">
        <v>0</v>
      </c>
      <c r="BM52" s="270">
        <v>0</v>
      </c>
      <c r="BN52" s="270">
        <v>0</v>
      </c>
      <c r="BO52" s="270">
        <v>0</v>
      </c>
      <c r="BP52" s="270">
        <v>0</v>
      </c>
      <c r="BQ52" s="270">
        <v>0</v>
      </c>
      <c r="BR52" s="270">
        <v>0</v>
      </c>
      <c r="BS52" s="270">
        <v>0</v>
      </c>
      <c r="BT52" s="270">
        <v>0</v>
      </c>
      <c r="BU52" s="270">
        <v>0</v>
      </c>
      <c r="BV52" s="270">
        <v>0</v>
      </c>
      <c r="BW52" s="270">
        <v>0</v>
      </c>
      <c r="BX52" s="270">
        <v>0</v>
      </c>
      <c r="BY52" s="270">
        <v>0</v>
      </c>
      <c r="BZ52" s="270">
        <v>0</v>
      </c>
      <c r="CA52" s="270">
        <v>0</v>
      </c>
      <c r="CB52" s="270">
        <v>0</v>
      </c>
      <c r="CC52" s="270">
        <v>0</v>
      </c>
      <c r="CD52" s="270">
        <v>0</v>
      </c>
      <c r="CE52" s="270">
        <v>0</v>
      </c>
      <c r="CF52" s="270">
        <v>0</v>
      </c>
      <c r="CG52" s="270">
        <v>0</v>
      </c>
      <c r="CH52" s="270">
        <v>0</v>
      </c>
      <c r="CI52" s="270">
        <v>0</v>
      </c>
      <c r="CJ52" s="270">
        <v>0</v>
      </c>
      <c r="CK52" s="270">
        <v>0</v>
      </c>
      <c r="CL52" s="270">
        <v>0</v>
      </c>
      <c r="CM52" s="270">
        <v>0</v>
      </c>
      <c r="CN52" s="270">
        <v>0</v>
      </c>
      <c r="CO52" s="270">
        <v>0</v>
      </c>
      <c r="CP52" s="270">
        <v>0</v>
      </c>
      <c r="CQ52" s="270">
        <v>0</v>
      </c>
      <c r="CR52" s="270">
        <v>0</v>
      </c>
      <c r="CS52" s="270">
        <v>0</v>
      </c>
      <c r="CT52" s="270">
        <v>0</v>
      </c>
      <c r="CU52" s="270">
        <v>0</v>
      </c>
      <c r="CV52" s="270">
        <v>0</v>
      </c>
      <c r="CW52" s="272"/>
      <c r="CX52" s="272"/>
      <c r="CY52" s="272"/>
      <c r="CZ52" s="272"/>
      <c r="DA52" s="272"/>
      <c r="DB52" s="272"/>
      <c r="DC52" s="272"/>
      <c r="DD52" s="272"/>
      <c r="DE52" s="272"/>
      <c r="DF52" s="272"/>
      <c r="DG52" s="272"/>
      <c r="DH52" s="272"/>
      <c r="DI52" s="272"/>
      <c r="DJ52" s="272"/>
      <c r="DK52" s="272"/>
      <c r="DL52" s="272"/>
      <c r="DM52" s="272"/>
      <c r="DN52" s="272"/>
      <c r="DO52" s="272"/>
      <c r="DP52" s="272"/>
    </row>
    <row r="53" spans="1:120" s="273" customFormat="1" ht="14.25" customHeight="1" x14ac:dyDescent="0.2">
      <c r="A53" s="270"/>
      <c r="B53" s="270"/>
      <c r="C53" s="270"/>
      <c r="D53" s="270" t="s">
        <v>151</v>
      </c>
      <c r="E53" s="270" t="s">
        <v>125</v>
      </c>
      <c r="F53" s="270" t="s">
        <v>126</v>
      </c>
      <c r="G53" s="270"/>
      <c r="H53" s="270"/>
      <c r="I53" s="270"/>
      <c r="J53" s="270"/>
      <c r="K53" s="270"/>
      <c r="L53" s="270"/>
      <c r="M53" s="270"/>
      <c r="N53" s="419">
        <f>SUMIF($O$8:$AV$8,"&gt;="&amp;'CURRENT FORECAST START DATE'!$C$4,'Weekly Spend'!O53:AV53)</f>
        <v>0</v>
      </c>
      <c r="O53" s="418"/>
      <c r="P53" s="418"/>
      <c r="Q53" s="418"/>
      <c r="R53" s="418"/>
      <c r="S53" s="418"/>
      <c r="T53" s="418"/>
      <c r="U53" s="418"/>
      <c r="V53" s="418"/>
      <c r="W53" s="418"/>
      <c r="X53" s="418"/>
      <c r="Y53" s="418"/>
      <c r="Z53" s="418"/>
      <c r="AA53" s="418"/>
      <c r="AB53" s="418"/>
      <c r="AC53" s="418"/>
      <c r="AD53" s="417"/>
      <c r="AE53" s="417"/>
      <c r="AF53" s="417"/>
      <c r="AG53" s="417"/>
      <c r="AH53" s="417"/>
      <c r="AI53" s="417"/>
      <c r="AJ53" s="417"/>
      <c r="AK53" s="417"/>
      <c r="AL53" s="417"/>
      <c r="AM53" s="417">
        <v>170</v>
      </c>
      <c r="AN53" s="417">
        <v>1577.91</v>
      </c>
      <c r="AO53" s="390"/>
      <c r="AP53" s="270"/>
      <c r="AQ53" s="270"/>
      <c r="AR53" s="270"/>
      <c r="AS53" s="270"/>
      <c r="AT53" s="270"/>
      <c r="AU53" s="417"/>
      <c r="AV53" s="270"/>
      <c r="AW53" s="270"/>
      <c r="AX53" s="270"/>
      <c r="AY53" s="270"/>
      <c r="AZ53" s="270"/>
      <c r="BA53" s="270"/>
      <c r="BB53" s="270"/>
      <c r="BC53" s="270"/>
      <c r="BD53" s="270"/>
      <c r="BE53" s="270"/>
      <c r="BF53" s="270"/>
      <c r="BG53" s="270"/>
      <c r="BH53" s="270"/>
      <c r="BI53" s="270"/>
      <c r="BJ53" s="270"/>
      <c r="BK53" s="270"/>
      <c r="BL53" s="270"/>
      <c r="BM53" s="270"/>
      <c r="BN53" s="270"/>
      <c r="BO53" s="270"/>
      <c r="BP53" s="270"/>
      <c r="BQ53" s="270"/>
      <c r="BR53" s="270"/>
      <c r="BS53" s="270"/>
      <c r="BT53" s="270"/>
      <c r="BU53" s="270"/>
      <c r="BV53" s="270"/>
      <c r="BW53" s="270"/>
      <c r="BX53" s="270"/>
      <c r="BY53" s="270"/>
      <c r="BZ53" s="270"/>
      <c r="CA53" s="270"/>
      <c r="CB53" s="270"/>
      <c r="CC53" s="270"/>
      <c r="CD53" s="270"/>
      <c r="CE53" s="270"/>
      <c r="CF53" s="270"/>
      <c r="CG53" s="270"/>
      <c r="CH53" s="270"/>
      <c r="CI53" s="270"/>
      <c r="CJ53" s="270"/>
      <c r="CK53" s="270"/>
      <c r="CL53" s="270"/>
      <c r="CM53" s="270"/>
      <c r="CN53" s="270"/>
      <c r="CO53" s="270"/>
      <c r="CP53" s="270"/>
      <c r="CQ53" s="270"/>
      <c r="CR53" s="270"/>
      <c r="CS53" s="270"/>
      <c r="CT53" s="270"/>
      <c r="CU53" s="270"/>
      <c r="CV53" s="270"/>
      <c r="CW53" s="272"/>
      <c r="CX53" s="272"/>
      <c r="CY53" s="272"/>
      <c r="CZ53" s="272"/>
      <c r="DA53" s="272"/>
      <c r="DB53" s="272"/>
      <c r="DC53" s="272"/>
      <c r="DD53" s="272"/>
      <c r="DE53" s="272"/>
      <c r="DF53" s="272"/>
      <c r="DG53" s="272"/>
      <c r="DH53" s="272"/>
      <c r="DI53" s="272"/>
      <c r="DJ53" s="272"/>
      <c r="DK53" s="272"/>
      <c r="DL53" s="272"/>
      <c r="DM53" s="272"/>
      <c r="DN53" s="272"/>
      <c r="DO53" s="272"/>
      <c r="DP53" s="272"/>
    </row>
    <row r="54" spans="1:120" s="273" customFormat="1" ht="14" customHeight="1" x14ac:dyDescent="0.2">
      <c r="A54" s="269" t="s">
        <v>75</v>
      </c>
      <c r="B54" s="274"/>
      <c r="C54" s="274"/>
      <c r="D54" s="270" t="s">
        <v>19</v>
      </c>
      <c r="E54" s="270" t="s">
        <v>125</v>
      </c>
      <c r="F54" s="270" t="s">
        <v>126</v>
      </c>
      <c r="G54" s="269"/>
      <c r="H54" s="269"/>
      <c r="I54" s="269"/>
      <c r="J54" s="274"/>
      <c r="K54" s="269"/>
      <c r="L54" s="269"/>
      <c r="M54" s="269"/>
      <c r="N54" s="290">
        <f>SUMIF($O$8:$AV$8,"&gt;="&amp;'CURRENT FORECAST START DATE'!$C$4,'Weekly Spend'!O54:AV54)</f>
        <v>0</v>
      </c>
      <c r="O54" s="269">
        <v>27202.560000000001</v>
      </c>
      <c r="P54" s="269">
        <v>0</v>
      </c>
      <c r="Q54" s="269">
        <v>0</v>
      </c>
      <c r="R54" s="269">
        <v>0</v>
      </c>
      <c r="S54" s="269">
        <v>0</v>
      </c>
      <c r="T54" s="269">
        <v>0</v>
      </c>
      <c r="U54" s="269">
        <v>0</v>
      </c>
      <c r="V54" s="269">
        <v>0</v>
      </c>
      <c r="W54" s="269">
        <v>0</v>
      </c>
      <c r="X54" s="269">
        <v>0</v>
      </c>
      <c r="Y54" s="269">
        <v>0</v>
      </c>
      <c r="Z54" s="269">
        <v>0</v>
      </c>
      <c r="AA54" s="269">
        <v>0</v>
      </c>
      <c r="AB54" s="269">
        <v>0</v>
      </c>
      <c r="AC54" s="269">
        <v>0</v>
      </c>
      <c r="AD54" s="269">
        <v>0</v>
      </c>
      <c r="AE54" s="269">
        <v>0</v>
      </c>
      <c r="AF54" s="269">
        <v>0</v>
      </c>
      <c r="AG54" s="269">
        <v>0</v>
      </c>
      <c r="AH54" s="269">
        <v>0</v>
      </c>
      <c r="AI54" s="269">
        <v>0</v>
      </c>
      <c r="AJ54" s="269">
        <v>0</v>
      </c>
      <c r="AK54" s="269">
        <v>0</v>
      </c>
      <c r="AL54" s="418">
        <v>0</v>
      </c>
      <c r="AM54" s="269">
        <v>0</v>
      </c>
      <c r="AN54" s="269">
        <v>0</v>
      </c>
      <c r="AO54" s="389">
        <v>0</v>
      </c>
      <c r="AP54" s="269">
        <v>0</v>
      </c>
      <c r="AQ54" s="269">
        <v>0</v>
      </c>
      <c r="AR54" s="269">
        <v>0</v>
      </c>
      <c r="AS54" s="269">
        <v>0</v>
      </c>
      <c r="AT54" s="269">
        <v>0</v>
      </c>
      <c r="AU54" s="269">
        <v>0</v>
      </c>
      <c r="AV54" s="269">
        <v>0</v>
      </c>
      <c r="AW54" s="269">
        <v>0</v>
      </c>
      <c r="AX54" s="269">
        <v>0</v>
      </c>
      <c r="AY54" s="269">
        <v>0</v>
      </c>
      <c r="AZ54" s="269">
        <v>0</v>
      </c>
      <c r="BA54" s="270">
        <v>0</v>
      </c>
      <c r="BB54" s="270">
        <v>0</v>
      </c>
      <c r="BC54" s="270">
        <v>0</v>
      </c>
      <c r="BD54" s="269">
        <v>0</v>
      </c>
      <c r="BE54" s="269">
        <v>0</v>
      </c>
      <c r="BF54" s="269">
        <v>0</v>
      </c>
      <c r="BG54" s="269">
        <v>0</v>
      </c>
      <c r="BH54" s="269">
        <v>0</v>
      </c>
      <c r="BI54" s="269">
        <v>0</v>
      </c>
      <c r="BJ54" s="269">
        <v>0</v>
      </c>
      <c r="BK54" s="269">
        <v>0</v>
      </c>
      <c r="BL54" s="269">
        <v>0</v>
      </c>
      <c r="BM54" s="269">
        <v>0</v>
      </c>
      <c r="BN54" s="269">
        <v>0</v>
      </c>
      <c r="BO54" s="269">
        <v>0</v>
      </c>
      <c r="BP54" s="269">
        <v>0</v>
      </c>
      <c r="BQ54" s="269">
        <v>0</v>
      </c>
      <c r="BR54" s="269">
        <v>30000</v>
      </c>
      <c r="BS54" s="269">
        <v>0</v>
      </c>
      <c r="BT54" s="269">
        <v>0</v>
      </c>
      <c r="BU54" s="269">
        <v>0</v>
      </c>
      <c r="BV54" s="269">
        <v>0</v>
      </c>
      <c r="BW54" s="269">
        <v>0</v>
      </c>
      <c r="BX54" s="269">
        <v>0</v>
      </c>
      <c r="BY54" s="269">
        <v>0</v>
      </c>
      <c r="BZ54" s="269">
        <v>0</v>
      </c>
      <c r="CA54" s="269">
        <v>0</v>
      </c>
      <c r="CB54" s="269">
        <v>0</v>
      </c>
      <c r="CC54" s="269">
        <v>0</v>
      </c>
      <c r="CD54" s="269">
        <v>0</v>
      </c>
      <c r="CE54" s="269">
        <v>0</v>
      </c>
      <c r="CF54" s="269">
        <v>0</v>
      </c>
      <c r="CG54" s="269">
        <v>0</v>
      </c>
      <c r="CH54" s="269">
        <v>0</v>
      </c>
      <c r="CI54" s="269">
        <v>0</v>
      </c>
      <c r="CJ54" s="269">
        <v>0</v>
      </c>
      <c r="CK54" s="269">
        <v>0</v>
      </c>
      <c r="CL54" s="269">
        <v>0</v>
      </c>
      <c r="CM54" s="269">
        <v>0</v>
      </c>
      <c r="CN54" s="269">
        <v>0</v>
      </c>
      <c r="CO54" s="269">
        <v>0</v>
      </c>
      <c r="CP54" s="269">
        <v>0</v>
      </c>
      <c r="CQ54" s="269">
        <v>0</v>
      </c>
      <c r="CR54" s="269">
        <v>0</v>
      </c>
      <c r="CS54" s="269">
        <v>0</v>
      </c>
      <c r="CT54" s="269">
        <v>0</v>
      </c>
      <c r="CU54" s="269">
        <v>0</v>
      </c>
      <c r="CV54" s="269">
        <v>0</v>
      </c>
      <c r="CW54" s="272"/>
      <c r="CX54" s="272"/>
      <c r="CY54" s="272"/>
      <c r="CZ54" s="272"/>
      <c r="DA54" s="272"/>
      <c r="DB54" s="272"/>
      <c r="DC54" s="272"/>
      <c r="DD54" s="272"/>
      <c r="DE54" s="272"/>
      <c r="DF54" s="272"/>
      <c r="DG54" s="272"/>
      <c r="DH54" s="272"/>
      <c r="DI54" s="272"/>
      <c r="DJ54" s="272"/>
      <c r="DK54" s="272"/>
      <c r="DL54" s="272"/>
      <c r="DM54" s="272"/>
      <c r="DN54" s="272"/>
      <c r="DO54" s="272"/>
      <c r="DP54" s="272"/>
    </row>
    <row r="55" spans="1:120" s="273" customFormat="1" ht="14.25" customHeight="1" x14ac:dyDescent="0.2">
      <c r="A55" s="269" t="s">
        <v>129</v>
      </c>
      <c r="B55" s="269">
        <f>_xlfn.SINGLE(_xlfn.XLOOKUP(F55, $F$87:$F$95, $E$87:$E$95))</f>
        <v>8</v>
      </c>
      <c r="C55" s="269" t="s">
        <v>152</v>
      </c>
      <c r="D55" s="269" t="s">
        <v>153</v>
      </c>
      <c r="E55" s="269" t="s">
        <v>154</v>
      </c>
      <c r="F55" s="420" t="s">
        <v>111</v>
      </c>
      <c r="G55" s="269"/>
      <c r="H55" s="269"/>
      <c r="I55" s="269">
        <v>9000</v>
      </c>
      <c r="J55" s="269"/>
      <c r="K55" s="269"/>
      <c r="L55" s="269"/>
      <c r="M55" s="269"/>
      <c r="N55" s="290">
        <f>SUMIF($O$8:$AV$8,"&gt;="&amp;'CURRENT FORECAST START DATE'!$C$4,'Weekly Spend'!O55:AV55)</f>
        <v>0</v>
      </c>
      <c r="O55" s="269">
        <v>0</v>
      </c>
      <c r="P55" s="269">
        <v>0</v>
      </c>
      <c r="Q55" s="269">
        <v>0</v>
      </c>
      <c r="R55" s="269">
        <v>0</v>
      </c>
      <c r="S55" s="269">
        <v>0</v>
      </c>
      <c r="T55" s="269">
        <v>0</v>
      </c>
      <c r="U55" s="269">
        <v>0</v>
      </c>
      <c r="V55" s="269">
        <v>0</v>
      </c>
      <c r="W55" s="269">
        <v>0</v>
      </c>
      <c r="X55" s="269">
        <v>0</v>
      </c>
      <c r="Y55" s="269">
        <v>0</v>
      </c>
      <c r="Z55" s="269">
        <v>0</v>
      </c>
      <c r="AA55" s="269">
        <v>0</v>
      </c>
      <c r="AB55" s="269">
        <v>0</v>
      </c>
      <c r="AC55" s="269">
        <v>0</v>
      </c>
      <c r="AD55" s="269">
        <v>0</v>
      </c>
      <c r="AE55" s="269">
        <v>0</v>
      </c>
      <c r="AF55" s="269">
        <v>0</v>
      </c>
      <c r="AG55" s="269">
        <v>0</v>
      </c>
      <c r="AH55" s="269">
        <v>0</v>
      </c>
      <c r="AI55" s="269">
        <v>0</v>
      </c>
      <c r="AJ55" s="269">
        <v>0</v>
      </c>
      <c r="AK55" s="269">
        <v>0</v>
      </c>
      <c r="AL55" s="269">
        <v>0</v>
      </c>
      <c r="AM55" s="269">
        <v>0</v>
      </c>
      <c r="AN55" s="269">
        <v>0</v>
      </c>
      <c r="AO55" s="389">
        <v>0</v>
      </c>
      <c r="AP55" s="269">
        <v>0</v>
      </c>
      <c r="AQ55" s="269">
        <v>0</v>
      </c>
      <c r="AR55" s="269">
        <v>0</v>
      </c>
      <c r="AS55" s="269">
        <v>0</v>
      </c>
      <c r="AT55" s="269">
        <v>0</v>
      </c>
      <c r="AU55" s="269">
        <v>0</v>
      </c>
      <c r="AV55" s="269">
        <v>0</v>
      </c>
      <c r="AW55" s="269">
        <v>0</v>
      </c>
      <c r="AX55" s="269">
        <v>0</v>
      </c>
      <c r="AY55" s="269">
        <v>0</v>
      </c>
      <c r="AZ55" s="269">
        <v>0</v>
      </c>
      <c r="BA55" s="269">
        <v>0</v>
      </c>
      <c r="BB55" s="269">
        <v>0</v>
      </c>
      <c r="BC55" s="269">
        <v>0</v>
      </c>
      <c r="BD55" s="269">
        <v>0</v>
      </c>
      <c r="BE55" s="269">
        <v>0</v>
      </c>
      <c r="BF55" s="269">
        <v>0</v>
      </c>
      <c r="BG55" s="269">
        <v>0</v>
      </c>
      <c r="BH55" s="269">
        <v>0</v>
      </c>
      <c r="BI55" s="269">
        <v>0</v>
      </c>
      <c r="BJ55" s="269">
        <v>0</v>
      </c>
      <c r="BK55" s="269">
        <v>0</v>
      </c>
      <c r="BL55" s="269">
        <v>0</v>
      </c>
      <c r="BM55" s="269">
        <v>0</v>
      </c>
      <c r="BN55" s="269">
        <v>0</v>
      </c>
      <c r="BO55" s="269">
        <v>0</v>
      </c>
      <c r="BP55" s="269">
        <v>0</v>
      </c>
      <c r="BQ55" s="269">
        <v>0</v>
      </c>
      <c r="BR55" s="269">
        <v>0</v>
      </c>
      <c r="BS55" s="269">
        <v>0</v>
      </c>
      <c r="BT55" s="269">
        <v>0</v>
      </c>
      <c r="BU55" s="269">
        <v>0</v>
      </c>
      <c r="BV55" s="269">
        <v>0</v>
      </c>
      <c r="BW55" s="269">
        <v>0</v>
      </c>
      <c r="BX55" s="269">
        <v>0</v>
      </c>
      <c r="BY55" s="269">
        <v>0</v>
      </c>
      <c r="BZ55" s="269">
        <v>0</v>
      </c>
      <c r="CA55" s="269">
        <v>0</v>
      </c>
      <c r="CB55" s="269">
        <v>0</v>
      </c>
      <c r="CC55" s="269">
        <v>0</v>
      </c>
      <c r="CD55" s="269">
        <v>0</v>
      </c>
      <c r="CE55" s="269">
        <v>0</v>
      </c>
      <c r="CF55" s="269">
        <v>0</v>
      </c>
      <c r="CG55" s="269">
        <v>0</v>
      </c>
      <c r="CH55" s="269">
        <v>0</v>
      </c>
      <c r="CI55" s="269">
        <v>0</v>
      </c>
      <c r="CJ55" s="269">
        <v>0</v>
      </c>
      <c r="CK55" s="269">
        <v>0</v>
      </c>
      <c r="CL55" s="269">
        <v>0</v>
      </c>
      <c r="CM55" s="269">
        <v>0</v>
      </c>
      <c r="CN55" s="269">
        <v>0</v>
      </c>
      <c r="CO55" s="269">
        <v>0</v>
      </c>
      <c r="CP55" s="269">
        <v>0</v>
      </c>
      <c r="CQ55" s="269">
        <v>0</v>
      </c>
      <c r="CR55" s="269">
        <v>0</v>
      </c>
      <c r="CS55" s="269">
        <v>0</v>
      </c>
      <c r="CT55" s="269">
        <v>0</v>
      </c>
      <c r="CU55" s="269">
        <v>0</v>
      </c>
      <c r="CV55" s="269">
        <v>0</v>
      </c>
      <c r="CW55" s="272"/>
      <c r="CX55" s="272"/>
      <c r="CY55" s="272"/>
      <c r="CZ55" s="272"/>
      <c r="DA55" s="272"/>
      <c r="DB55" s="272"/>
      <c r="DC55" s="272"/>
      <c r="DD55" s="272"/>
      <c r="DE55" s="272"/>
      <c r="DF55" s="272"/>
      <c r="DG55" s="272"/>
      <c r="DH55" s="272"/>
      <c r="DI55" s="272"/>
      <c r="DJ55" s="272"/>
      <c r="DK55" s="272"/>
      <c r="DL55" s="272"/>
      <c r="DM55" s="272"/>
      <c r="DN55" s="272"/>
      <c r="DO55" s="272"/>
      <c r="DP55" s="272"/>
    </row>
    <row r="56" spans="1:120" s="273" customFormat="1" ht="14.25" customHeight="1" x14ac:dyDescent="0.2">
      <c r="A56" s="269"/>
      <c r="B56" s="269"/>
      <c r="C56" s="269"/>
      <c r="D56" s="269" t="s">
        <v>155</v>
      </c>
      <c r="E56" s="269" t="s">
        <v>156</v>
      </c>
      <c r="F56" s="269" t="s">
        <v>126</v>
      </c>
      <c r="G56" s="269"/>
      <c r="H56" s="269"/>
      <c r="I56" s="269"/>
      <c r="J56" s="269"/>
      <c r="K56" s="269"/>
      <c r="L56" s="269"/>
      <c r="M56" s="269"/>
      <c r="N56" s="290">
        <f>SUMIF($O$8:$AV$8,"&gt;="&amp;'CURRENT FORECAST START DATE'!$C$4,'Weekly Spend'!O56:AV56)</f>
        <v>20000</v>
      </c>
      <c r="O56" s="269">
        <v>0</v>
      </c>
      <c r="P56" s="269">
        <v>0</v>
      </c>
      <c r="Q56" s="269">
        <v>0</v>
      </c>
      <c r="R56" s="269">
        <v>0</v>
      </c>
      <c r="S56" s="269">
        <v>0</v>
      </c>
      <c r="T56" s="269">
        <v>0</v>
      </c>
      <c r="U56" s="269">
        <f>280.12</f>
        <v>280.12</v>
      </c>
      <c r="V56" s="269">
        <v>0</v>
      </c>
      <c r="W56" s="269">
        <f>2434.61</f>
        <v>2434.61</v>
      </c>
      <c r="X56" s="269">
        <v>523</v>
      </c>
      <c r="Y56" s="269">
        <v>0</v>
      </c>
      <c r="Z56" s="269">
        <v>10000</v>
      </c>
      <c r="AA56" s="269">
        <v>0</v>
      </c>
      <c r="AB56" s="269">
        <v>0</v>
      </c>
      <c r="AC56" s="269">
        <v>0</v>
      </c>
      <c r="AD56" s="269">
        <v>0</v>
      </c>
      <c r="AE56" s="269">
        <v>0</v>
      </c>
      <c r="AF56" s="269">
        <v>15000</v>
      </c>
      <c r="AG56" s="269">
        <v>10000</v>
      </c>
      <c r="AH56" s="269">
        <v>0</v>
      </c>
      <c r="AI56" s="269">
        <v>10000</v>
      </c>
      <c r="AJ56" s="269">
        <f>15000+196.52+1422.05</f>
        <v>16618.57</v>
      </c>
      <c r="AK56" s="269">
        <v>15000</v>
      </c>
      <c r="AL56" s="269">
        <v>0</v>
      </c>
      <c r="AM56" s="269">
        <v>0</v>
      </c>
      <c r="AN56" s="269">
        <v>10000</v>
      </c>
      <c r="AO56" s="389">
        <v>0</v>
      </c>
      <c r="AP56" s="269">
        <v>0</v>
      </c>
      <c r="AQ56" s="269">
        <v>10000</v>
      </c>
      <c r="AR56" s="269">
        <v>0</v>
      </c>
      <c r="AS56" s="269">
        <v>0</v>
      </c>
      <c r="AT56" s="269">
        <v>10000</v>
      </c>
      <c r="AU56" s="269">
        <v>0</v>
      </c>
      <c r="AV56" s="269">
        <v>0</v>
      </c>
      <c r="AW56" s="269">
        <v>0</v>
      </c>
      <c r="AX56" s="269">
        <v>0</v>
      </c>
      <c r="AY56" s="269">
        <v>20000</v>
      </c>
      <c r="AZ56" s="269">
        <v>0</v>
      </c>
      <c r="BA56" s="269">
        <v>0</v>
      </c>
      <c r="BB56" s="269">
        <v>0</v>
      </c>
      <c r="BC56" s="269">
        <v>0</v>
      </c>
      <c r="BD56" s="269">
        <v>20000</v>
      </c>
      <c r="BE56" s="269">
        <v>0</v>
      </c>
      <c r="BF56" s="269">
        <v>0</v>
      </c>
      <c r="BG56" s="269">
        <v>0</v>
      </c>
      <c r="BH56" s="269">
        <v>0</v>
      </c>
      <c r="BI56" s="269">
        <v>10000</v>
      </c>
      <c r="BJ56" s="269">
        <v>0</v>
      </c>
      <c r="BK56" s="269">
        <v>0</v>
      </c>
      <c r="BL56" s="269">
        <v>0</v>
      </c>
      <c r="BM56" s="269">
        <v>0</v>
      </c>
      <c r="BN56" s="269">
        <v>0</v>
      </c>
      <c r="BO56" s="269">
        <v>0</v>
      </c>
      <c r="BP56" s="269">
        <v>0</v>
      </c>
      <c r="BQ56" s="269">
        <v>0</v>
      </c>
      <c r="BR56" s="269">
        <v>0</v>
      </c>
      <c r="BS56" s="269">
        <v>0</v>
      </c>
      <c r="BT56" s="269">
        <v>0</v>
      </c>
      <c r="BU56" s="269">
        <v>0</v>
      </c>
      <c r="BV56" s="269">
        <v>0</v>
      </c>
      <c r="BW56" s="269">
        <v>0</v>
      </c>
      <c r="BX56" s="269">
        <v>0</v>
      </c>
      <c r="BY56" s="269">
        <v>0</v>
      </c>
      <c r="BZ56" s="269">
        <v>0</v>
      </c>
      <c r="CA56" s="269">
        <v>0</v>
      </c>
      <c r="CB56" s="269">
        <v>0</v>
      </c>
      <c r="CC56" s="269">
        <v>0</v>
      </c>
      <c r="CD56" s="269">
        <v>0</v>
      </c>
      <c r="CE56" s="269">
        <v>0</v>
      </c>
      <c r="CF56" s="269">
        <v>0</v>
      </c>
      <c r="CG56" s="269">
        <v>0</v>
      </c>
      <c r="CH56" s="269">
        <v>0</v>
      </c>
      <c r="CI56" s="269">
        <v>0</v>
      </c>
      <c r="CJ56" s="269">
        <v>0</v>
      </c>
      <c r="CK56" s="269">
        <v>0</v>
      </c>
      <c r="CL56" s="269">
        <v>0</v>
      </c>
      <c r="CM56" s="269">
        <v>0</v>
      </c>
      <c r="CN56" s="269">
        <v>0</v>
      </c>
      <c r="CO56" s="269">
        <v>0</v>
      </c>
      <c r="CP56" s="269">
        <v>0</v>
      </c>
      <c r="CQ56" s="269">
        <v>0</v>
      </c>
      <c r="CR56" s="269">
        <v>0</v>
      </c>
      <c r="CS56" s="269">
        <v>0</v>
      </c>
      <c r="CT56" s="269">
        <v>0</v>
      </c>
      <c r="CU56" s="269">
        <v>0</v>
      </c>
      <c r="CV56" s="269">
        <v>0</v>
      </c>
      <c r="CW56" s="272"/>
      <c r="CX56" s="272"/>
      <c r="CY56" s="272"/>
      <c r="CZ56" s="272"/>
      <c r="DA56" s="272"/>
      <c r="DB56" s="272"/>
      <c r="DC56" s="272"/>
      <c r="DD56" s="272"/>
      <c r="DE56" s="272"/>
      <c r="DF56" s="272"/>
      <c r="DG56" s="272"/>
      <c r="DH56" s="272"/>
      <c r="DI56" s="272"/>
      <c r="DJ56" s="272"/>
      <c r="DK56" s="272"/>
      <c r="DL56" s="272"/>
      <c r="DM56" s="272"/>
      <c r="DN56" s="272"/>
      <c r="DO56" s="272"/>
      <c r="DP56" s="272"/>
    </row>
    <row r="57" spans="1:120" s="273" customFormat="1" ht="14.25" customHeight="1" x14ac:dyDescent="0.2">
      <c r="A57" s="269"/>
      <c r="B57" s="269"/>
      <c r="C57" s="269"/>
      <c r="D57" s="269" t="s">
        <v>157</v>
      </c>
      <c r="E57" s="269" t="s">
        <v>125</v>
      </c>
      <c r="F57" s="269" t="s">
        <v>158</v>
      </c>
      <c r="G57" s="269"/>
      <c r="H57" s="269"/>
      <c r="I57" s="269"/>
      <c r="J57" s="269"/>
      <c r="K57" s="269"/>
      <c r="L57" s="269"/>
      <c r="M57" s="269"/>
      <c r="N57" s="290">
        <f>SUMIF($O$8:$AV$8,"&gt;="&amp;'CURRENT FORECAST START DATE'!$C$4,'Weekly Spend'!O57:AV57)</f>
        <v>19250</v>
      </c>
      <c r="O57" s="269"/>
      <c r="P57" s="269"/>
      <c r="Q57" s="269"/>
      <c r="R57" s="269"/>
      <c r="S57" s="269"/>
      <c r="T57" s="269"/>
      <c r="U57" s="269"/>
      <c r="V57" s="269"/>
      <c r="W57" s="269"/>
      <c r="X57" s="269"/>
      <c r="Y57" s="269"/>
      <c r="Z57" s="269">
        <v>2000</v>
      </c>
      <c r="AA57" s="269"/>
      <c r="AB57" s="269"/>
      <c r="AC57" s="269"/>
      <c r="AD57" s="269">
        <v>2000</v>
      </c>
      <c r="AE57" s="269"/>
      <c r="AF57" s="269"/>
      <c r="AG57" s="269"/>
      <c r="AH57" s="269"/>
      <c r="AI57" s="269">
        <v>4000</v>
      </c>
      <c r="AJ57" s="269">
        <f>5250+3500</f>
        <v>8750</v>
      </c>
      <c r="AK57" s="269"/>
      <c r="AL57" s="269"/>
      <c r="AM57" s="316">
        <v>4000</v>
      </c>
      <c r="AN57" s="269">
        <v>2500</v>
      </c>
      <c r="AO57" s="389"/>
      <c r="AP57" s="269">
        <v>5250</v>
      </c>
      <c r="AQ57" s="269">
        <v>6000</v>
      </c>
      <c r="AR57" s="269"/>
      <c r="AS57" s="269"/>
      <c r="AT57" s="269"/>
      <c r="AU57" s="269"/>
      <c r="AV57" s="269">
        <v>8000</v>
      </c>
      <c r="AW57" s="269"/>
      <c r="AX57" s="269"/>
      <c r="AY57" s="269"/>
      <c r="AZ57" s="269">
        <v>8000</v>
      </c>
      <c r="BA57" s="269"/>
      <c r="BB57" s="269"/>
      <c r="BC57" s="269"/>
      <c r="BD57" s="269">
        <v>8000</v>
      </c>
      <c r="BE57" s="269"/>
      <c r="BF57" s="269"/>
      <c r="BG57" s="269"/>
      <c r="BH57" s="269"/>
      <c r="BI57" s="269"/>
      <c r="BJ57" s="269"/>
      <c r="BK57" s="269"/>
      <c r="BL57" s="269"/>
      <c r="BM57" s="269"/>
      <c r="BN57" s="269"/>
      <c r="BO57" s="269"/>
      <c r="BP57" s="269"/>
      <c r="BQ57" s="269"/>
      <c r="BR57" s="269"/>
      <c r="BS57" s="269"/>
      <c r="BT57" s="269"/>
      <c r="BU57" s="269"/>
      <c r="BV57" s="269"/>
      <c r="BW57" s="269"/>
      <c r="BX57" s="269"/>
      <c r="BY57" s="269"/>
      <c r="BZ57" s="269"/>
      <c r="CA57" s="269"/>
      <c r="CB57" s="269"/>
      <c r="CC57" s="269"/>
      <c r="CD57" s="269"/>
      <c r="CE57" s="269"/>
      <c r="CF57" s="269"/>
      <c r="CG57" s="269"/>
      <c r="CH57" s="269"/>
      <c r="CI57" s="269"/>
      <c r="CJ57" s="269"/>
      <c r="CK57" s="269"/>
      <c r="CL57" s="269"/>
      <c r="CM57" s="269"/>
      <c r="CN57" s="269"/>
      <c r="CO57" s="269"/>
      <c r="CP57" s="269"/>
      <c r="CQ57" s="269"/>
      <c r="CR57" s="269"/>
      <c r="CS57" s="269"/>
      <c r="CT57" s="269"/>
      <c r="CU57" s="269"/>
      <c r="CV57" s="269"/>
      <c r="CW57" s="272"/>
      <c r="CX57" s="272"/>
      <c r="CY57" s="272"/>
      <c r="CZ57" s="272"/>
      <c r="DA57" s="272"/>
      <c r="DB57" s="272"/>
      <c r="DC57" s="272"/>
      <c r="DD57" s="272"/>
      <c r="DE57" s="272"/>
      <c r="DF57" s="272"/>
      <c r="DG57" s="272"/>
      <c r="DH57" s="272"/>
      <c r="DI57" s="272"/>
      <c r="DJ57" s="272"/>
      <c r="DK57" s="272"/>
      <c r="DL57" s="272"/>
      <c r="DM57" s="272"/>
      <c r="DN57" s="272"/>
      <c r="DO57" s="272"/>
      <c r="DP57" s="272"/>
    </row>
    <row r="58" spans="1:120" s="273" customFormat="1" ht="14.25" customHeight="1" x14ac:dyDescent="0.2">
      <c r="A58" s="269"/>
      <c r="B58" s="269"/>
      <c r="C58" s="269"/>
      <c r="D58" s="269" t="s">
        <v>159</v>
      </c>
      <c r="E58" s="269" t="s">
        <v>125</v>
      </c>
      <c r="F58" s="269" t="s">
        <v>158</v>
      </c>
      <c r="G58" s="269"/>
      <c r="H58" s="269"/>
      <c r="I58" s="269"/>
      <c r="J58" s="269"/>
      <c r="K58" s="269"/>
      <c r="L58" s="269"/>
      <c r="M58" s="269"/>
      <c r="N58" s="290">
        <f>SUMIF($O$8:$AV$8,"&gt;="&amp;'CURRENT FORECAST START DATE'!$C$4,'Weekly Spend'!O58:AV58)</f>
        <v>25000</v>
      </c>
      <c r="O58" s="269"/>
      <c r="P58" s="269"/>
      <c r="Q58" s="269"/>
      <c r="R58" s="269"/>
      <c r="S58" s="269"/>
      <c r="T58" s="269"/>
      <c r="U58" s="269"/>
      <c r="V58" s="269"/>
      <c r="W58" s="269"/>
      <c r="X58" s="269"/>
      <c r="Y58" s="269"/>
      <c r="Z58" s="269"/>
      <c r="AA58" s="269"/>
      <c r="AB58" s="303">
        <v>7000</v>
      </c>
      <c r="AC58" s="269">
        <v>6000</v>
      </c>
      <c r="AD58" s="269"/>
      <c r="AE58" s="269"/>
      <c r="AF58" s="332">
        <v>18400</v>
      </c>
      <c r="AG58" s="269"/>
      <c r="AH58" s="269"/>
      <c r="AI58" s="269"/>
      <c r="AJ58" s="269"/>
      <c r="AK58" s="269"/>
      <c r="AL58" s="269"/>
      <c r="AM58" s="269"/>
      <c r="AN58" s="269"/>
      <c r="AO58" s="389"/>
      <c r="AP58" s="269"/>
      <c r="AQ58" s="269">
        <v>25000</v>
      </c>
      <c r="AR58" s="269"/>
      <c r="AS58" s="269"/>
      <c r="AT58" s="269"/>
      <c r="AU58" s="269"/>
      <c r="AV58" s="269"/>
      <c r="AW58" s="269"/>
      <c r="AX58" s="269"/>
      <c r="AY58" s="269"/>
      <c r="AZ58" s="269"/>
      <c r="BA58" s="269">
        <f>300</f>
        <v>300</v>
      </c>
      <c r="BB58" s="269"/>
      <c r="BC58" s="269"/>
      <c r="BD58" s="269"/>
      <c r="BE58" s="269"/>
      <c r="BF58" s="269"/>
      <c r="BG58" s="269"/>
      <c r="BH58" s="269"/>
      <c r="BI58" s="269"/>
      <c r="BJ58" s="269"/>
      <c r="BK58" s="269"/>
      <c r="BL58" s="269"/>
      <c r="BM58" s="269"/>
      <c r="BN58" s="269"/>
      <c r="BO58" s="269"/>
      <c r="BP58" s="269"/>
      <c r="BQ58" s="269"/>
      <c r="BR58" s="269"/>
      <c r="BS58" s="269"/>
      <c r="BT58" s="269"/>
      <c r="BU58" s="269"/>
      <c r="BV58" s="269"/>
      <c r="BW58" s="269"/>
      <c r="BX58" s="269"/>
      <c r="BY58" s="269"/>
      <c r="BZ58" s="269"/>
      <c r="CA58" s="269"/>
      <c r="CB58" s="269"/>
      <c r="CC58" s="269"/>
      <c r="CD58" s="269"/>
      <c r="CE58" s="269"/>
      <c r="CF58" s="269"/>
      <c r="CG58" s="269"/>
      <c r="CH58" s="269"/>
      <c r="CI58" s="269"/>
      <c r="CJ58" s="269"/>
      <c r="CK58" s="269"/>
      <c r="CL58" s="269"/>
      <c r="CM58" s="269"/>
      <c r="CN58" s="269"/>
      <c r="CO58" s="269"/>
      <c r="CP58" s="269"/>
      <c r="CQ58" s="269"/>
      <c r="CR58" s="269"/>
      <c r="CS58" s="269"/>
      <c r="CT58" s="269"/>
      <c r="CU58" s="269"/>
      <c r="CV58" s="269"/>
      <c r="CW58" s="272"/>
      <c r="CX58" s="272"/>
      <c r="CY58" s="272"/>
      <c r="CZ58" s="272"/>
      <c r="DA58" s="272"/>
      <c r="DB58" s="272"/>
      <c r="DC58" s="272"/>
      <c r="DD58" s="272"/>
      <c r="DE58" s="272"/>
      <c r="DF58" s="272"/>
      <c r="DG58" s="272"/>
      <c r="DH58" s="272"/>
      <c r="DI58" s="272"/>
      <c r="DJ58" s="272"/>
      <c r="DK58" s="272"/>
      <c r="DL58" s="272"/>
      <c r="DM58" s="272"/>
      <c r="DN58" s="272"/>
      <c r="DO58" s="272"/>
      <c r="DP58" s="272"/>
    </row>
    <row r="59" spans="1:120" s="273" customFormat="1" ht="14.25" customHeight="1" x14ac:dyDescent="0.2">
      <c r="A59" s="269"/>
      <c r="B59" s="269"/>
      <c r="C59" s="269"/>
      <c r="D59" s="269" t="s">
        <v>160</v>
      </c>
      <c r="E59" s="269" t="s">
        <v>156</v>
      </c>
      <c r="F59" s="269" t="s">
        <v>158</v>
      </c>
      <c r="G59" s="269"/>
      <c r="H59" s="269"/>
      <c r="I59" s="269"/>
      <c r="J59" s="269"/>
      <c r="K59" s="269"/>
      <c r="L59" s="269"/>
      <c r="M59" s="269"/>
      <c r="N59" s="290">
        <f>SUMIF($O$8:$AV$8,"&gt;="&amp;'CURRENT FORECAST START DATE'!$C$4,'Weekly Spend'!O59:AV59)</f>
        <v>22200</v>
      </c>
      <c r="O59" s="269">
        <v>0</v>
      </c>
      <c r="P59" s="269">
        <v>0</v>
      </c>
      <c r="Q59" s="269">
        <v>0</v>
      </c>
      <c r="R59" s="269">
        <v>0</v>
      </c>
      <c r="S59" s="269">
        <v>0</v>
      </c>
      <c r="T59" s="269">
        <v>0</v>
      </c>
      <c r="U59" s="269">
        <v>3884.4</v>
      </c>
      <c r="V59" s="269">
        <v>0</v>
      </c>
      <c r="W59" s="269">
        <v>0</v>
      </c>
      <c r="X59" s="269">
        <v>0</v>
      </c>
      <c r="Y59" s="303">
        <v>6508</v>
      </c>
      <c r="Z59" s="269">
        <v>0</v>
      </c>
      <c r="AA59" s="269">
        <v>0</v>
      </c>
      <c r="AB59" s="269">
        <v>0</v>
      </c>
      <c r="AC59" s="269">
        <v>0</v>
      </c>
      <c r="AD59" s="269"/>
      <c r="AE59" s="303">
        <v>6509</v>
      </c>
      <c r="AF59" s="269">
        <v>0</v>
      </c>
      <c r="AG59" s="269">
        <v>0</v>
      </c>
      <c r="AH59" s="269">
        <v>6509</v>
      </c>
      <c r="AI59" s="269">
        <v>0</v>
      </c>
      <c r="AJ59" s="269">
        <v>0</v>
      </c>
      <c r="AK59" s="269">
        <v>0</v>
      </c>
      <c r="AL59" s="269">
        <v>0</v>
      </c>
      <c r="AM59" s="370">
        <f>'Labor Spend'!G61+'Labor Spend'!G62</f>
        <v>9500</v>
      </c>
      <c r="AN59" s="269">
        <v>0</v>
      </c>
      <c r="AO59" s="389">
        <v>0</v>
      </c>
      <c r="AP59" s="269">
        <v>0</v>
      </c>
      <c r="AQ59" s="269">
        <f>'Labor Spend'!K61+'Labor Spend'!K62</f>
        <v>11500</v>
      </c>
      <c r="AR59" s="269">
        <v>0</v>
      </c>
      <c r="AS59" s="269">
        <v>0</v>
      </c>
      <c r="AT59" s="269">
        <v>0</v>
      </c>
      <c r="AU59" s="269">
        <f>'Labor Spend'!I61+'Labor Spend'!I62</f>
        <v>10700</v>
      </c>
      <c r="AV59" s="269">
        <f>'Labor Spend'!P61</f>
        <v>0</v>
      </c>
      <c r="AW59" s="269">
        <v>0</v>
      </c>
      <c r="AX59" s="269">
        <v>0</v>
      </c>
      <c r="AY59" s="269">
        <f>'Labor Spend'!M61+'Labor Spend'!M62</f>
        <v>0</v>
      </c>
      <c r="AZ59" s="269">
        <f>'Labor Spend'!J61+'Labor Spend'!J62</f>
        <v>11500</v>
      </c>
      <c r="BA59" s="269">
        <v>0</v>
      </c>
      <c r="BB59" s="269">
        <v>0</v>
      </c>
      <c r="BC59" s="269">
        <v>0</v>
      </c>
      <c r="BD59" s="269">
        <f>'Labor Spend'!K61+'Labor Spend'!K62</f>
        <v>11500</v>
      </c>
      <c r="BE59" s="269">
        <v>0</v>
      </c>
      <c r="BF59" s="269">
        <v>0</v>
      </c>
      <c r="BG59" s="269">
        <v>0</v>
      </c>
      <c r="BH59" s="269">
        <v>8700</v>
      </c>
      <c r="BI59" s="269">
        <v>0</v>
      </c>
      <c r="BJ59" s="269">
        <v>0</v>
      </c>
      <c r="BK59" s="269">
        <v>0</v>
      </c>
      <c r="BL59" s="269">
        <v>0</v>
      </c>
      <c r="BM59" s="269">
        <v>0</v>
      </c>
      <c r="BN59" s="269">
        <v>0</v>
      </c>
      <c r="BO59" s="269">
        <v>0</v>
      </c>
      <c r="BP59" s="269">
        <v>0</v>
      </c>
      <c r="BQ59" s="269">
        <v>0</v>
      </c>
      <c r="BR59" s="269">
        <v>0</v>
      </c>
      <c r="BS59" s="269">
        <v>0</v>
      </c>
      <c r="BT59" s="269">
        <v>0</v>
      </c>
      <c r="BU59" s="269">
        <v>0</v>
      </c>
      <c r="BV59" s="269">
        <v>0</v>
      </c>
      <c r="BW59" s="269">
        <v>0</v>
      </c>
      <c r="BX59" s="269">
        <v>0</v>
      </c>
      <c r="BY59" s="269">
        <v>0</v>
      </c>
      <c r="BZ59" s="269">
        <v>0</v>
      </c>
      <c r="CA59" s="269">
        <v>0</v>
      </c>
      <c r="CB59" s="269">
        <v>0</v>
      </c>
      <c r="CC59" s="269">
        <v>0</v>
      </c>
      <c r="CD59" s="269">
        <v>0</v>
      </c>
      <c r="CE59" s="269">
        <v>0</v>
      </c>
      <c r="CF59" s="269">
        <v>0</v>
      </c>
      <c r="CG59" s="269">
        <v>0</v>
      </c>
      <c r="CH59" s="269">
        <v>0</v>
      </c>
      <c r="CI59" s="269">
        <v>0</v>
      </c>
      <c r="CJ59" s="269">
        <v>0</v>
      </c>
      <c r="CK59" s="269">
        <v>0</v>
      </c>
      <c r="CL59" s="269">
        <v>0</v>
      </c>
      <c r="CM59" s="269">
        <v>0</v>
      </c>
      <c r="CN59" s="269">
        <v>0</v>
      </c>
      <c r="CO59" s="269">
        <v>0</v>
      </c>
      <c r="CP59" s="269">
        <v>0</v>
      </c>
      <c r="CQ59" s="269">
        <v>0</v>
      </c>
      <c r="CR59" s="269">
        <v>0</v>
      </c>
      <c r="CS59" s="269">
        <v>0</v>
      </c>
      <c r="CT59" s="269">
        <v>0</v>
      </c>
      <c r="CU59" s="269">
        <v>0</v>
      </c>
      <c r="CV59" s="269">
        <v>0</v>
      </c>
      <c r="CW59" s="272"/>
      <c r="CX59" s="272"/>
      <c r="CY59" s="272"/>
      <c r="CZ59" s="272"/>
      <c r="DA59" s="272"/>
      <c r="DB59" s="272"/>
      <c r="DC59" s="272"/>
      <c r="DD59" s="272"/>
      <c r="DE59" s="272"/>
      <c r="DF59" s="272"/>
      <c r="DG59" s="272"/>
      <c r="DH59" s="272"/>
      <c r="DI59" s="272"/>
      <c r="DJ59" s="272"/>
      <c r="DK59" s="272"/>
      <c r="DL59" s="272"/>
      <c r="DM59" s="272"/>
      <c r="DN59" s="272"/>
      <c r="DO59" s="272"/>
      <c r="DP59" s="272"/>
    </row>
    <row r="60" spans="1:120" s="273" customFormat="1" ht="14.25" customHeight="1" x14ac:dyDescent="0.2">
      <c r="A60" s="269" t="s">
        <v>129</v>
      </c>
      <c r="B60" s="269">
        <f>_xlfn.SINGLE(_xlfn.XLOOKUP(F60, $F$87:$F$95, $E$87:$E$95))</f>
        <v>2</v>
      </c>
      <c r="C60" s="269" t="s">
        <v>161</v>
      </c>
      <c r="D60" s="269" t="s">
        <v>162</v>
      </c>
      <c r="E60" s="269" t="s">
        <v>163</v>
      </c>
      <c r="F60" s="269" t="s">
        <v>126</v>
      </c>
      <c r="G60" s="269"/>
      <c r="H60" s="269"/>
      <c r="I60" s="269">
        <v>800</v>
      </c>
      <c r="J60" s="269"/>
      <c r="K60" s="269"/>
      <c r="L60" s="269"/>
      <c r="M60" s="269"/>
      <c r="N60" s="290">
        <f>SUMIF($O$8:$AV$8,"&gt;="&amp;'CURRENT FORECAST START DATE'!$C$4,'Weekly Spend'!O60:AV60)</f>
        <v>0</v>
      </c>
      <c r="O60" s="269">
        <v>0</v>
      </c>
      <c r="P60" s="269">
        <v>0</v>
      </c>
      <c r="Q60" s="269">
        <v>0</v>
      </c>
      <c r="R60" s="269">
        <v>0</v>
      </c>
      <c r="S60" s="269">
        <v>0</v>
      </c>
      <c r="T60" s="269">
        <v>0</v>
      </c>
      <c r="U60" s="269">
        <v>9132.85</v>
      </c>
      <c r="V60" s="269">
        <v>0</v>
      </c>
      <c r="W60" s="269">
        <v>0</v>
      </c>
      <c r="X60" s="269">
        <v>0</v>
      </c>
      <c r="Y60" s="303">
        <v>18000</v>
      </c>
      <c r="Z60" s="269">
        <v>0</v>
      </c>
      <c r="AA60" s="269">
        <v>0</v>
      </c>
      <c r="AB60" s="269">
        <v>0</v>
      </c>
      <c r="AC60" s="269">
        <v>0</v>
      </c>
      <c r="AD60" s="269">
        <v>0</v>
      </c>
      <c r="AE60" s="269">
        <v>0</v>
      </c>
      <c r="AF60" s="269">
        <v>0</v>
      </c>
      <c r="AG60" s="269">
        <v>0</v>
      </c>
      <c r="AH60" s="269">
        <v>0</v>
      </c>
      <c r="AI60" s="269">
        <v>0</v>
      </c>
      <c r="AJ60" s="269">
        <v>0</v>
      </c>
      <c r="AK60" s="269">
        <v>0</v>
      </c>
      <c r="AL60" s="269">
        <v>0</v>
      </c>
      <c r="AM60" s="269">
        <v>0</v>
      </c>
      <c r="AN60" s="269">
        <v>0</v>
      </c>
      <c r="AO60" s="389">
        <v>0</v>
      </c>
      <c r="AP60" s="269">
        <v>0</v>
      </c>
      <c r="AQ60" s="269">
        <v>0</v>
      </c>
      <c r="AR60" s="269">
        <v>0</v>
      </c>
      <c r="AS60" s="269">
        <v>0</v>
      </c>
      <c r="AT60" s="269">
        <v>0</v>
      </c>
      <c r="AU60" s="269">
        <v>0</v>
      </c>
      <c r="AV60" s="269">
        <v>0</v>
      </c>
      <c r="AW60" s="269">
        <v>0</v>
      </c>
      <c r="AX60" s="269">
        <v>0</v>
      </c>
      <c r="AY60" s="269">
        <v>0</v>
      </c>
      <c r="AZ60" s="269">
        <v>0</v>
      </c>
      <c r="BA60" s="269">
        <v>0</v>
      </c>
      <c r="BB60" s="269">
        <v>0</v>
      </c>
      <c r="BC60" s="269">
        <v>0</v>
      </c>
      <c r="BD60" s="269">
        <v>0</v>
      </c>
      <c r="BE60" s="269">
        <v>0</v>
      </c>
      <c r="BF60" s="269">
        <v>0</v>
      </c>
      <c r="BG60" s="269">
        <v>0</v>
      </c>
      <c r="BH60" s="269">
        <v>0</v>
      </c>
      <c r="BI60" s="269">
        <v>0</v>
      </c>
      <c r="BJ60" s="269">
        <v>0</v>
      </c>
      <c r="BK60" s="269">
        <v>0</v>
      </c>
      <c r="BL60" s="269">
        <v>0</v>
      </c>
      <c r="BM60" s="269">
        <v>0</v>
      </c>
      <c r="BN60" s="269">
        <v>0</v>
      </c>
      <c r="BO60" s="269">
        <v>0</v>
      </c>
      <c r="BP60" s="269">
        <v>0</v>
      </c>
      <c r="BQ60" s="269">
        <v>0</v>
      </c>
      <c r="BR60" s="269">
        <v>0</v>
      </c>
      <c r="BS60" s="269">
        <v>0</v>
      </c>
      <c r="BT60" s="269">
        <v>0</v>
      </c>
      <c r="BU60" s="269">
        <v>0</v>
      </c>
      <c r="BV60" s="269">
        <v>0</v>
      </c>
      <c r="BW60" s="269">
        <v>0</v>
      </c>
      <c r="BX60" s="269">
        <v>0</v>
      </c>
      <c r="BY60" s="269">
        <v>0</v>
      </c>
      <c r="BZ60" s="269">
        <v>0</v>
      </c>
      <c r="CA60" s="269">
        <v>0</v>
      </c>
      <c r="CB60" s="269">
        <v>0</v>
      </c>
      <c r="CC60" s="269">
        <v>0</v>
      </c>
      <c r="CD60" s="269">
        <v>0</v>
      </c>
      <c r="CE60" s="269">
        <v>0</v>
      </c>
      <c r="CF60" s="269">
        <v>0</v>
      </c>
      <c r="CG60" s="269">
        <v>0</v>
      </c>
      <c r="CH60" s="269">
        <v>0</v>
      </c>
      <c r="CI60" s="269">
        <v>0</v>
      </c>
      <c r="CJ60" s="269">
        <v>0</v>
      </c>
      <c r="CK60" s="269">
        <v>0</v>
      </c>
      <c r="CL60" s="269">
        <v>0</v>
      </c>
      <c r="CM60" s="269">
        <v>0</v>
      </c>
      <c r="CN60" s="269">
        <v>0</v>
      </c>
      <c r="CO60" s="269">
        <v>0</v>
      </c>
      <c r="CP60" s="269">
        <v>0</v>
      </c>
      <c r="CQ60" s="269">
        <v>0</v>
      </c>
      <c r="CR60" s="269">
        <v>0</v>
      </c>
      <c r="CS60" s="269">
        <v>0</v>
      </c>
      <c r="CT60" s="269">
        <v>0</v>
      </c>
      <c r="CU60" s="269">
        <v>0</v>
      </c>
      <c r="CV60" s="269">
        <v>0</v>
      </c>
      <c r="CW60" s="272"/>
      <c r="CX60" s="272"/>
      <c r="CY60" s="272"/>
      <c r="CZ60" s="272"/>
      <c r="DA60" s="272"/>
      <c r="DB60" s="272"/>
      <c r="DC60" s="272"/>
      <c r="DD60" s="272"/>
      <c r="DE60" s="272"/>
      <c r="DF60" s="272"/>
      <c r="DG60" s="272"/>
      <c r="DH60" s="272"/>
      <c r="DI60" s="272"/>
      <c r="DJ60" s="272"/>
      <c r="DK60" s="272"/>
      <c r="DL60" s="272"/>
      <c r="DM60" s="272"/>
      <c r="DN60" s="272"/>
      <c r="DO60" s="272"/>
      <c r="DP60" s="272"/>
    </row>
    <row r="61" spans="1:120" s="273" customFormat="1" ht="14.25" customHeight="1" x14ac:dyDescent="0.2">
      <c r="A61" s="269" t="s">
        <v>129</v>
      </c>
      <c r="B61" s="269">
        <f>_xlfn.SINGLE(_xlfn.XLOOKUP(F61, $F$87:$F$95, $E$87:$E$95))</f>
        <v>4</v>
      </c>
      <c r="C61" s="269" t="s">
        <v>164</v>
      </c>
      <c r="D61" s="269" t="s">
        <v>165</v>
      </c>
      <c r="E61" s="269" t="s">
        <v>163</v>
      </c>
      <c r="F61" s="269" t="s">
        <v>158</v>
      </c>
      <c r="G61" s="269"/>
      <c r="H61" s="269"/>
      <c r="I61" s="275">
        <v>8169.12</v>
      </c>
      <c r="J61" s="269"/>
      <c r="K61" s="269"/>
      <c r="L61" s="269"/>
      <c r="M61" s="269"/>
      <c r="N61" s="290">
        <f>SUMIF($O$8:$AV$8,"&gt;="&amp;'CURRENT FORECAST START DATE'!$C$4,'Weekly Spend'!O61:AV61)</f>
        <v>3000</v>
      </c>
      <c r="O61" s="269">
        <v>0</v>
      </c>
      <c r="P61" s="269">
        <v>0</v>
      </c>
      <c r="Q61" s="269">
        <v>0</v>
      </c>
      <c r="R61" s="269">
        <v>0</v>
      </c>
      <c r="S61" s="269">
        <v>0</v>
      </c>
      <c r="T61" s="269">
        <v>0</v>
      </c>
      <c r="U61" s="269">
        <v>0</v>
      </c>
      <c r="V61" s="269">
        <v>0</v>
      </c>
      <c r="W61" s="269">
        <v>0</v>
      </c>
      <c r="X61" s="269">
        <v>0</v>
      </c>
      <c r="Y61" s="269">
        <v>0</v>
      </c>
      <c r="Z61" s="269">
        <v>1000</v>
      </c>
      <c r="AA61" s="269">
        <v>0</v>
      </c>
      <c r="AB61" s="269">
        <v>0</v>
      </c>
      <c r="AC61" s="269">
        <v>0</v>
      </c>
      <c r="AD61" s="269">
        <v>1200</v>
      </c>
      <c r="AE61" s="269">
        <v>0</v>
      </c>
      <c r="AF61" s="269">
        <v>0</v>
      </c>
      <c r="AG61" s="269">
        <v>0</v>
      </c>
      <c r="AH61" s="269">
        <v>0</v>
      </c>
      <c r="AI61" s="269">
        <v>1200</v>
      </c>
      <c r="AJ61" s="269">
        <v>0</v>
      </c>
      <c r="AK61" s="269">
        <v>0</v>
      </c>
      <c r="AL61" s="269">
        <v>0</v>
      </c>
      <c r="AM61" s="269">
        <v>1200</v>
      </c>
      <c r="AN61" s="269">
        <v>0</v>
      </c>
      <c r="AO61" s="389">
        <v>0</v>
      </c>
      <c r="AP61" s="269">
        <v>0</v>
      </c>
      <c r="AQ61" s="269">
        <v>1500</v>
      </c>
      <c r="AR61" s="269">
        <v>0</v>
      </c>
      <c r="AS61" s="269">
        <v>0</v>
      </c>
      <c r="AT61" s="269">
        <v>0</v>
      </c>
      <c r="AU61" s="269">
        <v>0</v>
      </c>
      <c r="AV61" s="269">
        <v>1500</v>
      </c>
      <c r="AW61" s="269">
        <v>0</v>
      </c>
      <c r="AX61" s="269">
        <v>0</v>
      </c>
      <c r="AY61" s="269">
        <v>0</v>
      </c>
      <c r="AZ61" s="269">
        <v>2000</v>
      </c>
      <c r="BA61" s="269">
        <v>0</v>
      </c>
      <c r="BB61" s="269">
        <v>0</v>
      </c>
      <c r="BC61" s="269">
        <v>0</v>
      </c>
      <c r="BD61" s="269">
        <v>2500</v>
      </c>
      <c r="BE61" s="269">
        <v>0</v>
      </c>
      <c r="BF61" s="269">
        <v>0</v>
      </c>
      <c r="BG61" s="269">
        <v>0</v>
      </c>
      <c r="BH61" s="269">
        <v>0</v>
      </c>
      <c r="BI61" s="269">
        <v>3000</v>
      </c>
      <c r="BJ61" s="269">
        <v>0</v>
      </c>
      <c r="BK61" s="269">
        <v>0</v>
      </c>
      <c r="BL61" s="269">
        <v>0</v>
      </c>
      <c r="BM61" s="269">
        <v>0</v>
      </c>
      <c r="BN61" s="269">
        <v>0</v>
      </c>
      <c r="BO61" s="269">
        <v>0</v>
      </c>
      <c r="BP61" s="269">
        <v>0</v>
      </c>
      <c r="BQ61" s="269">
        <v>0</v>
      </c>
      <c r="BR61" s="269">
        <v>0</v>
      </c>
      <c r="BS61" s="269">
        <v>0</v>
      </c>
      <c r="BT61" s="269">
        <v>0</v>
      </c>
      <c r="BU61" s="269">
        <v>0</v>
      </c>
      <c r="BV61" s="269">
        <v>0</v>
      </c>
      <c r="BW61" s="269">
        <v>0</v>
      </c>
      <c r="BX61" s="269">
        <v>0</v>
      </c>
      <c r="BY61" s="269">
        <v>0</v>
      </c>
      <c r="BZ61" s="269">
        <v>0</v>
      </c>
      <c r="CA61" s="269">
        <v>0</v>
      </c>
      <c r="CB61" s="269">
        <v>0</v>
      </c>
      <c r="CC61" s="269">
        <v>0</v>
      </c>
      <c r="CD61" s="269">
        <v>0</v>
      </c>
      <c r="CE61" s="269">
        <v>0</v>
      </c>
      <c r="CF61" s="269">
        <v>0</v>
      </c>
      <c r="CG61" s="269">
        <v>0</v>
      </c>
      <c r="CH61" s="269">
        <v>0</v>
      </c>
      <c r="CI61" s="269">
        <v>0</v>
      </c>
      <c r="CJ61" s="269">
        <v>0</v>
      </c>
      <c r="CK61" s="269">
        <v>0</v>
      </c>
      <c r="CL61" s="269">
        <v>0</v>
      </c>
      <c r="CM61" s="269">
        <v>0</v>
      </c>
      <c r="CN61" s="269">
        <v>0</v>
      </c>
      <c r="CO61" s="269">
        <v>0</v>
      </c>
      <c r="CP61" s="269">
        <v>0</v>
      </c>
      <c r="CQ61" s="269">
        <v>0</v>
      </c>
      <c r="CR61" s="269">
        <v>0</v>
      </c>
      <c r="CS61" s="269">
        <v>0</v>
      </c>
      <c r="CT61" s="269">
        <v>0</v>
      </c>
      <c r="CU61" s="269">
        <v>0</v>
      </c>
      <c r="CV61" s="269">
        <v>0</v>
      </c>
      <c r="CW61" s="272"/>
      <c r="CX61" s="272"/>
      <c r="CY61" s="272"/>
      <c r="CZ61" s="272"/>
      <c r="DA61" s="272"/>
      <c r="DB61" s="272"/>
      <c r="DC61" s="272"/>
      <c r="DD61" s="272"/>
      <c r="DE61" s="272"/>
      <c r="DF61" s="272"/>
      <c r="DG61" s="272"/>
      <c r="DH61" s="272"/>
      <c r="DI61" s="272"/>
      <c r="DJ61" s="272"/>
      <c r="DK61" s="272"/>
      <c r="DL61" s="272"/>
      <c r="DM61" s="272"/>
      <c r="DN61" s="272"/>
      <c r="DO61" s="272"/>
      <c r="DP61" s="272"/>
    </row>
    <row r="62" spans="1:120" s="273" customFormat="1" ht="14.25" customHeight="1" x14ac:dyDescent="0.2">
      <c r="A62" s="269"/>
      <c r="B62" s="269"/>
      <c r="C62" s="269"/>
      <c r="D62" s="269" t="s">
        <v>166</v>
      </c>
      <c r="E62" s="269" t="s">
        <v>19</v>
      </c>
      <c r="F62" s="269" t="s">
        <v>126</v>
      </c>
      <c r="G62" s="269"/>
      <c r="H62" s="269"/>
      <c r="I62" s="275"/>
      <c r="J62" s="269"/>
      <c r="K62" s="269"/>
      <c r="L62" s="269"/>
      <c r="M62" s="269"/>
      <c r="N62" s="290">
        <f>SUMIF($O$8:$AV$8,"&gt;="&amp;'CURRENT FORECAST START DATE'!$C$4,'Weekly Spend'!O62:AV62)</f>
        <v>2004</v>
      </c>
      <c r="O62" s="269">
        <v>0</v>
      </c>
      <c r="P62" s="269">
        <v>0</v>
      </c>
      <c r="Q62" s="269">
        <v>0</v>
      </c>
      <c r="R62" s="269">
        <v>0</v>
      </c>
      <c r="S62" s="269">
        <v>0</v>
      </c>
      <c r="T62" s="269">
        <v>0</v>
      </c>
      <c r="U62" s="269">
        <v>0</v>
      </c>
      <c r="V62" s="269">
        <v>4032</v>
      </c>
      <c r="W62" s="269">
        <v>0</v>
      </c>
      <c r="X62" s="269">
        <v>0</v>
      </c>
      <c r="Y62" s="304">
        <v>2004</v>
      </c>
      <c r="Z62" s="269">
        <v>0</v>
      </c>
      <c r="AA62" s="269">
        <v>0</v>
      </c>
      <c r="AB62" s="269">
        <v>0</v>
      </c>
      <c r="AC62" s="269">
        <v>0</v>
      </c>
      <c r="AD62" s="303">
        <v>2004</v>
      </c>
      <c r="AE62" s="269">
        <v>0</v>
      </c>
      <c r="AF62" s="269">
        <v>0</v>
      </c>
      <c r="AG62" s="269">
        <v>0</v>
      </c>
      <c r="AH62" s="269">
        <v>2004</v>
      </c>
      <c r="AI62" s="269">
        <v>0</v>
      </c>
      <c r="AJ62" s="269">
        <v>0</v>
      </c>
      <c r="AK62" s="269">
        <v>0</v>
      </c>
      <c r="AL62" s="269">
        <v>2004</v>
      </c>
      <c r="AM62" s="269">
        <v>0</v>
      </c>
      <c r="AN62" s="269">
        <v>0</v>
      </c>
      <c r="AO62" s="389">
        <v>2004</v>
      </c>
      <c r="AP62" s="269">
        <v>0</v>
      </c>
      <c r="AQ62" s="269"/>
      <c r="AR62" s="269">
        <v>0</v>
      </c>
      <c r="AS62" s="269">
        <v>0</v>
      </c>
      <c r="AT62" s="269">
        <v>0</v>
      </c>
      <c r="AU62" s="269">
        <v>0</v>
      </c>
      <c r="AV62" s="269">
        <v>0</v>
      </c>
      <c r="AW62" s="269">
        <v>0</v>
      </c>
      <c r="AX62" s="269">
        <v>0</v>
      </c>
      <c r="AY62" s="269">
        <v>0</v>
      </c>
      <c r="AZ62" s="269">
        <v>0</v>
      </c>
      <c r="BA62" s="269">
        <v>0</v>
      </c>
      <c r="BB62" s="269">
        <v>0</v>
      </c>
      <c r="BC62" s="269">
        <v>0</v>
      </c>
      <c r="BD62" s="269">
        <v>0</v>
      </c>
      <c r="BE62" s="269">
        <v>0</v>
      </c>
      <c r="BF62" s="269">
        <v>0</v>
      </c>
      <c r="BG62" s="269">
        <v>0</v>
      </c>
      <c r="BH62" s="269">
        <v>0</v>
      </c>
      <c r="BI62" s="269">
        <v>0</v>
      </c>
      <c r="BJ62" s="269">
        <v>0</v>
      </c>
      <c r="BK62" s="269">
        <v>0</v>
      </c>
      <c r="BL62" s="269">
        <v>0</v>
      </c>
      <c r="BM62" s="269">
        <v>0</v>
      </c>
      <c r="BN62" s="269">
        <v>0</v>
      </c>
      <c r="BO62" s="269">
        <v>0</v>
      </c>
      <c r="BP62" s="269">
        <v>0</v>
      </c>
      <c r="BQ62" s="269">
        <v>0</v>
      </c>
      <c r="BR62" s="269">
        <v>0</v>
      </c>
      <c r="BS62" s="269">
        <v>0</v>
      </c>
      <c r="BT62" s="269">
        <v>0</v>
      </c>
      <c r="BU62" s="269">
        <v>0</v>
      </c>
      <c r="BV62" s="269">
        <v>0</v>
      </c>
      <c r="BW62" s="269">
        <v>0</v>
      </c>
      <c r="BX62" s="269">
        <v>0</v>
      </c>
      <c r="BY62" s="269">
        <v>0</v>
      </c>
      <c r="BZ62" s="269">
        <v>0</v>
      </c>
      <c r="CA62" s="269">
        <v>0</v>
      </c>
      <c r="CB62" s="269">
        <v>0</v>
      </c>
      <c r="CC62" s="269">
        <v>0</v>
      </c>
      <c r="CD62" s="269">
        <v>0</v>
      </c>
      <c r="CE62" s="269">
        <v>0</v>
      </c>
      <c r="CF62" s="269">
        <v>0</v>
      </c>
      <c r="CG62" s="269">
        <v>0</v>
      </c>
      <c r="CH62" s="269">
        <v>0</v>
      </c>
      <c r="CI62" s="269">
        <v>0</v>
      </c>
      <c r="CJ62" s="269">
        <v>0</v>
      </c>
      <c r="CK62" s="269">
        <v>0</v>
      </c>
      <c r="CL62" s="269">
        <v>0</v>
      </c>
      <c r="CM62" s="269">
        <v>0</v>
      </c>
      <c r="CN62" s="269">
        <v>0</v>
      </c>
      <c r="CO62" s="269">
        <v>0</v>
      </c>
      <c r="CP62" s="269">
        <v>0</v>
      </c>
      <c r="CQ62" s="269">
        <v>0</v>
      </c>
      <c r="CR62" s="269">
        <v>0</v>
      </c>
      <c r="CS62" s="269">
        <v>0</v>
      </c>
      <c r="CT62" s="269">
        <v>0</v>
      </c>
      <c r="CU62" s="269">
        <v>0</v>
      </c>
      <c r="CV62" s="269">
        <v>0</v>
      </c>
      <c r="CW62" s="272"/>
      <c r="CX62" s="272"/>
      <c r="CY62" s="272"/>
      <c r="CZ62" s="272"/>
      <c r="DA62" s="272"/>
      <c r="DB62" s="272"/>
      <c r="DC62" s="272"/>
      <c r="DD62" s="272"/>
      <c r="DE62" s="272"/>
      <c r="DF62" s="272"/>
      <c r="DG62" s="272"/>
      <c r="DH62" s="272"/>
      <c r="DI62" s="272"/>
      <c r="DJ62" s="272"/>
      <c r="DK62" s="272"/>
      <c r="DL62" s="272"/>
      <c r="DM62" s="272"/>
      <c r="DN62" s="272"/>
      <c r="DO62" s="272"/>
      <c r="DP62" s="272"/>
    </row>
    <row r="63" spans="1:120" s="273" customFormat="1" ht="14.25" customHeight="1" x14ac:dyDescent="0.2">
      <c r="A63" s="269"/>
      <c r="B63" s="269"/>
      <c r="C63" s="269"/>
      <c r="D63" s="269" t="s">
        <v>167</v>
      </c>
      <c r="E63" s="269" t="s">
        <v>168</v>
      </c>
      <c r="F63" s="269" t="s">
        <v>126</v>
      </c>
      <c r="G63" s="269"/>
      <c r="H63" s="269"/>
      <c r="I63" s="275"/>
      <c r="J63" s="269"/>
      <c r="K63" s="269"/>
      <c r="L63" s="269"/>
      <c r="M63" s="269"/>
      <c r="N63" s="290">
        <f>SUMIF($O$8:$AV$8,"&gt;="&amp;'CURRENT FORECAST START DATE'!$C$4,'Weekly Spend'!O63:AV63)</f>
        <v>0</v>
      </c>
      <c r="O63" s="269">
        <v>0</v>
      </c>
      <c r="P63" s="269">
        <v>0</v>
      </c>
      <c r="Q63" s="269">
        <v>0</v>
      </c>
      <c r="R63" s="269">
        <v>0</v>
      </c>
      <c r="S63" s="269">
        <v>0</v>
      </c>
      <c r="T63" s="269">
        <v>0</v>
      </c>
      <c r="U63" s="269">
        <v>0</v>
      </c>
      <c r="V63" s="269">
        <v>0</v>
      </c>
      <c r="W63" s="269">
        <v>0</v>
      </c>
      <c r="X63" s="269">
        <v>0</v>
      </c>
      <c r="Y63" s="304">
        <v>5000</v>
      </c>
      <c r="Z63" s="269">
        <v>0</v>
      </c>
      <c r="AA63" s="269">
        <v>0</v>
      </c>
      <c r="AB63" s="269">
        <v>0</v>
      </c>
      <c r="AC63" s="269">
        <v>0</v>
      </c>
      <c r="AD63" s="269">
        <v>0</v>
      </c>
      <c r="AE63" s="269">
        <v>0</v>
      </c>
      <c r="AF63" s="269">
        <v>0</v>
      </c>
      <c r="AG63" s="269">
        <v>0</v>
      </c>
      <c r="AH63" s="269">
        <v>0</v>
      </c>
      <c r="AI63" s="269">
        <v>0</v>
      </c>
      <c r="AJ63" s="269">
        <v>0</v>
      </c>
      <c r="AK63" s="269">
        <v>0</v>
      </c>
      <c r="AL63" s="269">
        <v>0</v>
      </c>
      <c r="AM63" s="269">
        <v>0</v>
      </c>
      <c r="AN63" s="269">
        <v>0</v>
      </c>
      <c r="AO63" s="389">
        <v>0</v>
      </c>
      <c r="AP63" s="269">
        <v>0</v>
      </c>
      <c r="AQ63" s="269">
        <v>0</v>
      </c>
      <c r="AR63" s="269">
        <v>0</v>
      </c>
      <c r="AS63" s="269">
        <v>0</v>
      </c>
      <c r="AT63" s="269">
        <v>0</v>
      </c>
      <c r="AU63" s="269">
        <v>0</v>
      </c>
      <c r="AV63" s="269">
        <v>0</v>
      </c>
      <c r="AW63" s="269">
        <v>0</v>
      </c>
      <c r="AX63" s="269">
        <v>0</v>
      </c>
      <c r="AY63" s="269">
        <v>0</v>
      </c>
      <c r="AZ63" s="269">
        <v>0</v>
      </c>
      <c r="BA63" s="269">
        <v>0</v>
      </c>
      <c r="BB63" s="269">
        <v>0</v>
      </c>
      <c r="BC63" s="269">
        <v>0</v>
      </c>
      <c r="BD63" s="269">
        <v>0</v>
      </c>
      <c r="BE63" s="269">
        <v>0</v>
      </c>
      <c r="BF63" s="269">
        <v>0</v>
      </c>
      <c r="BG63" s="269">
        <v>0</v>
      </c>
      <c r="BH63" s="269">
        <v>0</v>
      </c>
      <c r="BI63" s="269">
        <v>0</v>
      </c>
      <c r="BJ63" s="269">
        <v>0</v>
      </c>
      <c r="BK63" s="269">
        <v>0</v>
      </c>
      <c r="BL63" s="269">
        <v>0</v>
      </c>
      <c r="BM63" s="269">
        <v>0</v>
      </c>
      <c r="BN63" s="269">
        <v>0</v>
      </c>
      <c r="BO63" s="269">
        <v>0</v>
      </c>
      <c r="BP63" s="269">
        <v>0</v>
      </c>
      <c r="BQ63" s="269">
        <v>0</v>
      </c>
      <c r="BR63" s="269">
        <v>0</v>
      </c>
      <c r="BS63" s="269">
        <v>0</v>
      </c>
      <c r="BT63" s="269">
        <v>0</v>
      </c>
      <c r="BU63" s="269">
        <v>0</v>
      </c>
      <c r="BV63" s="269">
        <v>0</v>
      </c>
      <c r="BW63" s="269">
        <v>0</v>
      </c>
      <c r="BX63" s="269">
        <v>0</v>
      </c>
      <c r="BY63" s="269">
        <v>0</v>
      </c>
      <c r="BZ63" s="269">
        <v>0</v>
      </c>
      <c r="CA63" s="269">
        <v>0</v>
      </c>
      <c r="CB63" s="269">
        <v>0</v>
      </c>
      <c r="CC63" s="269">
        <v>0</v>
      </c>
      <c r="CD63" s="269">
        <v>0</v>
      </c>
      <c r="CE63" s="269">
        <v>0</v>
      </c>
      <c r="CF63" s="269">
        <v>0</v>
      </c>
      <c r="CG63" s="269">
        <v>0</v>
      </c>
      <c r="CH63" s="269">
        <v>0</v>
      </c>
      <c r="CI63" s="269">
        <v>0</v>
      </c>
      <c r="CJ63" s="269">
        <v>0</v>
      </c>
      <c r="CK63" s="269">
        <v>0</v>
      </c>
      <c r="CL63" s="269">
        <v>0</v>
      </c>
      <c r="CM63" s="269">
        <v>0</v>
      </c>
      <c r="CN63" s="269">
        <v>0</v>
      </c>
      <c r="CO63" s="269">
        <v>0</v>
      </c>
      <c r="CP63" s="269">
        <v>0</v>
      </c>
      <c r="CQ63" s="269">
        <v>0</v>
      </c>
      <c r="CR63" s="269">
        <v>0</v>
      </c>
      <c r="CS63" s="269">
        <v>0</v>
      </c>
      <c r="CT63" s="269">
        <v>0</v>
      </c>
      <c r="CU63" s="269">
        <v>0</v>
      </c>
      <c r="CV63" s="269">
        <v>0</v>
      </c>
      <c r="CW63" s="272"/>
      <c r="CX63" s="272"/>
      <c r="CY63" s="272"/>
      <c r="CZ63" s="272"/>
      <c r="DA63" s="272"/>
      <c r="DB63" s="272"/>
      <c r="DC63" s="272"/>
      <c r="DD63" s="272"/>
      <c r="DE63" s="272"/>
      <c r="DF63" s="272"/>
      <c r="DG63" s="272"/>
      <c r="DH63" s="272"/>
      <c r="DI63" s="272"/>
      <c r="DJ63" s="272"/>
      <c r="DK63" s="272"/>
      <c r="DL63" s="272"/>
      <c r="DM63" s="272"/>
      <c r="DN63" s="272"/>
      <c r="DO63" s="272"/>
      <c r="DP63" s="272"/>
    </row>
    <row r="64" spans="1:120" s="273" customFormat="1" ht="14.25" customHeight="1" x14ac:dyDescent="0.2">
      <c r="A64" s="269"/>
      <c r="B64" s="269"/>
      <c r="C64" s="269"/>
      <c r="D64" s="269" t="s">
        <v>169</v>
      </c>
      <c r="E64" s="269" t="s">
        <v>170</v>
      </c>
      <c r="F64" s="269" t="s">
        <v>126</v>
      </c>
      <c r="G64" s="269"/>
      <c r="H64" s="269"/>
      <c r="I64" s="275"/>
      <c r="J64" s="269"/>
      <c r="K64" s="269"/>
      <c r="L64" s="269"/>
      <c r="M64" s="269"/>
      <c r="N64" s="290">
        <f>SUMIF($O$8:$AV$8,"&gt;="&amp;'CURRENT FORECAST START DATE'!$C$4,'Weekly Spend'!O64:AV64)</f>
        <v>0</v>
      </c>
      <c r="O64" s="269">
        <v>0</v>
      </c>
      <c r="P64" s="269">
        <v>0</v>
      </c>
      <c r="Q64" s="269">
        <v>0</v>
      </c>
      <c r="R64" s="269">
        <v>0</v>
      </c>
      <c r="S64" s="269">
        <v>0</v>
      </c>
      <c r="T64" s="269">
        <v>0</v>
      </c>
      <c r="U64" s="269">
        <v>0</v>
      </c>
      <c r="V64" s="269">
        <v>0</v>
      </c>
      <c r="W64" s="269">
        <v>0</v>
      </c>
      <c r="X64" s="269">
        <v>0</v>
      </c>
      <c r="Y64" s="269">
        <v>0</v>
      </c>
      <c r="Z64" s="269">
        <v>0</v>
      </c>
      <c r="AA64" s="269"/>
      <c r="AB64" s="269">
        <v>0</v>
      </c>
      <c r="AC64" s="269">
        <v>0</v>
      </c>
      <c r="AD64" s="316"/>
      <c r="AE64" s="269">
        <v>0</v>
      </c>
      <c r="AF64" s="269">
        <v>0</v>
      </c>
      <c r="AG64" s="269">
        <v>0</v>
      </c>
      <c r="AH64" s="269">
        <v>0</v>
      </c>
      <c r="AI64" s="316">
        <v>4500</v>
      </c>
      <c r="AJ64" s="269">
        <v>0</v>
      </c>
      <c r="AK64" s="269">
        <v>0</v>
      </c>
      <c r="AL64" s="269">
        <v>0</v>
      </c>
      <c r="AM64" s="269"/>
      <c r="AN64" s="269">
        <v>0</v>
      </c>
      <c r="AO64" s="389">
        <v>0</v>
      </c>
      <c r="AP64" s="269">
        <v>0</v>
      </c>
      <c r="AQ64" s="269">
        <v>0</v>
      </c>
      <c r="AR64" s="269">
        <v>0</v>
      </c>
      <c r="AS64" s="269">
        <v>0</v>
      </c>
      <c r="AT64" s="269">
        <v>0</v>
      </c>
      <c r="AU64" s="269">
        <v>0</v>
      </c>
      <c r="AV64" s="269">
        <v>0</v>
      </c>
      <c r="AW64" s="269">
        <v>0</v>
      </c>
      <c r="AX64" s="269">
        <v>0</v>
      </c>
      <c r="AY64" s="269">
        <v>0</v>
      </c>
      <c r="AZ64" s="269">
        <v>0</v>
      </c>
      <c r="BA64" s="269">
        <v>5000</v>
      </c>
      <c r="BB64" s="269">
        <v>0</v>
      </c>
      <c r="BC64" s="269">
        <v>0</v>
      </c>
      <c r="BD64" s="269">
        <v>0</v>
      </c>
      <c r="BE64" s="269">
        <v>0</v>
      </c>
      <c r="BF64" s="269">
        <v>0</v>
      </c>
      <c r="BG64" s="269">
        <v>0</v>
      </c>
      <c r="BH64" s="269">
        <v>0</v>
      </c>
      <c r="BI64" s="269">
        <v>0</v>
      </c>
      <c r="BJ64" s="269">
        <v>0</v>
      </c>
      <c r="BK64" s="269">
        <v>0</v>
      </c>
      <c r="BL64" s="269">
        <v>0</v>
      </c>
      <c r="BM64" s="269">
        <v>0</v>
      </c>
      <c r="BN64" s="269">
        <v>5000</v>
      </c>
      <c r="BO64" s="269">
        <v>0</v>
      </c>
      <c r="BP64" s="269">
        <v>0</v>
      </c>
      <c r="BQ64" s="269">
        <v>0</v>
      </c>
      <c r="BR64" s="269">
        <v>0</v>
      </c>
      <c r="BS64" s="269">
        <v>0</v>
      </c>
      <c r="BT64" s="269">
        <v>0</v>
      </c>
      <c r="BU64" s="269">
        <v>0</v>
      </c>
      <c r="BV64" s="269">
        <v>0</v>
      </c>
      <c r="BW64" s="269">
        <v>0</v>
      </c>
      <c r="BX64" s="269">
        <v>0</v>
      </c>
      <c r="BY64" s="269">
        <v>0</v>
      </c>
      <c r="BZ64" s="269">
        <v>0</v>
      </c>
      <c r="CA64" s="269">
        <v>5000</v>
      </c>
      <c r="CB64" s="269">
        <v>0</v>
      </c>
      <c r="CC64" s="269">
        <v>0</v>
      </c>
      <c r="CD64" s="269">
        <v>0</v>
      </c>
      <c r="CE64" s="269">
        <v>0</v>
      </c>
      <c r="CF64" s="269">
        <v>0</v>
      </c>
      <c r="CG64" s="269">
        <v>0</v>
      </c>
      <c r="CH64" s="269">
        <v>0</v>
      </c>
      <c r="CI64" s="269">
        <v>0</v>
      </c>
      <c r="CJ64" s="269">
        <v>0</v>
      </c>
      <c r="CK64" s="269">
        <v>0</v>
      </c>
      <c r="CL64" s="269">
        <v>0</v>
      </c>
      <c r="CM64" s="269">
        <v>0</v>
      </c>
      <c r="CN64" s="269">
        <v>0</v>
      </c>
      <c r="CO64" s="269">
        <v>0</v>
      </c>
      <c r="CP64" s="269">
        <v>0</v>
      </c>
      <c r="CQ64" s="269">
        <v>0</v>
      </c>
      <c r="CR64" s="269">
        <v>0</v>
      </c>
      <c r="CS64" s="269">
        <v>0</v>
      </c>
      <c r="CT64" s="269">
        <v>0</v>
      </c>
      <c r="CU64" s="269">
        <v>0</v>
      </c>
      <c r="CV64" s="269">
        <v>0</v>
      </c>
      <c r="CW64" s="272"/>
      <c r="CX64" s="272"/>
      <c r="CY64" s="272"/>
      <c r="CZ64" s="272"/>
      <c r="DA64" s="272"/>
      <c r="DB64" s="272"/>
      <c r="DC64" s="272"/>
      <c r="DD64" s="272"/>
      <c r="DE64" s="272"/>
      <c r="DF64" s="272"/>
      <c r="DG64" s="272"/>
      <c r="DH64" s="272"/>
      <c r="DI64" s="272"/>
      <c r="DJ64" s="272"/>
      <c r="DK64" s="272"/>
      <c r="DL64" s="272"/>
      <c r="DM64" s="272"/>
      <c r="DN64" s="272"/>
      <c r="DO64" s="272"/>
      <c r="DP64" s="272"/>
    </row>
    <row r="65" spans="1:120" s="273" customFormat="1" ht="14.25" customHeight="1" x14ac:dyDescent="0.2">
      <c r="A65" s="269"/>
      <c r="B65" s="269"/>
      <c r="C65" s="269"/>
      <c r="D65" s="269" t="s">
        <v>167</v>
      </c>
      <c r="E65" s="269" t="s">
        <v>171</v>
      </c>
      <c r="F65" s="269" t="s">
        <v>126</v>
      </c>
      <c r="G65" s="269"/>
      <c r="H65" s="269"/>
      <c r="I65" s="275"/>
      <c r="J65" s="269"/>
      <c r="K65" s="269"/>
      <c r="L65" s="269"/>
      <c r="M65" s="269"/>
      <c r="N65" s="290">
        <f>SUMIF($O$8:$AV$8,"&gt;="&amp;'CURRENT FORECAST START DATE'!$C$4,'Weekly Spend'!O65:AV65)</f>
        <v>0</v>
      </c>
      <c r="O65" s="269">
        <v>0</v>
      </c>
      <c r="P65" s="269">
        <v>0</v>
      </c>
      <c r="Q65" s="269">
        <v>0</v>
      </c>
      <c r="R65" s="269">
        <v>0</v>
      </c>
      <c r="S65" s="269">
        <v>0</v>
      </c>
      <c r="T65" s="269">
        <v>0</v>
      </c>
      <c r="U65" s="269">
        <v>0</v>
      </c>
      <c r="V65" s="269">
        <v>0</v>
      </c>
      <c r="W65" s="269">
        <v>0</v>
      </c>
      <c r="X65" s="269">
        <v>0</v>
      </c>
      <c r="Y65" s="269">
        <v>0</v>
      </c>
      <c r="Z65" s="269">
        <v>0</v>
      </c>
      <c r="AA65" s="269">
        <v>0</v>
      </c>
      <c r="AB65" s="269">
        <v>0</v>
      </c>
      <c r="AC65" s="269">
        <v>0</v>
      </c>
      <c r="AD65" s="269">
        <v>0</v>
      </c>
      <c r="AE65" s="269">
        <v>0</v>
      </c>
      <c r="AF65" s="269">
        <v>0</v>
      </c>
      <c r="AG65" s="269">
        <v>0</v>
      </c>
      <c r="AH65" s="269">
        <v>0</v>
      </c>
      <c r="AI65" s="269">
        <v>0</v>
      </c>
      <c r="AJ65" s="269">
        <v>0</v>
      </c>
      <c r="AK65" s="269">
        <v>0</v>
      </c>
      <c r="AL65" s="269">
        <v>0</v>
      </c>
      <c r="AM65" s="269">
        <v>0</v>
      </c>
      <c r="AN65" s="269">
        <v>0</v>
      </c>
      <c r="AO65" s="389">
        <v>0</v>
      </c>
      <c r="AP65" s="269">
        <v>0</v>
      </c>
      <c r="AQ65" s="269">
        <v>0</v>
      </c>
      <c r="AR65" s="269">
        <v>0</v>
      </c>
      <c r="AS65" s="269">
        <v>0</v>
      </c>
      <c r="AT65" s="269">
        <v>0</v>
      </c>
      <c r="AU65" s="269">
        <v>0</v>
      </c>
      <c r="AV65" s="269">
        <v>0</v>
      </c>
      <c r="AW65" s="269">
        <v>0</v>
      </c>
      <c r="AX65" s="269">
        <v>0</v>
      </c>
      <c r="AY65" s="269">
        <v>0</v>
      </c>
      <c r="AZ65" s="269">
        <v>0</v>
      </c>
      <c r="BA65" s="269">
        <v>0</v>
      </c>
      <c r="BB65" s="269">
        <v>0</v>
      </c>
      <c r="BC65" s="269">
        <v>0</v>
      </c>
      <c r="BD65" s="269">
        <v>0</v>
      </c>
      <c r="BE65" s="269">
        <v>0</v>
      </c>
      <c r="BF65" s="269">
        <v>0</v>
      </c>
      <c r="BG65" s="269">
        <v>0</v>
      </c>
      <c r="BH65" s="269">
        <v>0</v>
      </c>
      <c r="BI65" s="269">
        <v>0</v>
      </c>
      <c r="BJ65" s="269">
        <v>0</v>
      </c>
      <c r="BK65" s="269">
        <v>0</v>
      </c>
      <c r="BL65" s="269">
        <v>0</v>
      </c>
      <c r="BM65" s="269">
        <v>0</v>
      </c>
      <c r="BN65" s="269">
        <v>0</v>
      </c>
      <c r="BO65" s="269">
        <v>0</v>
      </c>
      <c r="BP65" s="269">
        <v>0</v>
      </c>
      <c r="BQ65" s="269">
        <v>0</v>
      </c>
      <c r="BR65" s="269">
        <v>0</v>
      </c>
      <c r="BS65" s="269">
        <v>0</v>
      </c>
      <c r="BT65" s="269">
        <v>0</v>
      </c>
      <c r="BU65" s="269">
        <v>0</v>
      </c>
      <c r="BV65" s="269">
        <v>0</v>
      </c>
      <c r="BW65" s="269">
        <v>0</v>
      </c>
      <c r="BX65" s="269">
        <v>0</v>
      </c>
      <c r="BY65" s="269">
        <v>0</v>
      </c>
      <c r="BZ65" s="269">
        <v>0</v>
      </c>
      <c r="CA65" s="269">
        <v>0</v>
      </c>
      <c r="CB65" s="269">
        <v>0</v>
      </c>
      <c r="CC65" s="269">
        <v>0</v>
      </c>
      <c r="CD65" s="269">
        <v>0</v>
      </c>
      <c r="CE65" s="269">
        <v>0</v>
      </c>
      <c r="CF65" s="269">
        <v>0</v>
      </c>
      <c r="CG65" s="269">
        <v>0</v>
      </c>
      <c r="CH65" s="269">
        <v>0</v>
      </c>
      <c r="CI65" s="269">
        <v>0</v>
      </c>
      <c r="CJ65" s="269">
        <v>0</v>
      </c>
      <c r="CK65" s="269">
        <v>0</v>
      </c>
      <c r="CL65" s="269">
        <v>0</v>
      </c>
      <c r="CM65" s="269">
        <v>0</v>
      </c>
      <c r="CN65" s="269">
        <v>0</v>
      </c>
      <c r="CO65" s="269">
        <v>0</v>
      </c>
      <c r="CP65" s="269">
        <v>0</v>
      </c>
      <c r="CQ65" s="269">
        <v>0</v>
      </c>
      <c r="CR65" s="269">
        <v>0</v>
      </c>
      <c r="CS65" s="269">
        <v>0</v>
      </c>
      <c r="CT65" s="269">
        <v>0</v>
      </c>
      <c r="CU65" s="269">
        <v>0</v>
      </c>
      <c r="CV65" s="269">
        <v>0</v>
      </c>
      <c r="CW65" s="272"/>
      <c r="CX65" s="272"/>
      <c r="CY65" s="272"/>
      <c r="CZ65" s="272"/>
      <c r="DA65" s="272"/>
      <c r="DB65" s="272"/>
      <c r="DC65" s="272"/>
      <c r="DD65" s="272"/>
      <c r="DE65" s="272"/>
      <c r="DF65" s="272"/>
      <c r="DG65" s="272"/>
      <c r="DH65" s="272"/>
      <c r="DI65" s="272"/>
      <c r="DJ65" s="272"/>
      <c r="DK65" s="272"/>
      <c r="DL65" s="272"/>
      <c r="DM65" s="272"/>
      <c r="DN65" s="272"/>
      <c r="DO65" s="272"/>
      <c r="DP65" s="272"/>
    </row>
    <row r="66" spans="1:120" s="273" customFormat="1" ht="14.25" customHeight="1" x14ac:dyDescent="0.2">
      <c r="A66" s="269"/>
      <c r="B66" s="269"/>
      <c r="C66" s="269"/>
      <c r="D66" s="269" t="s">
        <v>167</v>
      </c>
      <c r="E66" s="269" t="s">
        <v>172</v>
      </c>
      <c r="F66" s="269" t="s">
        <v>126</v>
      </c>
      <c r="G66" s="269"/>
      <c r="H66" s="269"/>
      <c r="I66" s="275"/>
      <c r="J66" s="269"/>
      <c r="K66" s="269"/>
      <c r="L66" s="269"/>
      <c r="M66" s="269"/>
      <c r="N66" s="290">
        <f>SUMIF($O$8:$AV$8,"&gt;="&amp;'CURRENT FORECAST START DATE'!$C$4,'Weekly Spend'!O66:AV66)</f>
        <v>0</v>
      </c>
      <c r="O66" s="269">
        <v>0</v>
      </c>
      <c r="P66" s="269">
        <v>0</v>
      </c>
      <c r="Q66" s="269">
        <v>0</v>
      </c>
      <c r="R66" s="269">
        <v>0</v>
      </c>
      <c r="S66" s="269">
        <v>0</v>
      </c>
      <c r="T66" s="269">
        <v>0</v>
      </c>
      <c r="U66" s="269">
        <v>0</v>
      </c>
      <c r="V66" s="269">
        <v>0</v>
      </c>
      <c r="W66" s="269">
        <v>0</v>
      </c>
      <c r="X66" s="269">
        <v>0</v>
      </c>
      <c r="Y66" s="269">
        <v>0</v>
      </c>
      <c r="Z66" s="269">
        <v>0</v>
      </c>
      <c r="AA66" s="269">
        <v>0</v>
      </c>
      <c r="AB66" s="269">
        <v>0</v>
      </c>
      <c r="AC66" s="269">
        <v>0</v>
      </c>
      <c r="AD66" s="269">
        <v>0</v>
      </c>
      <c r="AE66" s="269">
        <v>0</v>
      </c>
      <c r="AF66" s="269">
        <v>0</v>
      </c>
      <c r="AG66" s="269">
        <v>0</v>
      </c>
      <c r="AH66" s="269">
        <v>0</v>
      </c>
      <c r="AI66" s="269">
        <v>0</v>
      </c>
      <c r="AJ66" s="269">
        <v>0</v>
      </c>
      <c r="AK66" s="269">
        <v>0</v>
      </c>
      <c r="AL66" s="269">
        <v>0</v>
      </c>
      <c r="AM66" s="269">
        <v>0</v>
      </c>
      <c r="AN66" s="269">
        <v>0</v>
      </c>
      <c r="AO66" s="389">
        <v>0</v>
      </c>
      <c r="AP66" s="269">
        <v>0</v>
      </c>
      <c r="AQ66" s="269">
        <v>0</v>
      </c>
      <c r="AR66" s="269">
        <v>0</v>
      </c>
      <c r="AS66" s="269">
        <v>0</v>
      </c>
      <c r="AT66" s="269">
        <v>0</v>
      </c>
      <c r="AU66" s="269">
        <v>0</v>
      </c>
      <c r="AV66" s="269">
        <v>0</v>
      </c>
      <c r="AW66" s="269">
        <v>0</v>
      </c>
      <c r="AX66" s="269">
        <v>0</v>
      </c>
      <c r="AY66" s="269">
        <v>0</v>
      </c>
      <c r="AZ66" s="269">
        <v>0</v>
      </c>
      <c r="BA66" s="269">
        <v>0</v>
      </c>
      <c r="BB66" s="269">
        <v>0</v>
      </c>
      <c r="BC66" s="269">
        <v>0</v>
      </c>
      <c r="BD66" s="269">
        <v>0</v>
      </c>
      <c r="BE66" s="269">
        <v>0</v>
      </c>
      <c r="BF66" s="269">
        <v>0</v>
      </c>
      <c r="BG66" s="269">
        <v>0</v>
      </c>
      <c r="BH66" s="269">
        <v>0</v>
      </c>
      <c r="BI66" s="269">
        <v>0</v>
      </c>
      <c r="BJ66" s="269">
        <v>0</v>
      </c>
      <c r="BK66" s="269">
        <v>0</v>
      </c>
      <c r="BL66" s="269">
        <v>0</v>
      </c>
      <c r="BM66" s="269">
        <v>0</v>
      </c>
      <c r="BN66" s="269">
        <v>0</v>
      </c>
      <c r="BO66" s="269">
        <v>0</v>
      </c>
      <c r="BP66" s="269">
        <v>0</v>
      </c>
      <c r="BQ66" s="269">
        <v>0</v>
      </c>
      <c r="BR66" s="269">
        <v>0</v>
      </c>
      <c r="BS66" s="269">
        <v>0</v>
      </c>
      <c r="BT66" s="269">
        <v>0</v>
      </c>
      <c r="BU66" s="269">
        <v>0</v>
      </c>
      <c r="BV66" s="269">
        <v>0</v>
      </c>
      <c r="BW66" s="269">
        <v>0</v>
      </c>
      <c r="BX66" s="269">
        <v>0</v>
      </c>
      <c r="BY66" s="269">
        <v>0</v>
      </c>
      <c r="BZ66" s="269">
        <v>0</v>
      </c>
      <c r="CA66" s="269">
        <v>0</v>
      </c>
      <c r="CB66" s="269">
        <v>0</v>
      </c>
      <c r="CC66" s="269">
        <v>0</v>
      </c>
      <c r="CD66" s="269">
        <v>0</v>
      </c>
      <c r="CE66" s="269">
        <v>0</v>
      </c>
      <c r="CF66" s="269">
        <v>0</v>
      </c>
      <c r="CG66" s="269">
        <v>0</v>
      </c>
      <c r="CH66" s="269">
        <v>0</v>
      </c>
      <c r="CI66" s="269">
        <v>0</v>
      </c>
      <c r="CJ66" s="269">
        <v>0</v>
      </c>
      <c r="CK66" s="269">
        <v>0</v>
      </c>
      <c r="CL66" s="269">
        <v>0</v>
      </c>
      <c r="CM66" s="269">
        <v>0</v>
      </c>
      <c r="CN66" s="269">
        <v>0</v>
      </c>
      <c r="CO66" s="269">
        <v>0</v>
      </c>
      <c r="CP66" s="269">
        <v>0</v>
      </c>
      <c r="CQ66" s="269">
        <v>0</v>
      </c>
      <c r="CR66" s="269">
        <v>0</v>
      </c>
      <c r="CS66" s="269">
        <v>0</v>
      </c>
      <c r="CT66" s="269">
        <v>0</v>
      </c>
      <c r="CU66" s="269">
        <v>0</v>
      </c>
      <c r="CV66" s="269">
        <v>0</v>
      </c>
      <c r="CW66" s="272"/>
      <c r="CX66" s="272"/>
      <c r="CY66" s="272"/>
      <c r="CZ66" s="272"/>
      <c r="DA66" s="272"/>
      <c r="DB66" s="272"/>
      <c r="DC66" s="272"/>
      <c r="DD66" s="272"/>
      <c r="DE66" s="272"/>
      <c r="DF66" s="272"/>
      <c r="DG66" s="272"/>
      <c r="DH66" s="272"/>
      <c r="DI66" s="272"/>
      <c r="DJ66" s="272"/>
      <c r="DK66" s="272"/>
      <c r="DL66" s="272"/>
      <c r="DM66" s="272"/>
      <c r="DN66" s="272"/>
      <c r="DO66" s="272"/>
      <c r="DP66" s="272"/>
    </row>
    <row r="67" spans="1:120" s="273" customFormat="1" ht="14.25" customHeight="1" x14ac:dyDescent="0.2">
      <c r="A67" s="269"/>
      <c r="B67" s="269"/>
      <c r="C67" s="269"/>
      <c r="D67" s="269" t="s">
        <v>173</v>
      </c>
      <c r="E67" s="269" t="s">
        <v>174</v>
      </c>
      <c r="F67" s="269" t="s">
        <v>64</v>
      </c>
      <c r="G67" s="269"/>
      <c r="H67" s="269"/>
      <c r="I67" s="275"/>
      <c r="J67" s="269"/>
      <c r="K67" s="269"/>
      <c r="L67" s="269"/>
      <c r="M67" s="269"/>
      <c r="N67" s="290">
        <f>SUMIF($O$8:$AV$8,"&gt;="&amp;'CURRENT FORECAST START DATE'!$C$4,'Weekly Spend'!O67:AV67)</f>
        <v>0</v>
      </c>
      <c r="O67" s="269"/>
      <c r="P67" s="269"/>
      <c r="Q67" s="269"/>
      <c r="R67" s="269"/>
      <c r="S67" s="269"/>
      <c r="T67" s="269"/>
      <c r="U67" s="269"/>
      <c r="V67" s="269"/>
      <c r="W67" s="269"/>
      <c r="X67" s="269"/>
      <c r="Y67" s="269"/>
      <c r="Z67" s="269"/>
      <c r="AA67" s="269"/>
      <c r="AB67" s="269"/>
      <c r="AC67" s="303">
        <v>10468</v>
      </c>
      <c r="AD67" s="269"/>
      <c r="AE67" s="269"/>
      <c r="AF67" s="269"/>
      <c r="AG67" s="269"/>
      <c r="AH67" s="269"/>
      <c r="AI67" s="269"/>
      <c r="AJ67" s="269"/>
      <c r="AK67" s="269"/>
      <c r="AL67" s="269"/>
      <c r="AM67" s="269"/>
      <c r="AN67" s="269"/>
      <c r="AO67" s="389"/>
      <c r="AP67" s="269"/>
      <c r="AQ67" s="269"/>
      <c r="AR67" s="269"/>
      <c r="AS67" s="269"/>
      <c r="AT67" s="269"/>
      <c r="AU67" s="269"/>
      <c r="AV67" s="269"/>
      <c r="AW67" s="269"/>
      <c r="AX67" s="269"/>
      <c r="AY67" s="269"/>
      <c r="AZ67" s="269"/>
      <c r="BA67" s="269"/>
      <c r="BB67" s="269"/>
      <c r="BC67" s="269"/>
      <c r="BD67" s="269"/>
      <c r="BE67" s="269"/>
      <c r="BF67" s="269"/>
      <c r="BG67" s="269"/>
      <c r="BH67" s="269"/>
      <c r="BI67" s="269"/>
      <c r="BJ67" s="269"/>
      <c r="BK67" s="269"/>
      <c r="BL67" s="269"/>
      <c r="BM67" s="269"/>
      <c r="BN67" s="269"/>
      <c r="BO67" s="269"/>
      <c r="BP67" s="269"/>
      <c r="BQ67" s="269"/>
      <c r="BR67" s="269"/>
      <c r="BS67" s="269"/>
      <c r="BT67" s="269"/>
      <c r="BU67" s="269"/>
      <c r="BV67" s="269"/>
      <c r="BW67" s="269"/>
      <c r="BX67" s="269"/>
      <c r="BY67" s="269"/>
      <c r="BZ67" s="269"/>
      <c r="CA67" s="269"/>
      <c r="CB67" s="269"/>
      <c r="CC67" s="269"/>
      <c r="CD67" s="269"/>
      <c r="CE67" s="269"/>
      <c r="CF67" s="269"/>
      <c r="CG67" s="269"/>
      <c r="CH67" s="269"/>
      <c r="CI67" s="269"/>
      <c r="CJ67" s="269"/>
      <c r="CK67" s="269"/>
      <c r="CL67" s="269"/>
      <c r="CM67" s="269"/>
      <c r="CN67" s="269"/>
      <c r="CO67" s="269"/>
      <c r="CP67" s="269"/>
      <c r="CQ67" s="269"/>
      <c r="CR67" s="269"/>
      <c r="CS67" s="269"/>
      <c r="CT67" s="269"/>
      <c r="CU67" s="269"/>
      <c r="CV67" s="269"/>
      <c r="CW67" s="272"/>
      <c r="CX67" s="272"/>
      <c r="CY67" s="272"/>
      <c r="CZ67" s="272"/>
      <c r="DA67" s="272"/>
      <c r="DB67" s="272"/>
      <c r="DC67" s="272"/>
      <c r="DD67" s="272"/>
      <c r="DE67" s="272"/>
      <c r="DF67" s="272"/>
      <c r="DG67" s="272"/>
      <c r="DH67" s="272"/>
      <c r="DI67" s="272"/>
      <c r="DJ67" s="272"/>
      <c r="DK67" s="272"/>
      <c r="DL67" s="272"/>
      <c r="DM67" s="272"/>
      <c r="DN67" s="272"/>
      <c r="DO67" s="272"/>
      <c r="DP67" s="272"/>
    </row>
    <row r="68" spans="1:120" s="273" customFormat="1" ht="14.25" customHeight="1" x14ac:dyDescent="0.2">
      <c r="A68" s="269"/>
      <c r="B68" s="269"/>
      <c r="C68" s="269"/>
      <c r="D68" s="269" t="s">
        <v>175</v>
      </c>
      <c r="E68" s="269" t="s">
        <v>174</v>
      </c>
      <c r="F68" s="269" t="s">
        <v>64</v>
      </c>
      <c r="G68" s="269"/>
      <c r="H68" s="269"/>
      <c r="I68" s="275"/>
      <c r="J68" s="269"/>
      <c r="K68" s="269"/>
      <c r="L68" s="269"/>
      <c r="M68" s="269"/>
      <c r="N68" s="290"/>
      <c r="O68" s="269"/>
      <c r="P68" s="269"/>
      <c r="Q68" s="269"/>
      <c r="R68" s="269"/>
      <c r="S68" s="269"/>
      <c r="T68" s="269"/>
      <c r="U68" s="269"/>
      <c r="V68" s="269"/>
      <c r="W68" s="269"/>
      <c r="X68" s="269"/>
      <c r="Y68" s="269"/>
      <c r="Z68" s="269"/>
      <c r="AA68" s="269"/>
      <c r="AB68" s="269"/>
      <c r="AC68" s="303"/>
      <c r="AD68" s="269"/>
      <c r="AE68" s="269"/>
      <c r="AF68" s="269"/>
      <c r="AG68" s="269"/>
      <c r="AH68" s="269"/>
      <c r="AI68" s="303">
        <v>18722.2</v>
      </c>
      <c r="AJ68" s="269"/>
      <c r="AK68" s="269"/>
      <c r="AL68" s="269"/>
      <c r="AM68" s="269"/>
      <c r="AN68" s="269"/>
      <c r="AO68" s="389"/>
      <c r="AP68" s="269"/>
      <c r="AQ68" s="269"/>
      <c r="AR68" s="269"/>
      <c r="AS68" s="269"/>
      <c r="AT68" s="269"/>
      <c r="AU68" s="269"/>
      <c r="AV68" s="269"/>
      <c r="AW68" s="269"/>
      <c r="AX68" s="269"/>
      <c r="AY68" s="269"/>
      <c r="AZ68" s="269"/>
      <c r="BA68" s="269"/>
      <c r="BB68" s="269"/>
      <c r="BC68" s="269"/>
      <c r="BD68" s="269"/>
      <c r="BE68" s="269"/>
      <c r="BF68" s="269"/>
      <c r="BG68" s="269"/>
      <c r="BH68" s="269"/>
      <c r="BI68" s="269"/>
      <c r="BJ68" s="269"/>
      <c r="BK68" s="269"/>
      <c r="BL68" s="269"/>
      <c r="BM68" s="269"/>
      <c r="BN68" s="269"/>
      <c r="BO68" s="269"/>
      <c r="BP68" s="269"/>
      <c r="BQ68" s="269"/>
      <c r="BR68" s="269"/>
      <c r="BS68" s="269"/>
      <c r="BT68" s="269"/>
      <c r="BU68" s="269"/>
      <c r="BV68" s="269"/>
      <c r="BW68" s="269"/>
      <c r="BX68" s="269"/>
      <c r="BY68" s="269"/>
      <c r="BZ68" s="269"/>
      <c r="CA68" s="269"/>
      <c r="CB68" s="269"/>
      <c r="CC68" s="269"/>
      <c r="CD68" s="269"/>
      <c r="CE68" s="269"/>
      <c r="CF68" s="269"/>
      <c r="CG68" s="269"/>
      <c r="CH68" s="269"/>
      <c r="CI68" s="269"/>
      <c r="CJ68" s="269"/>
      <c r="CK68" s="269"/>
      <c r="CL68" s="269"/>
      <c r="CM68" s="269"/>
      <c r="CN68" s="269"/>
      <c r="CO68" s="269"/>
      <c r="CP68" s="269"/>
      <c r="CQ68" s="269"/>
      <c r="CR68" s="269"/>
      <c r="CS68" s="269"/>
      <c r="CT68" s="269"/>
      <c r="CU68" s="269"/>
      <c r="CV68" s="269"/>
      <c r="CW68" s="272"/>
      <c r="CX68" s="272"/>
      <c r="CY68" s="272"/>
      <c r="CZ68" s="272"/>
      <c r="DA68" s="272"/>
      <c r="DB68" s="272"/>
      <c r="DC68" s="272"/>
      <c r="DD68" s="272"/>
      <c r="DE68" s="272"/>
      <c r="DF68" s="272"/>
      <c r="DG68" s="272"/>
      <c r="DH68" s="272"/>
      <c r="DI68" s="272"/>
      <c r="DJ68" s="272"/>
      <c r="DK68" s="272"/>
      <c r="DL68" s="272"/>
      <c r="DM68" s="272"/>
      <c r="DN68" s="272"/>
      <c r="DO68" s="272"/>
      <c r="DP68" s="272"/>
    </row>
    <row r="69" spans="1:120" s="273" customFormat="1" ht="14.25" customHeight="1" x14ac:dyDescent="0.2">
      <c r="A69" s="269"/>
      <c r="B69" s="269"/>
      <c r="C69" s="269"/>
      <c r="D69" s="269" t="s">
        <v>176</v>
      </c>
      <c r="E69" s="269" t="s">
        <v>110</v>
      </c>
      <c r="F69" s="270" t="s">
        <v>158</v>
      </c>
      <c r="G69" s="269"/>
      <c r="H69" s="269"/>
      <c r="I69" s="275"/>
      <c r="J69" s="269"/>
      <c r="K69" s="269"/>
      <c r="L69" s="269"/>
      <c r="M69" s="269"/>
      <c r="N69" s="290">
        <f>SUMIF($O$8:$AV$8,"&gt;="&amp;'CURRENT FORECAST START DATE'!$C$4,'Weekly Spend'!O69:AV69)</f>
        <v>0</v>
      </c>
      <c r="O69" s="269"/>
      <c r="P69" s="269"/>
      <c r="Q69" s="269"/>
      <c r="R69" s="269"/>
      <c r="S69" s="269"/>
      <c r="T69" s="269"/>
      <c r="U69" s="269"/>
      <c r="V69" s="269"/>
      <c r="W69" s="269"/>
      <c r="X69" s="269"/>
      <c r="Y69" s="269"/>
      <c r="Z69" s="269"/>
      <c r="AA69" s="269"/>
      <c r="AB69" s="269"/>
      <c r="AC69" s="303"/>
      <c r="AD69" s="303">
        <v>6500</v>
      </c>
      <c r="AE69" s="269"/>
      <c r="AF69" s="269"/>
      <c r="AG69" s="269"/>
      <c r="AH69" s="269"/>
      <c r="AI69" s="269"/>
      <c r="AJ69" s="269"/>
      <c r="AK69" s="269"/>
      <c r="AL69" s="269"/>
      <c r="AM69" s="269"/>
      <c r="AN69" s="269"/>
      <c r="AO69" s="389"/>
      <c r="AP69" s="269"/>
      <c r="AQ69" s="269"/>
      <c r="AR69" s="269"/>
      <c r="AS69" s="269"/>
      <c r="AT69" s="269"/>
      <c r="AU69" s="269"/>
      <c r="AV69" s="269"/>
      <c r="AW69" s="269"/>
      <c r="AX69" s="269"/>
      <c r="AY69" s="269"/>
      <c r="AZ69" s="269"/>
      <c r="BA69" s="269"/>
      <c r="BB69" s="269"/>
      <c r="BC69" s="269"/>
      <c r="BD69" s="269"/>
      <c r="BE69" s="269"/>
      <c r="BF69" s="269"/>
      <c r="BG69" s="269"/>
      <c r="BH69" s="269"/>
      <c r="BI69" s="269"/>
      <c r="BJ69" s="269"/>
      <c r="BK69" s="269"/>
      <c r="BL69" s="269"/>
      <c r="BM69" s="269"/>
      <c r="BN69" s="269"/>
      <c r="BO69" s="269"/>
      <c r="BP69" s="269"/>
      <c r="BQ69" s="269"/>
      <c r="BR69" s="269"/>
      <c r="BS69" s="269"/>
      <c r="BT69" s="269"/>
      <c r="BU69" s="269"/>
      <c r="BV69" s="269"/>
      <c r="BW69" s="269"/>
      <c r="BX69" s="269"/>
      <c r="BY69" s="269"/>
      <c r="BZ69" s="269"/>
      <c r="CA69" s="269"/>
      <c r="CB69" s="269"/>
      <c r="CC69" s="269"/>
      <c r="CD69" s="269"/>
      <c r="CE69" s="269"/>
      <c r="CF69" s="269"/>
      <c r="CG69" s="269"/>
      <c r="CH69" s="269"/>
      <c r="CI69" s="269"/>
      <c r="CJ69" s="269"/>
      <c r="CK69" s="269"/>
      <c r="CL69" s="269"/>
      <c r="CM69" s="269"/>
      <c r="CN69" s="269"/>
      <c r="CO69" s="269"/>
      <c r="CP69" s="269"/>
      <c r="CQ69" s="269"/>
      <c r="CR69" s="269"/>
      <c r="CS69" s="269"/>
      <c r="CT69" s="269"/>
      <c r="CU69" s="269"/>
      <c r="CV69" s="269"/>
      <c r="CW69" s="272"/>
      <c r="CX69" s="272"/>
      <c r="CY69" s="272"/>
      <c r="CZ69" s="272"/>
      <c r="DA69" s="272"/>
      <c r="DB69" s="272"/>
      <c r="DC69" s="272"/>
      <c r="DD69" s="272"/>
      <c r="DE69" s="272"/>
      <c r="DF69" s="272"/>
      <c r="DG69" s="272"/>
      <c r="DH69" s="272"/>
      <c r="DI69" s="272"/>
      <c r="DJ69" s="272"/>
      <c r="DK69" s="272"/>
      <c r="DL69" s="272"/>
      <c r="DM69" s="272"/>
      <c r="DN69" s="272"/>
      <c r="DO69" s="272"/>
      <c r="DP69" s="272"/>
    </row>
    <row r="70" spans="1:120" s="273" customFormat="1" ht="14.25" customHeight="1" x14ac:dyDescent="0.2">
      <c r="A70" s="270" t="s">
        <v>120</v>
      </c>
      <c r="B70" s="270">
        <f>_xlfn.SINGLE(_xlfn.XLOOKUP(F70, $F$87:$F$95, $E$87:$E$95))</f>
        <v>4</v>
      </c>
      <c r="C70" s="270" t="s">
        <v>177</v>
      </c>
      <c r="D70" s="366" t="s">
        <v>178</v>
      </c>
      <c r="E70" s="270" t="s">
        <v>110</v>
      </c>
      <c r="F70" s="270" t="s">
        <v>158</v>
      </c>
      <c r="G70" s="270">
        <f t="array" ref="G70">INDEX('SC Cost File'!$A$2:$AB$31,MATCH($C70,'SC Cost File'!$A$2:$A$31,0),MATCH(G$7,'SC Cost File'!$A$2:$AB$2,0))/COUNTIF($G$7:$CV$7,G$7)</f>
        <v>0</v>
      </c>
      <c r="H70" s="270">
        <f t="array" ref="H70">INDEX('SC Cost File'!$A$2:$AB$31,MATCH($C70,'SC Cost File'!$A$2:$A$31,0),MATCH(H$7,'SC Cost File'!$A$2:$AB$2,0))/COUNTIF($G$7:$CV$7,H$7)</f>
        <v>0</v>
      </c>
      <c r="I70" s="270">
        <f t="array" ref="I70">INDEX('SC Cost File'!$A$2:$AB$31,MATCH($C70,'SC Cost File'!$A$2:$A$31,0),MATCH(I$7,'SC Cost File'!$A$2:$AB$2,0))/COUNTIF($G$7:$CV$7,I$7)</f>
        <v>0</v>
      </c>
      <c r="J70" s="270">
        <f t="array" ref="J70">INDEX('SC Cost File'!$A$2:$AB$31,MATCH($C70,'SC Cost File'!$A$2:$A$31,0),MATCH(J$7,'SC Cost File'!$A$2:$AB$2,0))/COUNTIF($G$7:$CV$7,J$7)</f>
        <v>0</v>
      </c>
      <c r="K70" s="270">
        <f t="array" ref="K70">INDEX('SC Cost File'!$A$2:$AB$31,MATCH($C70,'SC Cost File'!$A$2:$A$31,0),MATCH(K$7,'SC Cost File'!$A$2:$AB$2,0))/COUNTIF($G$7:$CV$7,K$7)</f>
        <v>0</v>
      </c>
      <c r="L70" s="270">
        <f t="array" ref="L70">INDEX('SC Cost File'!$A$2:$AB$31,MATCH($C70,'SC Cost File'!$A$2:$A$31,0),MATCH(L$7,'SC Cost File'!$A$2:$AB$2,0))/COUNTIF($G$7:$CV$7,L$7)</f>
        <v>0</v>
      </c>
      <c r="M70" s="270">
        <f t="array" ref="M70">INDEX('SC Cost File'!$A$2:$AB$31,MATCH($C70,'SC Cost File'!$A$2:$A$31,0),MATCH(M$7,'SC Cost File'!$A$2:$AB$2,0))/COUNTIF($G$7:$CV$7,M$7)</f>
        <v>0</v>
      </c>
      <c r="N70" s="289">
        <f>SUMIF($O$8:$AV$8,"&gt;="&amp;'CURRENT FORECAST START DATE'!$C$4,'Weekly Spend'!O70:AV70)</f>
        <v>0</v>
      </c>
      <c r="O70" s="270">
        <f t="array" ref="O70">INDEX('SC Cost File'!$A$2:$AB$31,MATCH($C70,'SC Cost File'!$A$2:$A$31,0),MATCH(O$7,'SC Cost File'!$A$2:$AB$2,0))/COUNTIF($G$7:$CV$7,O$7)</f>
        <v>0</v>
      </c>
      <c r="P70" s="270">
        <f t="array" ref="P70">INDEX('SC Cost File'!$A$2:$AB$31,MATCH($C70,'SC Cost File'!$A$2:$A$31,0),MATCH(P$7,'SC Cost File'!$A$2:$AB$2,0))/COUNTIF($G$7:$CV$7,P$7)</f>
        <v>0</v>
      </c>
      <c r="Q70" s="270">
        <f t="array" ref="Q70">INDEX('SC Cost File'!$A$2:$AB$31,MATCH($C70,'SC Cost File'!$A$2:$A$31,0),MATCH(Q$7,'SC Cost File'!$A$2:$AB$2,0))/COUNTIF($G$7:$CV$7,Q$7)</f>
        <v>0</v>
      </c>
      <c r="R70" s="270">
        <f t="array" ref="R70">INDEX('SC Cost File'!$A$2:$AB$31,MATCH($C70,'SC Cost File'!$A$2:$A$31,0),MATCH(R$7,'SC Cost File'!$A$2:$AB$2,0))/COUNTIF($G$7:$CV$7,R$7)</f>
        <v>0</v>
      </c>
      <c r="S70" s="270">
        <f t="array" ref="S70">INDEX('SC Cost File'!$A$2:$AB$31,MATCH($C70,'SC Cost File'!$A$2:$A$31,0),MATCH(S$7,'SC Cost File'!$A$2:$AB$2,0))/COUNTIF($G$7:$CV$7,S$7)</f>
        <v>0</v>
      </c>
      <c r="T70" s="270">
        <f t="array" ref="T70">INDEX('SC Cost File'!$A$2:$AB$31,MATCH($C70,'SC Cost File'!$A$2:$A$31,0),MATCH(T$7,'SC Cost File'!$A$2:$AB$2,0))/COUNTIF($G$7:$CV$7,T$7)</f>
        <v>0</v>
      </c>
      <c r="U70" s="270">
        <f t="array" ref="U70">INDEX('SC Cost File'!$A$2:$AB$31,MATCH($C70,'SC Cost File'!$A$2:$A$31,0),MATCH(U$7,'SC Cost File'!$A$2:$AB$2,0))/COUNTIF($G$7:$CV$7,U$7)</f>
        <v>0</v>
      </c>
      <c r="V70" s="270">
        <f t="array" ref="V70">INDEX('SC Cost File'!$A$2:$AB$31,MATCH($C70,'SC Cost File'!$A$2:$A$31,0),MATCH(V$7,'SC Cost File'!$A$2:$AB$2,0))/COUNTIF($G$7:$CV$7,V$7)</f>
        <v>0</v>
      </c>
      <c r="W70" s="270">
        <f t="array" ref="W70">INDEX('SC Cost File'!$A$2:$AB$31,MATCH($C70,'SC Cost File'!$A$2:$A$31,0),MATCH(W$7,'SC Cost File'!$A$2:$AB$2,0))/COUNTIF($G$7:$CV$7,W$7)</f>
        <v>1125</v>
      </c>
      <c r="X70" s="270">
        <f t="array" ref="X70">INDEX('SC Cost File'!$A$2:$AB$31,MATCH($C70,'SC Cost File'!$A$2:$A$31,0),MATCH(X$7,'SC Cost File'!$A$2:$AB$2,0))/COUNTIF($G$7:$CV$7,X$7)</f>
        <v>1125</v>
      </c>
      <c r="Y70" s="270">
        <f t="array" ref="Y70">INDEX('SC Cost File'!$A$2:$AB$31,MATCH($C70,'SC Cost File'!$A$2:$A$31,0),MATCH(Y$7,'SC Cost File'!$A$2:$AB$2,0))/COUNTIF($G$7:$CV$7,Y$7)</f>
        <v>1125</v>
      </c>
      <c r="Z70" s="270">
        <f t="array" ref="Z70">INDEX('SC Cost File'!$A$2:$AB$31,MATCH($C70,'SC Cost File'!$A$2:$A$31,0),MATCH(Z$7,'SC Cost File'!$A$2:$AB$2,0))/COUNTIF($G$7:$CV$7,Z$7)</f>
        <v>1125</v>
      </c>
      <c r="AA70" s="270">
        <f t="array" ref="AA70">INDEX('SC Cost File'!$A$2:$AB$31,MATCH($C70,'SC Cost File'!$A$2:$A$31,0),MATCH(AA$7,'SC Cost File'!$A$2:$AB$2,0))/COUNTIF($G$7:$CV$7,AA$7)</f>
        <v>1125</v>
      </c>
      <c r="AB70" s="270">
        <f t="array" ref="AB70">INDEX('SC Cost File'!$A$2:$AB$31,MATCH($C70,'SC Cost File'!$A$2:$A$31,0),MATCH(AB$7,'SC Cost File'!$A$2:$AB$2,0))/COUNTIF($G$7:$CV$7,AB$7)</f>
        <v>1125</v>
      </c>
      <c r="AC70" s="270">
        <f t="array" ref="AC70">INDEX('SC Cost File'!$A$2:$AB$31,MATCH($C70,'SC Cost File'!$A$2:$A$31,0),MATCH(AC$7,'SC Cost File'!$A$2:$AB$2,0))/COUNTIF($G$7:$CV$7,AC$7)</f>
        <v>1125</v>
      </c>
      <c r="AD70" s="270">
        <f t="array" ref="AD70">INDEX('SC Cost File'!$A$2:$AB$31,MATCH($C70,'SC Cost File'!$A$2:$A$31,0),MATCH(AD$7,'SC Cost File'!$A$2:$AB$2,0))/COUNTIF($G$7:$CV$7,AD$7)</f>
        <v>1125</v>
      </c>
      <c r="AE70" s="270">
        <f t="array" ref="AE70">INDEX('SC Cost File'!$A$2:$AB$31,MATCH($C70,'SC Cost File'!$A$2:$A$31,0),MATCH(AE$7,'SC Cost File'!$A$2:$AB$2,0))/COUNTIF($G$7:$CV$7,AE$7)</f>
        <v>900</v>
      </c>
      <c r="AF70" s="270">
        <f t="array" ref="AF70">INDEX('SC Cost File'!$A$2:$AB$31,MATCH($C70,'SC Cost File'!$A$2:$A$31,0),MATCH(AF$7,'SC Cost File'!$A$2:$AB$2,0))/COUNTIF($G$7:$CV$7,AF$7)</f>
        <v>900</v>
      </c>
      <c r="AG70" s="270">
        <f t="array" ref="AG70">INDEX('SC Cost File'!$A$2:$AB$31,MATCH($C70,'SC Cost File'!$A$2:$A$31,0),MATCH(AG$7,'SC Cost File'!$A$2:$AB$2,0))/COUNTIF($G$7:$CV$7,AG$7)</f>
        <v>900</v>
      </c>
      <c r="AH70" s="270">
        <f t="array" ref="AH70">INDEX('SC Cost File'!$A$2:$AB$31,MATCH($C70,'SC Cost File'!$A$2:$A$31,0),MATCH(AH$7,'SC Cost File'!$A$2:$AB$2,0))/COUNTIF($G$7:$CV$7,AH$7)</f>
        <v>900</v>
      </c>
      <c r="AI70" s="270">
        <f t="array" ref="AI70">INDEX('SC Cost File'!$A$2:$AB$31,MATCH($C70,'SC Cost File'!$A$2:$A$31,0),MATCH(AI$7,'SC Cost File'!$A$2:$AB$2,0))/COUNTIF($G$7:$CV$7,AI$7)</f>
        <v>900</v>
      </c>
      <c r="AJ70" s="270">
        <f t="array" ref="AJ70">INDEX('SC Cost File'!$A$2:$AB$31,MATCH($C70,'SC Cost File'!$A$2:$A$31,0),MATCH(AJ$7,'SC Cost File'!$A$2:$AB$2,0))/COUNTIF($G$7:$CV$7,AJ$7)</f>
        <v>1125</v>
      </c>
      <c r="AK70" s="270">
        <f t="array" ref="AK70">INDEX('SC Cost File'!$A$2:$AB$31,MATCH($C70,'SC Cost File'!$A$2:$A$31,0),MATCH(AK$7,'SC Cost File'!$A$2:$AB$2,0))/COUNTIF($G$7:$CV$7,AK$7)</f>
        <v>1125</v>
      </c>
      <c r="AL70" s="270">
        <f t="array" ref="AL70">INDEX('SC Cost File'!$A$2:$AB$31,MATCH($C70,'SC Cost File'!$A$2:$A$31,0),MATCH(AL$7,'SC Cost File'!$A$2:$AB$2,0))/COUNTIF($G$7:$CV$7,AL$7)</f>
        <v>1125</v>
      </c>
      <c r="AM70" s="270">
        <f t="array" ref="AM70">INDEX('SC Cost File'!$A$2:$AB$31,MATCH($C70,'SC Cost File'!$A$2:$A$31,0),MATCH(AM$7,'SC Cost File'!$A$2:$AB$2,0))/COUNTIF($G$7:$CV$7,AM$7)</f>
        <v>1125</v>
      </c>
      <c r="AN70" s="270"/>
      <c r="AO70" s="390"/>
      <c r="AP70" s="270"/>
      <c r="AQ70" s="270"/>
      <c r="AR70" s="270"/>
      <c r="AS70" s="270"/>
      <c r="AT70" s="270"/>
      <c r="AU70" s="270"/>
      <c r="AV70" s="270"/>
      <c r="AW70" s="270">
        <f t="array" ref="AW70">INDEX('SC Cost File'!$A$2:$AB$31,MATCH($C70,'SC Cost File'!$A$2:$A$31,0),MATCH(AW$7,'SC Cost File'!$A$2:$AB$2,0))/COUNTIF($G$7:$CV$7,AW$7)</f>
        <v>2500</v>
      </c>
      <c r="AX70" s="270">
        <f t="array" ref="AX70">INDEX('SC Cost File'!$A$2:$AB$31,MATCH($C70,'SC Cost File'!$A$2:$A$31,0),MATCH(AX$7,'SC Cost File'!$A$2:$AB$2,0))/COUNTIF($G$7:$CV$7,AX$7)</f>
        <v>2500</v>
      </c>
      <c r="AY70" s="270">
        <f t="array" ref="AY70">INDEX('SC Cost File'!$A$2:$AB$31,MATCH($C70,'SC Cost File'!$A$2:$A$31,0),MATCH(AY$7,'SC Cost File'!$A$2:$AB$2,0))/COUNTIF($G$7:$CV$7,AY$7)</f>
        <v>2500</v>
      </c>
      <c r="AZ70" s="270">
        <f t="array" ref="AZ70">INDEX('SC Cost File'!$A$2:$AB$31,MATCH($C70,'SC Cost File'!$A$2:$A$31,0),MATCH(AZ$7,'SC Cost File'!$A$2:$AB$2,0))/COUNTIF($G$7:$CV$7,AZ$7)</f>
        <v>2500</v>
      </c>
      <c r="BA70" s="270">
        <f t="array" ref="BA70">INDEX('SC Cost File'!$A$2:$AB$31,MATCH($C70,'SC Cost File'!$A$2:$A$31,0),MATCH(BA$7,'SC Cost File'!$A$2:$AB$2,0))/COUNTIF($G$7:$CV$7,BA$7)</f>
        <v>2500</v>
      </c>
      <c r="BB70" s="270">
        <f t="array" ref="BB70">INDEX('SC Cost File'!$A$2:$AB$31,MATCH($C70,'SC Cost File'!$A$2:$A$31,0),MATCH(BB$7,'SC Cost File'!$A$2:$AB$2,0))/COUNTIF($G$7:$CV$7,BB$7)</f>
        <v>2500</v>
      </c>
      <c r="BC70" s="270">
        <f t="array" ref="BC70">INDEX('SC Cost File'!$A$2:$AB$31,MATCH($C70,'SC Cost File'!$A$2:$A$31,0),MATCH(BC$7,'SC Cost File'!$A$2:$AB$2,0))/COUNTIF($G$7:$CV$7,BC$7)</f>
        <v>2500</v>
      </c>
      <c r="BD70" s="270">
        <f t="array" ref="BD70">INDEX('SC Cost File'!$A$2:$AB$31,MATCH($C70,'SC Cost File'!$A$2:$A$31,0),MATCH(BD$7,'SC Cost File'!$A$2:$AB$2,0))/COUNTIF($G$7:$CV$7,BD$7)</f>
        <v>2500</v>
      </c>
      <c r="BE70" s="270">
        <f t="array" ref="BE70">INDEX('SC Cost File'!$A$2:$AB$31,MATCH($C70,'SC Cost File'!$A$2:$A$31,0),MATCH(BE$7,'SC Cost File'!$A$2:$AB$2,0))/COUNTIF($G$7:$CV$7,BE$7)</f>
        <v>2000</v>
      </c>
      <c r="BF70" s="270">
        <f t="array" ref="BF70">INDEX('SC Cost File'!$A$2:$AB$31,MATCH($C70,'SC Cost File'!$A$2:$A$31,0),MATCH(BF$7,'SC Cost File'!$A$2:$AB$2,0))/COUNTIF($G$7:$CV$7,BF$7)</f>
        <v>2000</v>
      </c>
      <c r="BG70" s="270">
        <f t="array" ref="BG70">INDEX('SC Cost File'!$A$2:$AB$31,MATCH($C70,'SC Cost File'!$A$2:$A$31,0),MATCH(BG$7,'SC Cost File'!$A$2:$AB$2,0))/COUNTIF($G$7:$CV$7,BG$7)</f>
        <v>2000</v>
      </c>
      <c r="BH70" s="270">
        <f t="array" ref="BH70">INDEX('SC Cost File'!$A$2:$AB$31,MATCH($C70,'SC Cost File'!$A$2:$A$31,0),MATCH(BH$7,'SC Cost File'!$A$2:$AB$2,0))/COUNTIF($G$7:$CV$7,BH$7)</f>
        <v>2000</v>
      </c>
      <c r="BI70" s="270">
        <f t="array" ref="BI70">INDEX('SC Cost File'!$A$2:$AB$31,MATCH($C70,'SC Cost File'!$A$2:$A$31,0),MATCH(BI$7,'SC Cost File'!$A$2:$AB$2,0))/COUNTIF($G$7:$CV$7,BI$7)</f>
        <v>2000</v>
      </c>
      <c r="BJ70" s="270">
        <f t="array" ref="BJ70">INDEX('SC Cost File'!$A$2:$AB$31,MATCH($C70,'SC Cost File'!$A$2:$A$31,0),MATCH(BJ$7,'SC Cost File'!$A$2:$AB$2,0))/COUNTIF($G$7:$CV$7,BJ$7)</f>
        <v>2500</v>
      </c>
      <c r="BK70" s="270"/>
      <c r="BL70" s="270"/>
      <c r="BM70" s="270"/>
      <c r="BN70" s="270"/>
      <c r="BO70" s="270"/>
      <c r="BP70" s="270">
        <f t="array" ref="BP70">INDEX('SC Cost File'!$A$2:$AB$31,MATCH($C70,'SC Cost File'!$A$2:$A$31,0),MATCH(BP$7,'SC Cost File'!$A$2:$AB$2,0))/COUNTIF($G$7:$CV$7,BP$7)</f>
        <v>2500</v>
      </c>
      <c r="BQ70" s="270">
        <f t="array" ref="BQ70">INDEX('SC Cost File'!$A$2:$AB$31,MATCH($C70,'SC Cost File'!$A$2:$A$31,0),MATCH(BQ$7,'SC Cost File'!$A$2:$AB$2,0))/COUNTIF($G$7:$CV$7,BQ$7)</f>
        <v>2500</v>
      </c>
      <c r="BR70" s="270">
        <f t="array" ref="BR70">INDEX('SC Cost File'!$A$2:$AB$31,MATCH($C70,'SC Cost File'!$A$2:$A$31,0),MATCH(BR$7,'SC Cost File'!$A$2:$AB$2,0))/COUNTIF($G$7:$CV$7,BR$7)</f>
        <v>2000</v>
      </c>
      <c r="BS70" s="270">
        <f t="array" ref="BS70">INDEX('SC Cost File'!$A$2:$AB$31,MATCH($C70,'SC Cost File'!$A$2:$A$31,0),MATCH(BS$7,'SC Cost File'!$A$2:$AB$2,0))/COUNTIF($G$7:$CV$7,BS$7)</f>
        <v>2000</v>
      </c>
      <c r="BT70" s="270">
        <f t="array" ref="BT70">INDEX('SC Cost File'!$A$2:$AB$31,MATCH($C70,'SC Cost File'!$A$2:$A$31,0),MATCH(BT$7,'SC Cost File'!$A$2:$AB$2,0))/COUNTIF($G$7:$CV$7,BT$7)</f>
        <v>2000</v>
      </c>
      <c r="BU70" s="270">
        <f t="array" ref="BU70">INDEX('SC Cost File'!$A$2:$AB$31,MATCH($C70,'SC Cost File'!$A$2:$A$31,0),MATCH(BU$7,'SC Cost File'!$A$2:$AB$2,0))/COUNTIF($G$7:$CV$7,BU$7)</f>
        <v>2000</v>
      </c>
      <c r="BV70" s="270">
        <f t="array" ref="BV70">INDEX('SC Cost File'!$A$2:$AB$31,MATCH($C70,'SC Cost File'!$A$2:$A$31,0),MATCH(BV$7,'SC Cost File'!$A$2:$AB$2,0))/COUNTIF($G$7:$CV$7,BV$7)</f>
        <v>2000</v>
      </c>
      <c r="BW70" s="270">
        <f t="array" ref="BW70">INDEX('SC Cost File'!$A$2:$AB$31,MATCH($C70,'SC Cost File'!$A$2:$A$31,0),MATCH(BW$7,'SC Cost File'!$A$2:$AB$2,0))/COUNTIF($G$7:$CV$7,BW$7)</f>
        <v>2500</v>
      </c>
      <c r="BX70" s="270">
        <f t="array" ref="BX70">INDEX('SC Cost File'!$A$2:$AB$31,MATCH($C70,'SC Cost File'!$A$2:$A$31,0),MATCH(BX$7,'SC Cost File'!$A$2:$AB$2,0))/COUNTIF($G$7:$CV$7,BX$7)</f>
        <v>2500</v>
      </c>
      <c r="BY70" s="270">
        <f t="array" ref="BY70">INDEX('SC Cost File'!$A$2:$AB$31,MATCH($C70,'SC Cost File'!$A$2:$A$31,0),MATCH(BY$7,'SC Cost File'!$A$2:$AB$2,0))/COUNTIF($G$7:$CV$7,BY$7)</f>
        <v>2500</v>
      </c>
      <c r="BZ70" s="270">
        <f t="array" ref="BZ70">INDEX('SC Cost File'!$A$2:$AB$31,MATCH($C70,'SC Cost File'!$A$2:$A$31,0),MATCH(BZ$7,'SC Cost File'!$A$2:$AB$2,0))/COUNTIF($G$7:$CV$7,BZ$7)</f>
        <v>2500</v>
      </c>
      <c r="CA70" s="270">
        <f t="array" ref="CA70">INDEX('SC Cost File'!$A$2:$AB$31,MATCH($C70,'SC Cost File'!$A$2:$A$31,0),MATCH(CA$7,'SC Cost File'!$A$2:$AB$2,0))/COUNTIF($G$7:$CV$7,CA$7)</f>
        <v>2000</v>
      </c>
      <c r="CB70" s="270">
        <f t="array" ref="CB70">INDEX('SC Cost File'!$A$2:$AB$31,MATCH($C70,'SC Cost File'!$A$2:$A$31,0),MATCH(CB$7,'SC Cost File'!$A$2:$AB$2,0))/COUNTIF($G$7:$CV$7,CB$7)</f>
        <v>2000</v>
      </c>
      <c r="CC70" s="270">
        <f t="array" ref="CC70">INDEX('SC Cost File'!$A$2:$AB$31,MATCH($C70,'SC Cost File'!$A$2:$A$31,0),MATCH(CC$7,'SC Cost File'!$A$2:$AB$2,0))/COUNTIF($G$7:$CV$7,CC$7)</f>
        <v>2000</v>
      </c>
      <c r="CD70" s="270">
        <f t="array" ref="CD70">INDEX('SC Cost File'!$A$2:$AB$31,MATCH($C70,'SC Cost File'!$A$2:$A$31,0),MATCH(CD$7,'SC Cost File'!$A$2:$AB$2,0))/COUNTIF($G$7:$CV$7,CD$7)</f>
        <v>2000</v>
      </c>
      <c r="CE70" s="270">
        <f t="array" ref="CE70">INDEX('SC Cost File'!$A$2:$AB$31,MATCH($C70,'SC Cost File'!$A$2:$A$31,0),MATCH(CE$7,'SC Cost File'!$A$2:$AB$2,0))/COUNTIF($G$7:$CV$7,CE$7)</f>
        <v>2000</v>
      </c>
      <c r="CF70" s="270">
        <f t="array" ref="CF70">INDEX('SC Cost File'!$A$2:$AB$31,MATCH($C70,'SC Cost File'!$A$2:$A$31,0),MATCH(CF$7,'SC Cost File'!$A$2:$AB$2,0))/COUNTIF($G$7:$CV$7,CF$7)</f>
        <v>2500</v>
      </c>
      <c r="CG70" s="270">
        <f t="array" ref="CG70">INDEX('SC Cost File'!$A$2:$AB$31,MATCH($C70,'SC Cost File'!$A$2:$A$31,0),MATCH(CG$7,'SC Cost File'!$A$2:$AB$2,0))/COUNTIF($G$7:$CV$7,CG$7)</f>
        <v>2500</v>
      </c>
      <c r="CH70" s="270">
        <f t="array" ref="CH70">INDEX('SC Cost File'!$A$2:$AB$31,MATCH($C70,'SC Cost File'!$A$2:$A$31,0),MATCH(CH$7,'SC Cost File'!$A$2:$AB$2,0))/COUNTIF($G$7:$CV$7,CH$7)</f>
        <v>2500</v>
      </c>
      <c r="CI70" s="270">
        <f t="array" ref="CI70">INDEX('SC Cost File'!$A$2:$AB$31,MATCH($C70,'SC Cost File'!$A$2:$A$31,0),MATCH(CI$7,'SC Cost File'!$A$2:$AB$2,0))/COUNTIF($G$7:$CV$7,CI$7)</f>
        <v>2500</v>
      </c>
      <c r="CJ70" s="270">
        <f t="array" ref="CJ70">INDEX('SC Cost File'!$A$2:$AB$31,MATCH($C70,'SC Cost File'!$A$2:$A$31,0),MATCH(CJ$7,'SC Cost File'!$A$2:$AB$2,0))/COUNTIF($G$7:$CV$7,CJ$7)</f>
        <v>2500</v>
      </c>
      <c r="CK70" s="270">
        <f t="array" ref="CK70">INDEX('SC Cost File'!$A$2:$AB$31,MATCH($C70,'SC Cost File'!$A$2:$A$31,0),MATCH(CK$7,'SC Cost File'!$A$2:$AB$2,0))/COUNTIF($G$7:$CV$7,CK$7)</f>
        <v>2500</v>
      </c>
      <c r="CL70" s="270">
        <f t="array" ref="CL70">INDEX('SC Cost File'!$A$2:$AB$31,MATCH($C70,'SC Cost File'!$A$2:$A$31,0),MATCH(CL$7,'SC Cost File'!$A$2:$AB$2,0))/COUNTIF($G$7:$CV$7,CL$7)</f>
        <v>2500</v>
      </c>
      <c r="CM70" s="270">
        <f t="array" ref="CM70">INDEX('SC Cost File'!$A$2:$AB$31,MATCH($C70,'SC Cost File'!$A$2:$A$31,0),MATCH(CM$7,'SC Cost File'!$A$2:$AB$2,0))/COUNTIF($G$7:$CV$7,CM$7)</f>
        <v>2500</v>
      </c>
      <c r="CN70" s="270">
        <f t="array" ref="CN70">INDEX('SC Cost File'!$A$2:$AB$31,MATCH($C70,'SC Cost File'!$A$2:$A$31,0),MATCH(CN$7,'SC Cost File'!$A$2:$AB$2,0))/COUNTIF($G$7:$CV$7,CN$7)</f>
        <v>2000</v>
      </c>
      <c r="CO70" s="270">
        <f t="array" ref="CO70">INDEX('SC Cost File'!$A$2:$AB$31,MATCH($C70,'SC Cost File'!$A$2:$A$31,0),MATCH(CO$7,'SC Cost File'!$A$2:$AB$2,0))/COUNTIF($G$7:$CV$7,CO$7)</f>
        <v>2000</v>
      </c>
      <c r="CP70" s="270">
        <f t="array" ref="CP70">INDEX('SC Cost File'!$A$2:$AB$31,MATCH($C70,'SC Cost File'!$A$2:$A$31,0),MATCH(CP$7,'SC Cost File'!$A$2:$AB$2,0))/COUNTIF($G$7:$CV$7,CP$7)</f>
        <v>2000</v>
      </c>
      <c r="CQ70" s="270">
        <f t="array" ref="CQ70">INDEX('SC Cost File'!$A$2:$AB$31,MATCH($C70,'SC Cost File'!$A$2:$A$31,0),MATCH(CQ$7,'SC Cost File'!$A$2:$AB$2,0))/COUNTIF($G$7:$CV$7,CQ$7)</f>
        <v>2000</v>
      </c>
      <c r="CR70" s="270">
        <f t="array" ref="CR70">INDEX('SC Cost File'!$A$2:$AB$31,MATCH($C70,'SC Cost File'!$A$2:$A$31,0),MATCH(CR$7,'SC Cost File'!$A$2:$AB$2,0))/COUNTIF($G$7:$CV$7,CR$7)</f>
        <v>2000</v>
      </c>
      <c r="CS70" s="270">
        <f t="array" ref="CS70">INDEX('SC Cost File'!$A$2:$AB$31,MATCH($C70,'SC Cost File'!$A$2:$A$31,0),MATCH(CS$7,'SC Cost File'!$A$2:$AB$2,0))/COUNTIF($G$7:$CV$7,CS$7)</f>
        <v>2500</v>
      </c>
      <c r="CT70" s="270">
        <f t="array" ref="CT70">INDEX('SC Cost File'!$A$2:$AB$31,MATCH($C70,'SC Cost File'!$A$2:$A$31,0),MATCH(CT$7,'SC Cost File'!$A$2:$AB$2,0))/COUNTIF($G$7:$CV$7,CT$7)</f>
        <v>2500</v>
      </c>
      <c r="CU70" s="270">
        <f t="array" ref="CU70">INDEX('SC Cost File'!$A$2:$AB$31,MATCH($C70,'SC Cost File'!$A$2:$A$31,0),MATCH(CU$7,'SC Cost File'!$A$2:$AB$2,0))/COUNTIF($G$7:$CV$7,CU$7)</f>
        <v>2500</v>
      </c>
      <c r="CV70" s="270">
        <f t="array" ref="CV70">INDEX('SC Cost File'!$A$2:$AB$31,MATCH($C70,'SC Cost File'!$A$2:$A$31,0),MATCH(CV$7,'SC Cost File'!$A$2:$AB$2,0))/COUNTIF($G$7:$CV$7,CV$7)</f>
        <v>2500</v>
      </c>
      <c r="CW70" s="272"/>
      <c r="CX70" s="272"/>
      <c r="CY70" s="272"/>
      <c r="CZ70" s="272"/>
      <c r="DA70" s="272"/>
      <c r="DB70" s="272"/>
      <c r="DC70" s="272"/>
      <c r="DD70" s="272"/>
      <c r="DE70" s="272"/>
      <c r="DF70" s="272"/>
      <c r="DG70" s="272"/>
      <c r="DH70" s="272"/>
      <c r="DI70" s="272"/>
      <c r="DJ70" s="272"/>
      <c r="DK70" s="272"/>
      <c r="DL70" s="272"/>
      <c r="DM70" s="272"/>
      <c r="DN70" s="272"/>
      <c r="DO70" s="272"/>
      <c r="DP70" s="272"/>
    </row>
    <row r="71" spans="1:120" s="273" customFormat="1" ht="14.25" customHeight="1" x14ac:dyDescent="0.2">
      <c r="A71" s="277" t="s">
        <v>179</v>
      </c>
      <c r="B71" s="274">
        <f>_xlfn.SINGLE(_xlfn.XLOOKUP(F71, $F$87:$F$95, $E$87:$E$95))</f>
        <v>3</v>
      </c>
      <c r="C71" s="274" t="s">
        <v>180</v>
      </c>
      <c r="D71" s="277" t="s">
        <v>64</v>
      </c>
      <c r="E71" s="277" t="s">
        <v>181</v>
      </c>
      <c r="F71" s="277" t="s">
        <v>64</v>
      </c>
      <c r="G71" s="277">
        <f t="array" ref="G71">IFERROR(INDEX('Labor Spend'!$A$8:$AX$16,MATCH('Weekly Spend'!#REF!,'Labor Spend'!$A$8:$A$16,0),MATCH('Weekly Spend'!G$8,'Labor Spend'!$A$8:$AX$8,0)),0)</f>
        <v>0</v>
      </c>
      <c r="H71" s="277">
        <f t="array" ref="H71">IFERROR(INDEX('Labor Spend'!$A$8:$AX$16,MATCH('Weekly Spend'!#REF!,'Labor Spend'!$A$8:$A$16,0),MATCH('Weekly Spend'!H$8,'Labor Spend'!$A$8:$AX$8,0)),0)</f>
        <v>0</v>
      </c>
      <c r="I71" s="277">
        <f t="array" ref="I71">IFERROR(INDEX('Labor Spend'!$A$8:$AX$16,MATCH('Weekly Spend'!#REF!,'Labor Spend'!$A$8:$A$16,0),MATCH('Weekly Spend'!I$8,'Labor Spend'!$A$8:$AX$8,0)),0)</f>
        <v>0</v>
      </c>
      <c r="J71" s="277">
        <f t="array" ref="J71">IFERROR(INDEX('Labor Spend'!$A$8:$AX$16,MATCH('Weekly Spend'!#REF!,'Labor Spend'!$A$8:$A$16,0),MATCH('Weekly Spend'!J$8,'Labor Spend'!$A$8:$AX$8,0)),0)</f>
        <v>0</v>
      </c>
      <c r="K71" s="277">
        <f t="array" ref="K71">IFERROR(INDEX('Labor Spend'!$A$8:$AX$16,MATCH('Weekly Spend'!#REF!,'Labor Spend'!$A$8:$A$16,0),MATCH('Weekly Spend'!K$8,'Labor Spend'!$A$8:$AX$8,0)),0)</f>
        <v>0</v>
      </c>
      <c r="L71" s="277">
        <f t="array" ref="L71">IFERROR(INDEX('Labor Spend'!$A$8:$AX$16,MATCH('Weekly Spend'!#REF!,'Labor Spend'!$A$8:$A$16,0),MATCH('Weekly Spend'!L$8,'Labor Spend'!$A$8:$AX$8,0)),0)</f>
        <v>0</v>
      </c>
      <c r="M71" s="277">
        <f t="array" ref="M71">IFERROR(INDEX('Labor Spend'!$A$8:$AX$16,MATCH('Weekly Spend'!#REF!,'Labor Spend'!$A$8:$A$16,0),MATCH('Weekly Spend'!M$8,'Labor Spend'!$A$8:$AX$8,0)),0)</f>
        <v>0</v>
      </c>
      <c r="N71" s="291">
        <f>SUMIF($O$8:$AV$8,"&gt;="&amp;'CURRENT FORECAST START DATE'!$C$4,'Weekly Spend'!O71:AV71)</f>
        <v>357424.43923076923</v>
      </c>
      <c r="O71" s="277">
        <f t="array" ref="O71">IFERROR(INDEX('Labor Spend'!$A$8:$AX$16,MATCH('Weekly Spend'!#REF!,'Labor Spend'!$A$8:$A$16,0),MATCH('Weekly Spend'!O$8,'Labor Spend'!$A$8:$AX$8,0)),0)</f>
        <v>0</v>
      </c>
      <c r="P71" s="277">
        <f t="array" ref="P71">IFERROR(INDEX('Labor Spend'!$A$8:$AX$16,MATCH('Weekly Spend'!#REF!,'Labor Spend'!$A$8:$A$16,0),MATCH('Weekly Spend'!P$8,'Labor Spend'!$A$8:$AX$8,0)),0)</f>
        <v>0</v>
      </c>
      <c r="Q71" s="277">
        <f t="array" ref="Q71">IFERROR(INDEX('Labor Spend'!$A$8:$AX$16,MATCH('Weekly Spend'!#REF!,'Labor Spend'!$A$8:$A$16,0),MATCH('Weekly Spend'!Q$8,'Labor Spend'!$A$8:$AX$8,0)),0)</f>
        <v>0</v>
      </c>
      <c r="R71" s="277">
        <f t="array" ref="R71">IFERROR(INDEX('Labor Spend'!$A$8:$AX$16,MATCH('Weekly Spend'!#REF!,'Labor Spend'!$A$8:$A$16,0),MATCH('Weekly Spend'!R$8,'Labor Spend'!$A$8:$AX$8,0)),0)</f>
        <v>0</v>
      </c>
      <c r="S71" s="277">
        <v>53500</v>
      </c>
      <c r="T71" s="277">
        <f>_xlfn.XLOOKUP(T8,'Labor Spend'!8:8,'Labor Spend'!29:29,0)</f>
        <v>0</v>
      </c>
      <c r="U71" s="277">
        <v>63500</v>
      </c>
      <c r="V71" s="277">
        <f>_xlfn.XLOOKUP(V8,'Labor Spend'!8:8,'Labor Spend'!29:29,0)</f>
        <v>0</v>
      </c>
      <c r="W71" s="277">
        <f>_xlfn.XLOOKUP(W8,'Labor Spend'!8:8,'Labor Spend'!29:29,0)</f>
        <v>65500</v>
      </c>
      <c r="X71" s="277">
        <f>_xlfn.XLOOKUP(X8,'Labor Spend'!8:8,'Labor Spend'!29:29,0)</f>
        <v>0</v>
      </c>
      <c r="Y71" s="277">
        <f>_xlfn.XLOOKUP(Y8,'Labor Spend'!8:8,'Labor Spend'!29:29,0)</f>
        <v>67500</v>
      </c>
      <c r="Z71" s="277">
        <f>_xlfn.XLOOKUP(Z8,'Labor Spend'!8:8,'Labor Spend'!29:29,0)</f>
        <v>0</v>
      </c>
      <c r="AA71" s="277">
        <f>_xlfn.XLOOKUP(AA8,'Labor Spend'!8:8,'Labor Spend'!29:29,0)</f>
        <v>68477.5</v>
      </c>
      <c r="AB71" s="277">
        <f>_xlfn.XLOOKUP(AB8,'Labor Spend'!8:8,'Labor Spend'!29:29,0)</f>
        <v>0</v>
      </c>
      <c r="AC71" s="277">
        <f>_xlfn.XLOOKUP(AC8,'Labor Spend'!8:8,'Labor Spend'!29:29,0)</f>
        <v>72390</v>
      </c>
      <c r="AD71" s="277">
        <f>_xlfn.XLOOKUP(AD8,'Labor Spend'!8:8,'Labor Spend'!29:29,0)</f>
        <v>0</v>
      </c>
      <c r="AE71" s="277">
        <f>_xlfn.XLOOKUP(AE8,'Labor Spend'!8:8,'Labor Spend'!29:29,0)</f>
        <v>0</v>
      </c>
      <c r="AF71" s="277">
        <f>_xlfn.XLOOKUP(AF8,'Labor Spend'!8:8,'Labor Spend'!29:29,0)</f>
        <v>75932.692307692312</v>
      </c>
      <c r="AG71" s="277">
        <f>_xlfn.XLOOKUP(AG8,'Labor Spend'!8:8,'Labor Spend'!29:29,0)</f>
        <v>0</v>
      </c>
      <c r="AH71" s="277">
        <f>_xlfn.XLOOKUP(AH8,'Labor Spend'!8:8,'Labor Spend'!29:29,0)</f>
        <v>76270.192307692312</v>
      </c>
      <c r="AI71" s="277">
        <f>_xlfn.XLOOKUP(AI8,'Labor Spend'!8:8,'Labor Spend'!29:29,0)</f>
        <v>0</v>
      </c>
      <c r="AJ71" s="277">
        <f>_xlfn.XLOOKUP(AJ8,'Labor Spend'!8:8,'Labor Spend'!29:29,0)</f>
        <v>77682.692307692312</v>
      </c>
      <c r="AK71" s="277">
        <f>_xlfn.XLOOKUP(AK8,'Labor Spend'!8:8,'Labor Spend'!29:29,0)</f>
        <v>0</v>
      </c>
      <c r="AL71" s="277">
        <f>_xlfn.XLOOKUP(AL8,'Labor Spend'!8:8,'Labor Spend'!29:29,0)</f>
        <v>76932.692307692312</v>
      </c>
      <c r="AM71" s="277">
        <f>_xlfn.XLOOKUP(AM8,'Labor Spend'!8:8,'Labor Spend'!29:29,0)</f>
        <v>0</v>
      </c>
      <c r="AN71" s="277">
        <f>_xlfn.XLOOKUP(AN8,'Labor Spend'!8:8,'Labor Spend'!29:29,0)</f>
        <v>77362.692307692312</v>
      </c>
      <c r="AO71" s="391">
        <f>_xlfn.XLOOKUP(AO8,'Labor Spend'!8:8,'Labor Spend'!29:29,0)</f>
        <v>0</v>
      </c>
      <c r="AP71" s="277">
        <f>_xlfn.XLOOKUP(AP8,'Labor Spend'!8:8,'Labor Spend'!29:29,0)</f>
        <v>83474.36230769231</v>
      </c>
      <c r="AQ71" s="277">
        <f>_xlfn.XLOOKUP(AQ8,'Labor Spend'!8:8,'Labor Spend'!29:29,0)</f>
        <v>0</v>
      </c>
      <c r="AR71" s="277">
        <f>_xlfn.XLOOKUP(AR8,'Labor Spend'!8:8,'Labor Spend'!29:29,0)</f>
        <v>95566.692307692312</v>
      </c>
      <c r="AS71" s="277">
        <f>_xlfn.XLOOKUP(AS8,'Labor Spend'!8:8,'Labor Spend'!29:29,0)</f>
        <v>0</v>
      </c>
      <c r="AT71" s="277">
        <f>_xlfn.XLOOKUP(AT8,'Labor Spend'!8:8,'Labor Spend'!29:29,0)</f>
        <v>90566.692307692312</v>
      </c>
      <c r="AU71" s="277">
        <f>_xlfn.XLOOKUP(AU8,'Labor Spend'!8:8,'Labor Spend'!29:29,0)</f>
        <v>0</v>
      </c>
      <c r="AV71" s="277">
        <f>_xlfn.XLOOKUP(AV8,'Labor Spend'!8:8,'Labor Spend'!29:29,0)</f>
        <v>87816.692307692312</v>
      </c>
      <c r="AW71" s="277">
        <f>_xlfn.XLOOKUP(AW8,'Labor Spend'!8:8,'Labor Spend'!29:29,0)</f>
        <v>0</v>
      </c>
      <c r="AX71" s="277">
        <f>_xlfn.XLOOKUP(AX8,'Labor Spend'!8:8,'Labor Spend'!29:29,0)</f>
        <v>87816.692307692312</v>
      </c>
      <c r="AY71" s="277">
        <f>_xlfn.XLOOKUP(AY8,'Labor Spend'!8:8,'Labor Spend'!29:29,0)</f>
        <v>0</v>
      </c>
      <c r="AZ71" s="277">
        <f>_xlfn.XLOOKUP(AZ8,'Labor Spend'!8:8,'Labor Spend'!29:29,0)</f>
        <v>96816.692307692312</v>
      </c>
      <c r="BA71" s="277">
        <f>_xlfn.XLOOKUP(BA8,'Labor Spend'!8:8,'Labor Spend'!29:29,0)</f>
        <v>0</v>
      </c>
      <c r="BB71" s="277">
        <f>_xlfn.XLOOKUP(BB8,'Labor Spend'!8:8,'Labor Spend'!29:29,0)</f>
        <v>100716.69230769231</v>
      </c>
      <c r="BC71" s="277">
        <f>_xlfn.XLOOKUP(BC8,'Labor Spend'!8:8,'Labor Spend'!29:29,0)</f>
        <v>0</v>
      </c>
      <c r="BD71" s="277">
        <f>_xlfn.XLOOKUP(BD8,'Labor Spend'!8:8,'Labor Spend'!29:29,0)</f>
        <v>97813.692307692312</v>
      </c>
      <c r="BE71" s="277">
        <f>_xlfn.XLOOKUP(BE8,'Labor Spend'!8:8,'Labor Spend'!29:29,0)</f>
        <v>0</v>
      </c>
      <c r="BF71" s="277">
        <f>_xlfn.XLOOKUP(BF8,'Labor Spend'!8:8,'Labor Spend'!29:29,0)</f>
        <v>88813.692307692312</v>
      </c>
      <c r="BG71" s="277">
        <f>_xlfn.XLOOKUP(BG8,'Labor Spend'!8:8,'Labor Spend'!29:29,0)</f>
        <v>0</v>
      </c>
      <c r="BH71" s="277">
        <f>_xlfn.XLOOKUP(BH8,'Labor Spend'!8:8,'Labor Spend'!29:29,0)</f>
        <v>97813.692307692312</v>
      </c>
      <c r="BI71" s="277">
        <f>_xlfn.XLOOKUP(BI8,'Labor Spend'!8:8,'Labor Spend'!29:29,0)</f>
        <v>0</v>
      </c>
      <c r="BJ71" s="277">
        <f>_xlfn.XLOOKUP(BJ8,'Labor Spend'!8:8,'Labor Spend'!29:29,0)</f>
        <v>413086.29647435894</v>
      </c>
      <c r="BK71" s="277">
        <f>_xlfn.XLOOKUP(BK8,'Labor Spend'!8:8,'Labor Spend'!29:29,0)</f>
        <v>0</v>
      </c>
      <c r="BL71" s="277">
        <f>_xlfn.XLOOKUP(BL8,'Labor Spend'!8:8,'Labor Spend'!29:29,0)</f>
        <v>97813.692307692312</v>
      </c>
      <c r="BM71" s="277">
        <f>_xlfn.XLOOKUP(BM8,'Labor Spend'!8:8,'Labor Spend'!29:29,0)</f>
        <v>0</v>
      </c>
      <c r="BN71" s="277">
        <f>_xlfn.XLOOKUP(BN8,'Labor Spend'!8:8,'Labor Spend'!29:29,0)</f>
        <v>88813.692307692312</v>
      </c>
      <c r="BO71" s="277">
        <f>_xlfn.XLOOKUP(BO8,'Labor Spend'!8:8,'Labor Spend'!29:29,0)</f>
        <v>0</v>
      </c>
      <c r="BP71" s="277">
        <f>_xlfn.XLOOKUP(BP8,'Labor Spend'!8:8,'Labor Spend'!29:29,0)</f>
        <v>97813.692307692312</v>
      </c>
      <c r="BQ71" s="277">
        <f>_xlfn.XLOOKUP(BQ8,'Labor Spend'!8:8,'Labor Spend'!29:29,0)</f>
        <v>0</v>
      </c>
      <c r="BR71" s="277">
        <f>_xlfn.XLOOKUP(BR8,'Labor Spend'!8:8,'Labor Spend'!29:29,0)</f>
        <v>100813.69230769231</v>
      </c>
      <c r="BS71" s="277">
        <f>_xlfn.XLOOKUP(BS8,'Labor Spend'!8:8,'Labor Spend'!29:29,0)</f>
        <v>0</v>
      </c>
      <c r="BT71" s="277">
        <f>_xlfn.XLOOKUP(BT8,'Labor Spend'!8:8,'Labor Spend'!29:29,0)</f>
        <v>88716.692307692312</v>
      </c>
      <c r="BU71" s="277">
        <f>_xlfn.XLOOKUP(BU8,'Labor Spend'!8:8,'Labor Spend'!29:29,0)</f>
        <v>0</v>
      </c>
      <c r="BV71" s="277">
        <f>_xlfn.XLOOKUP(BV8,'Labor Spend'!8:8,'Labor Spend'!29:29,0)</f>
        <v>97716.692307692312</v>
      </c>
      <c r="BW71" s="277">
        <f>_xlfn.XLOOKUP(BW8,'Labor Spend'!8:8,'Labor Spend'!29:29,0)</f>
        <v>0</v>
      </c>
      <c r="BX71" s="277">
        <f>_xlfn.XLOOKUP(BX8,'Labor Spend'!8:8,'Labor Spend'!29:29,0)</f>
        <v>88716.692307692312</v>
      </c>
      <c r="BY71" s="277">
        <f>_xlfn.XLOOKUP(BY8,'Labor Spend'!8:8,'Labor Spend'!29:29,0)</f>
        <v>0</v>
      </c>
      <c r="BZ71" s="277">
        <f>_xlfn.XLOOKUP(BZ8,'Labor Spend'!8:8,'Labor Spend'!29:29,0)</f>
        <v>109813.69230769231</v>
      </c>
      <c r="CA71" s="277">
        <f>_xlfn.XLOOKUP(CA8,'Labor Spend'!8:8,'Labor Spend'!29:29,0)</f>
        <v>0</v>
      </c>
      <c r="CB71" s="277">
        <f>_xlfn.XLOOKUP(CB8,'Labor Spend'!8:8,'Labor Spend'!29:29,0)</f>
        <v>91313.692307692312</v>
      </c>
      <c r="CC71" s="277">
        <f>_xlfn.XLOOKUP(CC8,'Labor Spend'!8:8,'Labor Spend'!29:29,0)</f>
        <v>0</v>
      </c>
      <c r="CD71" s="277">
        <f>_xlfn.XLOOKUP(CD8,'Labor Spend'!8:8,'Labor Spend'!29:29,0)</f>
        <v>100313.69230769231</v>
      </c>
      <c r="CE71" s="277">
        <f>_xlfn.XLOOKUP(CE8,'Labor Spend'!8:8,'Labor Spend'!29:29,0)</f>
        <v>0</v>
      </c>
      <c r="CF71" s="277">
        <f>_xlfn.XLOOKUP(CF8,'Labor Spend'!8:8,'Labor Spend'!29:29,0)</f>
        <v>91313.692307692312</v>
      </c>
      <c r="CG71" s="277">
        <f>_xlfn.XLOOKUP(CG8,'Labor Spend'!8:8,'Labor Spend'!29:29,0)</f>
        <v>0</v>
      </c>
      <c r="CH71" s="277">
        <f>_xlfn.XLOOKUP(CH8,'Labor Spend'!8:8,'Labor Spend'!29:29,0)</f>
        <v>100313.69230769231</v>
      </c>
      <c r="CI71" s="277">
        <f>_xlfn.XLOOKUP(CI8,'Labor Spend'!8:8,'Labor Spend'!29:29,0)</f>
        <v>0</v>
      </c>
      <c r="CJ71" s="277">
        <f>_xlfn.XLOOKUP(CJ8,'Labor Spend'!8:8,'Labor Spend'!29:29,0)</f>
        <v>100813.69230769231</v>
      </c>
      <c r="CK71" s="277">
        <f>_xlfn.XLOOKUP(CK8,'Labor Spend'!8:8,'Labor Spend'!29:29,0)</f>
        <v>0</v>
      </c>
      <c r="CL71" s="277">
        <f>_xlfn.XLOOKUP(CL8,'Labor Spend'!8:8,'Labor Spend'!29:29,0)</f>
        <v>100313.69230769231</v>
      </c>
      <c r="CM71" s="277">
        <f>_xlfn.XLOOKUP(CM8,'Labor Spend'!8:8,'Labor Spend'!29:29,0)</f>
        <v>0</v>
      </c>
      <c r="CN71" s="277">
        <f>_xlfn.XLOOKUP(CN8,'Labor Spend'!8:8,'Labor Spend'!29:29,0)</f>
        <v>91313.692307692312</v>
      </c>
      <c r="CO71" s="277">
        <f>_xlfn.XLOOKUP(CO8,'Labor Spend'!8:8,'Labor Spend'!29:29,0)</f>
        <v>0</v>
      </c>
      <c r="CP71" s="277">
        <f>_xlfn.XLOOKUP(CP8,'Labor Spend'!8:8,'Labor Spend'!29:29,0)</f>
        <v>91313.692307692312</v>
      </c>
      <c r="CQ71" s="277">
        <f>_xlfn.XLOOKUP(CQ8,'Labor Spend'!8:8,'Labor Spend'!29:29,0)</f>
        <v>0</v>
      </c>
      <c r="CR71" s="277">
        <f>_xlfn.XLOOKUP(CR8,'Labor Spend'!8:8,'Labor Spend'!29:29,0)</f>
        <v>109813.69230769231</v>
      </c>
      <c r="CS71" s="277">
        <f>_xlfn.XLOOKUP(CS8,'Labor Spend'!8:8,'Labor Spend'!29:29,0)</f>
        <v>0</v>
      </c>
      <c r="CT71" s="277">
        <f>_xlfn.XLOOKUP(CT8,'Labor Spend'!8:8,'Labor Spend'!29:29,0)</f>
        <v>91313.692307692312</v>
      </c>
      <c r="CU71" s="277">
        <f>_xlfn.XLOOKUP(CU8,'Labor Spend'!8:8,'Labor Spend'!29:29,0)</f>
        <v>0</v>
      </c>
      <c r="CV71" s="277">
        <f>_xlfn.XLOOKUP(CV8,'Labor Spend'!8:8,'Labor Spend'!29:29,0)</f>
        <v>100313.69230769231</v>
      </c>
      <c r="CW71" s="272"/>
      <c r="CX71" s="272"/>
      <c r="CY71" s="272"/>
      <c r="CZ71" s="272"/>
      <c r="DA71" s="272"/>
      <c r="DB71" s="272"/>
      <c r="DC71" s="272"/>
      <c r="DD71" s="272"/>
      <c r="DE71" s="272"/>
      <c r="DF71" s="272"/>
      <c r="DG71" s="272"/>
      <c r="DH71" s="272"/>
      <c r="DI71" s="272"/>
      <c r="DJ71" s="272"/>
      <c r="DK71" s="272"/>
      <c r="DL71" s="272"/>
      <c r="DM71" s="272"/>
      <c r="DN71" s="272"/>
      <c r="DO71" s="272"/>
      <c r="DP71" s="272"/>
    </row>
    <row r="72" spans="1:120" s="273" customFormat="1" ht="14" customHeight="1" x14ac:dyDescent="0.2">
      <c r="A72" s="277"/>
      <c r="B72" s="274"/>
      <c r="C72" s="274"/>
      <c r="D72" s="277" t="s">
        <v>182</v>
      </c>
      <c r="E72" s="277" t="s">
        <v>181</v>
      </c>
      <c r="F72" s="277" t="s">
        <v>64</v>
      </c>
      <c r="G72" s="277"/>
      <c r="H72" s="277"/>
      <c r="I72" s="277"/>
      <c r="J72" s="277"/>
      <c r="K72" s="277"/>
      <c r="L72" s="277"/>
      <c r="M72" s="277"/>
      <c r="N72" s="291">
        <f>SUMIF($O$8:$AV$8,"&gt;="&amp;'CURRENT FORECAST START DATE'!$C$4,'Weekly Spend'!O72:AV72)</f>
        <v>18000</v>
      </c>
      <c r="O72" s="277">
        <v>0</v>
      </c>
      <c r="P72" s="277">
        <v>0</v>
      </c>
      <c r="Q72" s="277">
        <v>0</v>
      </c>
      <c r="R72" s="277">
        <v>0</v>
      </c>
      <c r="S72" s="277">
        <v>0</v>
      </c>
      <c r="T72" s="277">
        <v>0</v>
      </c>
      <c r="U72" s="277">
        <v>1524.76</v>
      </c>
      <c r="V72" s="277">
        <v>0</v>
      </c>
      <c r="W72" s="277">
        <v>0</v>
      </c>
      <c r="X72" s="277">
        <v>0</v>
      </c>
      <c r="Y72" s="277">
        <f>1524.76+1000+6000</f>
        <v>8524.76</v>
      </c>
      <c r="Z72" s="277">
        <v>0</v>
      </c>
      <c r="AA72" s="277">
        <v>0</v>
      </c>
      <c r="AB72" s="277">
        <v>0</v>
      </c>
      <c r="AC72" s="277">
        <v>0</v>
      </c>
      <c r="AD72" s="303">
        <f>1524.76+6000</f>
        <v>7524.76</v>
      </c>
      <c r="AE72" s="277"/>
      <c r="AF72" s="277">
        <v>0</v>
      </c>
      <c r="AG72" s="277">
        <v>0</v>
      </c>
      <c r="AH72" s="277">
        <v>0</v>
      </c>
      <c r="AI72" s="277">
        <v>4500</v>
      </c>
      <c r="AJ72" s="277">
        <v>3000</v>
      </c>
      <c r="AK72" s="277">
        <v>0</v>
      </c>
      <c r="AL72" s="277">
        <v>3000</v>
      </c>
      <c r="AM72" s="277">
        <v>0</v>
      </c>
      <c r="AN72" s="277">
        <v>3000</v>
      </c>
      <c r="AO72" s="391">
        <v>0</v>
      </c>
      <c r="AP72" s="277">
        <v>3000</v>
      </c>
      <c r="AQ72" s="277">
        <f>AI72</f>
        <v>4500</v>
      </c>
      <c r="AR72" s="277">
        <v>3000</v>
      </c>
      <c r="AS72" s="277">
        <v>0</v>
      </c>
      <c r="AT72" s="277">
        <v>3000</v>
      </c>
      <c r="AU72" s="277">
        <v>0</v>
      </c>
      <c r="AV72" s="369">
        <f>AQ72</f>
        <v>4500</v>
      </c>
      <c r="AW72" s="277">
        <v>0</v>
      </c>
      <c r="AX72" s="277">
        <v>3000</v>
      </c>
      <c r="AY72" s="277">
        <v>0</v>
      </c>
      <c r="AZ72" s="277">
        <f>AX72</f>
        <v>3000</v>
      </c>
      <c r="BA72" s="277">
        <v>0</v>
      </c>
      <c r="BB72" s="277">
        <f>AZ72</f>
        <v>3000</v>
      </c>
      <c r="BC72" s="277">
        <v>0</v>
      </c>
      <c r="BD72" s="277">
        <f>BB72</f>
        <v>3000</v>
      </c>
      <c r="BE72" s="277">
        <v>0</v>
      </c>
      <c r="BF72" s="277">
        <f>BD72</f>
        <v>3000</v>
      </c>
      <c r="BG72" s="277">
        <v>0</v>
      </c>
      <c r="BH72" s="277">
        <f>BF72</f>
        <v>3000</v>
      </c>
      <c r="BI72" s="277">
        <v>0</v>
      </c>
      <c r="BJ72" s="277">
        <f>BH72</f>
        <v>3000</v>
      </c>
      <c r="BK72" s="277">
        <v>0</v>
      </c>
      <c r="BL72" s="277">
        <f>BJ72</f>
        <v>3000</v>
      </c>
      <c r="BM72" s="277">
        <v>0</v>
      </c>
      <c r="BN72" s="277">
        <f>BL72</f>
        <v>3000</v>
      </c>
      <c r="BO72" s="277">
        <v>0</v>
      </c>
      <c r="BP72" s="277">
        <f>BN72</f>
        <v>3000</v>
      </c>
      <c r="BQ72" s="277">
        <v>0</v>
      </c>
      <c r="BR72" s="277">
        <f>BP72</f>
        <v>3000</v>
      </c>
      <c r="BS72" s="277">
        <v>0</v>
      </c>
      <c r="BT72" s="277">
        <f>BR72</f>
        <v>3000</v>
      </c>
      <c r="BU72" s="277">
        <v>0</v>
      </c>
      <c r="BV72" s="277">
        <f>BT72</f>
        <v>3000</v>
      </c>
      <c r="BW72" s="277">
        <v>0</v>
      </c>
      <c r="BX72" s="277">
        <f>BV72</f>
        <v>3000</v>
      </c>
      <c r="BY72" s="277">
        <v>0</v>
      </c>
      <c r="BZ72" s="277">
        <v>0</v>
      </c>
      <c r="CA72" s="277">
        <v>0</v>
      </c>
      <c r="CB72" s="277">
        <v>0</v>
      </c>
      <c r="CC72" s="277">
        <v>0</v>
      </c>
      <c r="CD72" s="277">
        <v>0</v>
      </c>
      <c r="CE72" s="277">
        <v>0</v>
      </c>
      <c r="CF72" s="277">
        <v>0</v>
      </c>
      <c r="CG72" s="277">
        <v>0</v>
      </c>
      <c r="CH72" s="277">
        <v>0</v>
      </c>
      <c r="CI72" s="277">
        <v>0</v>
      </c>
      <c r="CJ72" s="277">
        <v>0</v>
      </c>
      <c r="CK72" s="277">
        <v>0</v>
      </c>
      <c r="CL72" s="277">
        <v>0</v>
      </c>
      <c r="CM72" s="277">
        <v>0</v>
      </c>
      <c r="CN72" s="277">
        <v>0</v>
      </c>
      <c r="CO72" s="277">
        <v>0</v>
      </c>
      <c r="CP72" s="277">
        <v>0</v>
      </c>
      <c r="CQ72" s="277">
        <v>0</v>
      </c>
      <c r="CR72" s="277">
        <v>0</v>
      </c>
      <c r="CS72" s="277">
        <v>0</v>
      </c>
      <c r="CT72" s="277">
        <v>0</v>
      </c>
      <c r="CU72" s="277">
        <v>0</v>
      </c>
      <c r="CV72" s="277">
        <v>0</v>
      </c>
      <c r="CW72" s="272"/>
      <c r="CX72" s="272"/>
      <c r="CY72" s="272"/>
      <c r="CZ72" s="272"/>
      <c r="DA72" s="272"/>
      <c r="DB72" s="272"/>
      <c r="DC72" s="272"/>
      <c r="DD72" s="272"/>
      <c r="DE72" s="272"/>
      <c r="DF72" s="272"/>
      <c r="DG72" s="272"/>
      <c r="DH72" s="272"/>
      <c r="DI72" s="272"/>
      <c r="DJ72" s="272"/>
      <c r="DK72" s="272"/>
      <c r="DL72" s="272"/>
      <c r="DM72" s="272"/>
      <c r="DN72" s="272"/>
      <c r="DO72" s="272"/>
      <c r="DP72" s="272"/>
    </row>
    <row r="73" spans="1:120" s="273" customFormat="1" ht="14.25" customHeight="1" x14ac:dyDescent="0.2">
      <c r="A73" s="270" t="s">
        <v>120</v>
      </c>
      <c r="B73" s="270">
        <f>_xlfn.SINGLE(_xlfn.XLOOKUP(F73, $F$87:$F$95, $E$87:$E$95))</f>
        <v>2</v>
      </c>
      <c r="C73" s="270" t="s">
        <v>183</v>
      </c>
      <c r="D73" s="270" t="s">
        <v>184</v>
      </c>
      <c r="E73" s="270" t="s">
        <v>185</v>
      </c>
      <c r="F73" s="404" t="s">
        <v>126</v>
      </c>
      <c r="G73" s="270">
        <f t="array" ref="G73">INDEX('SC Cost File'!$A$2:$AB$31,MATCH($C73,'SC Cost File'!$A$2:$A$31,0),MATCH(G$7,'SC Cost File'!$A$2:$AB$2,0))/COUNTIF($G$7:$CV$7,G$7)</f>
        <v>0</v>
      </c>
      <c r="H73" s="270">
        <f t="array" ref="H73">INDEX('SC Cost File'!$A$2:$AB$31,MATCH($C73,'SC Cost File'!$A$2:$A$31,0),MATCH(H$7,'SC Cost File'!$A$2:$AB$2,0))/COUNTIF($G$7:$CV$7,H$7)</f>
        <v>0</v>
      </c>
      <c r="I73" s="270">
        <f t="array" ref="I73">INDEX('SC Cost File'!$A$2:$AB$31,MATCH($C73,'SC Cost File'!$A$2:$A$31,0),MATCH(I$7,'SC Cost File'!$A$2:$AB$2,0))/COUNTIF($G$7:$CV$7,I$7)</f>
        <v>0</v>
      </c>
      <c r="J73" s="270">
        <f t="array" ref="J73">INDEX('SC Cost File'!$A$2:$AB$31,MATCH($C73,'SC Cost File'!$A$2:$A$31,0),MATCH(J$7,'SC Cost File'!$A$2:$AB$2,0))/COUNTIF($G$7:$CV$7,J$7)</f>
        <v>0</v>
      </c>
      <c r="K73" s="270">
        <f t="array" ref="K73">INDEX('SC Cost File'!$A$2:$AB$31,MATCH($C73,'SC Cost File'!$A$2:$A$31,0),MATCH(K$7,'SC Cost File'!$A$2:$AB$2,0))/COUNTIF($G$7:$CV$7,K$7)</f>
        <v>0</v>
      </c>
      <c r="L73" s="270">
        <f t="array" ref="L73">INDEX('SC Cost File'!$A$2:$AB$31,MATCH($C73,'SC Cost File'!$A$2:$A$31,0),MATCH(L$7,'SC Cost File'!$A$2:$AB$2,0))/COUNTIF($G$7:$CV$7,L$7)</f>
        <v>0</v>
      </c>
      <c r="M73" s="270">
        <f t="array" ref="M73">INDEX('SC Cost File'!$A$2:$AB$31,MATCH($C73,'SC Cost File'!$A$2:$A$31,0),MATCH(M$7,'SC Cost File'!$A$2:$AB$2,0))/COUNTIF($G$7:$CV$7,M$7)</f>
        <v>4301</v>
      </c>
      <c r="N73" s="289">
        <f>SUMIF($O$8:$AV$8,"&gt;="&amp;'CURRENT FORECAST START DATE'!$C$4,'Weekly Spend'!O73:AV73)</f>
        <v>0</v>
      </c>
      <c r="O73" s="270">
        <f t="array" ref="O73">INDEX('SC Cost File'!$A$2:$AB$31,MATCH($C73,'SC Cost File'!$A$2:$A$31,0),MATCH(O$7,'SC Cost File'!$A$2:$AB$2,0))/COUNTIF($G$7:$CV$7,O$7)</f>
        <v>4301</v>
      </c>
      <c r="P73" s="270">
        <f t="array" ref="P73">INDEX('SC Cost File'!$A$2:$AB$31,MATCH($C73,'SC Cost File'!$A$2:$A$31,0),MATCH(P$7,'SC Cost File'!$A$2:$AB$2,0))/COUNTIF($G$7:$CV$7,P$7)</f>
        <v>4301</v>
      </c>
      <c r="Q73" s="270">
        <f t="array" ref="Q73">INDEX('SC Cost File'!$A$2:$AB$31,MATCH($C73,'SC Cost File'!$A$2:$A$31,0),MATCH(Q$7,'SC Cost File'!$A$2:$AB$2,0))/COUNTIF($G$7:$CV$7,Q$7)</f>
        <v>4301</v>
      </c>
      <c r="R73" s="270">
        <f t="array" ref="R73">INDEX('SC Cost File'!$A$2:$AB$31,MATCH($C73,'SC Cost File'!$A$2:$A$31,0),MATCH(R$7,'SC Cost File'!$A$2:$AB$2,0))/COUNTIF($G$7:$CV$7,R$7)</f>
        <v>0</v>
      </c>
      <c r="S73" s="270">
        <f t="array" ref="S73">INDEX('SC Cost File'!$A$2:$AB$31,MATCH($C73,'SC Cost File'!$A$2:$A$31,0),MATCH(S$7,'SC Cost File'!$A$2:$AB$2,0))/COUNTIF($G$7:$CV$7,S$7)</f>
        <v>0</v>
      </c>
      <c r="T73" s="270">
        <f t="array" ref="T73">INDEX('SC Cost File'!$A$2:$AB$31,MATCH($C73,'SC Cost File'!$A$2:$A$31,0),MATCH(T$7,'SC Cost File'!$A$2:$AB$2,0))/COUNTIF($G$7:$CV$7,T$7)</f>
        <v>0</v>
      </c>
      <c r="U73" s="270">
        <f t="array" ref="U73">INDEX('SC Cost File'!$A$2:$AB$31,MATCH($C73,'SC Cost File'!$A$2:$A$31,0),MATCH(U$7,'SC Cost File'!$A$2:$AB$2,0))/COUNTIF($G$7:$CV$7,U$7)</f>
        <v>0</v>
      </c>
      <c r="V73" s="270">
        <f t="array" ref="V73">INDEX('SC Cost File'!$A$2:$AB$31,MATCH($C73,'SC Cost File'!$A$2:$A$31,0),MATCH(V$7,'SC Cost File'!$A$2:$AB$2,0))/COUNTIF($G$7:$CV$7,V$7)</f>
        <v>0</v>
      </c>
      <c r="W73" s="270">
        <v>0</v>
      </c>
      <c r="X73" s="270">
        <v>0</v>
      </c>
      <c r="Y73" s="270">
        <v>0</v>
      </c>
      <c r="Z73" s="313">
        <v>189000</v>
      </c>
      <c r="AA73" s="270">
        <f t="array" ref="AA73">INDEX('SC Cost File'!$A$2:$AB$31,MATCH($C73,'SC Cost File'!$A$2:$A$31,0),MATCH(AA$7,'SC Cost File'!$A$2:$AB$2,0))/COUNTIF($G$7:$CV$7,AA$7)</f>
        <v>0</v>
      </c>
      <c r="AB73" s="270">
        <f t="array" ref="AB73">INDEX('SC Cost File'!$A$2:$AB$31,MATCH($C73,'SC Cost File'!$A$2:$A$31,0),MATCH(AB$7,'SC Cost File'!$A$2:$AB$2,0))/COUNTIF($G$7:$CV$7,AB$7)</f>
        <v>0</v>
      </c>
      <c r="AC73" s="270">
        <f t="array" ref="AC73">INDEX('SC Cost File'!$A$2:$AB$31,MATCH($C73,'SC Cost File'!$A$2:$A$31,0),MATCH(AC$7,'SC Cost File'!$A$2:$AB$2,0))/COUNTIF($G$7:$CV$7,AC$7)</f>
        <v>0</v>
      </c>
      <c r="AD73" s="270">
        <f t="array" ref="AD73">INDEX('SC Cost File'!$A$2:$AB$31,MATCH($C73,'SC Cost File'!$A$2:$A$31,0),MATCH(AD$7,'SC Cost File'!$A$2:$AB$2,0))/COUNTIF($G$7:$CV$7,AD$7)</f>
        <v>0</v>
      </c>
      <c r="AE73" s="270">
        <f t="array" ref="AE73">INDEX('SC Cost File'!$A$2:$AB$31,MATCH($C73,'SC Cost File'!$A$2:$A$31,0),MATCH(AE$7,'SC Cost File'!$A$2:$AB$2,0))/COUNTIF($G$7:$CV$7,AE$7)</f>
        <v>0</v>
      </c>
      <c r="AF73" s="270">
        <f t="array" ref="AF73">INDEX('SC Cost File'!$A$2:$AB$31,MATCH($C73,'SC Cost File'!$A$2:$A$31,0),MATCH(AF$7,'SC Cost File'!$A$2:$AB$2,0))/COUNTIF($G$7:$CV$7,AF$7)</f>
        <v>0</v>
      </c>
      <c r="AG73" s="270">
        <f t="array" ref="AG73">INDEX('SC Cost File'!$A$2:$AB$31,MATCH($C73,'SC Cost File'!$A$2:$A$31,0),MATCH(AG$7,'SC Cost File'!$A$2:$AB$2,0))/COUNTIF($G$7:$CV$7,AG$7)</f>
        <v>0</v>
      </c>
      <c r="AH73" s="270">
        <f t="array" ref="AH73">INDEX('SC Cost File'!$A$2:$AB$31,MATCH($C73,'SC Cost File'!$A$2:$A$31,0),MATCH(AH$7,'SC Cost File'!$A$2:$AB$2,0))/COUNTIF($G$7:$CV$7,AH$7)</f>
        <v>0</v>
      </c>
      <c r="AI73" s="270">
        <f t="array" ref="AI73">INDEX('SC Cost File'!$A$2:$AB$31,MATCH($C73,'SC Cost File'!$A$2:$A$31,0),MATCH(AI$7,'SC Cost File'!$A$2:$AB$2,0))/COUNTIF($G$7:$CV$7,AI$7)</f>
        <v>0</v>
      </c>
      <c r="AJ73" s="270">
        <f t="array" ref="AJ73">INDEX('SC Cost File'!$A$2:$AB$31,MATCH($C73,'SC Cost File'!$A$2:$A$31,0),MATCH(AJ$7,'SC Cost File'!$A$2:$AB$2,0))/COUNTIF($G$7:$CV$7,AJ$7)</f>
        <v>0</v>
      </c>
      <c r="AK73" s="270">
        <f t="array" ref="AK73">INDEX('SC Cost File'!$A$2:$AB$31,MATCH($C73,'SC Cost File'!$A$2:$A$31,0),MATCH(AK$7,'SC Cost File'!$A$2:$AB$2,0))/COUNTIF($G$7:$CV$7,AK$7)</f>
        <v>0</v>
      </c>
      <c r="AL73" s="270">
        <f t="array" ref="AL73">INDEX('SC Cost File'!$A$2:$AB$31,MATCH($C73,'SC Cost File'!$A$2:$A$31,0),MATCH(AL$7,'SC Cost File'!$A$2:$AB$2,0))/COUNTIF($G$7:$CV$7,AL$7)</f>
        <v>0</v>
      </c>
      <c r="AM73" s="270">
        <f t="array" ref="AM73">INDEX('SC Cost File'!$A$2:$AB$31,MATCH($C73,'SC Cost File'!$A$2:$A$31,0),MATCH(AM$7,'SC Cost File'!$A$2:$AB$2,0))/COUNTIF($G$7:$CV$7,AM$7)</f>
        <v>0</v>
      </c>
      <c r="AN73" s="270">
        <f t="array" ref="AN73">INDEX('SC Cost File'!$A$2:$AB$31,MATCH($C73,'SC Cost File'!$A$2:$A$31,0),MATCH(AN$7,'SC Cost File'!$A$2:$AB$2,0))/COUNTIF($G$7:$CV$7,AN$7)</f>
        <v>0</v>
      </c>
      <c r="AO73" s="390">
        <f t="array" ref="AO73">INDEX('SC Cost File'!$A$2:$AB$31,MATCH($C73,'SC Cost File'!$A$2:$A$31,0),MATCH(AO$7,'SC Cost File'!$A$2:$AB$2,0))/COUNTIF($G$7:$CV$7,AO$7)</f>
        <v>0</v>
      </c>
      <c r="AP73" s="270">
        <f t="array" ref="AP73">INDEX('SC Cost File'!$A$2:$AB$31,MATCH($C73,'SC Cost File'!$A$2:$A$31,0),MATCH(AP$7,'SC Cost File'!$A$2:$AB$2,0))/COUNTIF($G$7:$CV$7,AP$7)</f>
        <v>0</v>
      </c>
      <c r="AQ73" s="270">
        <f t="array" ref="AQ73">INDEX('SC Cost File'!$A$2:$AB$31,MATCH($C73,'SC Cost File'!$A$2:$A$31,0),MATCH(AQ$7,'SC Cost File'!$A$2:$AB$2,0))/COUNTIF($G$7:$CV$7,AQ$7)</f>
        <v>0</v>
      </c>
      <c r="AR73" s="270">
        <f t="array" ref="AR73">INDEX('SC Cost File'!$A$2:$AB$31,MATCH($C73,'SC Cost File'!$A$2:$A$31,0),MATCH(AR$7,'SC Cost File'!$A$2:$AB$2,0))/COUNTIF($G$7:$CV$7,AR$7)</f>
        <v>0</v>
      </c>
      <c r="AS73" s="270">
        <f t="array" ref="AS73">INDEX('SC Cost File'!$A$2:$AB$31,MATCH($C73,'SC Cost File'!$A$2:$A$31,0),MATCH(AS$7,'SC Cost File'!$A$2:$AB$2,0))/COUNTIF($G$7:$CV$7,AS$7)</f>
        <v>0</v>
      </c>
      <c r="AT73" s="270">
        <f t="array" ref="AT73">INDEX('SC Cost File'!$A$2:$AB$31,MATCH($C73,'SC Cost File'!$A$2:$A$31,0),MATCH(AT$7,'SC Cost File'!$A$2:$AB$2,0))/COUNTIF($G$7:$CV$7,AT$7)</f>
        <v>0</v>
      </c>
      <c r="AU73" s="270">
        <f t="array" ref="AU73">INDEX('SC Cost File'!$A$2:$AB$31,MATCH($C73,'SC Cost File'!$A$2:$A$31,0),MATCH(AU$7,'SC Cost File'!$A$2:$AB$2,0))/COUNTIF($G$7:$CV$7,AU$7)</f>
        <v>0</v>
      </c>
      <c r="AV73" s="270">
        <f t="array" ref="AV73">INDEX('SC Cost File'!$A$2:$AB$31,MATCH($C73,'SC Cost File'!$A$2:$A$31,0),MATCH(AV$7,'SC Cost File'!$A$2:$AB$2,0))/COUNTIF($G$7:$CV$7,AV$7)</f>
        <v>0</v>
      </c>
      <c r="AW73" s="270">
        <f t="array" ref="AW73">INDEX('SC Cost File'!$A$2:$AB$31,MATCH($C73,'SC Cost File'!$A$2:$A$31,0),MATCH(AW$7,'SC Cost File'!$A$2:$AB$2,0))/COUNTIF($G$7:$CV$7,AW$7)</f>
        <v>0</v>
      </c>
      <c r="AX73" s="270">
        <f t="array" ref="AX73">INDEX('SC Cost File'!$A$2:$AB$31,MATCH($C73,'SC Cost File'!$A$2:$A$31,0),MATCH(AX$7,'SC Cost File'!$A$2:$AB$2,0))/COUNTIF($G$7:$CV$7,AX$7)</f>
        <v>0</v>
      </c>
      <c r="AY73" s="270">
        <f t="array" ref="AY73">INDEX('SC Cost File'!$A$2:$AB$31,MATCH($C73,'SC Cost File'!$A$2:$A$31,0),MATCH(AY$7,'SC Cost File'!$A$2:$AB$2,0))/COUNTIF($G$7:$CV$7,AY$7)</f>
        <v>0</v>
      </c>
      <c r="AZ73" s="270">
        <f t="array" ref="AZ73">INDEX('SC Cost File'!$A$2:$AB$31,MATCH($C73,'SC Cost File'!$A$2:$A$31,0),MATCH(AZ$7,'SC Cost File'!$A$2:$AB$2,0))/COUNTIF($G$7:$CV$7,AZ$7)</f>
        <v>0</v>
      </c>
      <c r="BA73" s="270">
        <f t="array" ref="BA73">INDEX('SC Cost File'!$A$2:$AB$31,MATCH($C73,'SC Cost File'!$A$2:$A$31,0),MATCH(BA$7,'SC Cost File'!$A$2:$AB$2,0))/COUNTIF($G$7:$CV$7,BA$7)</f>
        <v>0</v>
      </c>
      <c r="BB73" s="270">
        <f t="array" ref="BB73">INDEX('SC Cost File'!$A$2:$AB$31,MATCH($C73,'SC Cost File'!$A$2:$A$31,0),MATCH(BB$7,'SC Cost File'!$A$2:$AB$2,0))/COUNTIF($G$7:$CV$7,BB$7)</f>
        <v>0</v>
      </c>
      <c r="BC73" s="270">
        <f t="array" ref="BC73">INDEX('SC Cost File'!$A$2:$AB$31,MATCH($C73,'SC Cost File'!$A$2:$A$31,0),MATCH(BC$7,'SC Cost File'!$A$2:$AB$2,0))/COUNTIF($G$7:$CV$7,BC$7)</f>
        <v>0</v>
      </c>
      <c r="BD73" s="270">
        <f t="array" ref="BD73">INDEX('SC Cost File'!$A$2:$AB$31,MATCH($C73,'SC Cost File'!$A$2:$A$31,0),MATCH(BD$7,'SC Cost File'!$A$2:$AB$2,0))/COUNTIF($G$7:$CV$7,BD$7)</f>
        <v>0</v>
      </c>
      <c r="BE73" s="270">
        <f t="array" ref="BE73">INDEX('SC Cost File'!$A$2:$AB$31,MATCH($C73,'SC Cost File'!$A$2:$A$31,0),MATCH(BE$7,'SC Cost File'!$A$2:$AB$2,0))/COUNTIF($G$7:$CV$7,BE$7)</f>
        <v>3440.8</v>
      </c>
      <c r="BF73" s="270">
        <f t="array" ref="BF73">INDEX('SC Cost File'!$A$2:$AB$31,MATCH($C73,'SC Cost File'!$A$2:$A$31,0),MATCH(BF$7,'SC Cost File'!$A$2:$AB$2,0))/COUNTIF($G$7:$CV$7,BF$7)</f>
        <v>3440.8</v>
      </c>
      <c r="BG73" s="270">
        <f t="array" ref="BG73">INDEX('SC Cost File'!$A$2:$AB$31,MATCH($C73,'SC Cost File'!$A$2:$A$31,0),MATCH(BG$7,'SC Cost File'!$A$2:$AB$2,0))/COUNTIF($G$7:$CV$7,BG$7)</f>
        <v>3440.8</v>
      </c>
      <c r="BH73" s="270">
        <f t="array" ref="BH73">INDEX('SC Cost File'!$A$2:$AB$31,MATCH($C73,'SC Cost File'!$A$2:$A$31,0),MATCH(BH$7,'SC Cost File'!$A$2:$AB$2,0))/COUNTIF($G$7:$CV$7,BH$7)</f>
        <v>3440.8</v>
      </c>
      <c r="BI73" s="270">
        <f t="array" ref="BI73">INDEX('SC Cost File'!$A$2:$AB$31,MATCH($C73,'SC Cost File'!$A$2:$A$31,0),MATCH(BI$7,'SC Cost File'!$A$2:$AB$2,0))/COUNTIF($G$7:$CV$7,BI$7)</f>
        <v>3440.8</v>
      </c>
      <c r="BJ73" s="270">
        <f t="array" ref="BJ73">INDEX('SC Cost File'!$A$2:$AB$31,MATCH($C73,'SC Cost File'!$A$2:$A$31,0),MATCH(BJ$7,'SC Cost File'!$A$2:$AB$2,0))/COUNTIF($G$7:$CV$7,BJ$7)</f>
        <v>0</v>
      </c>
      <c r="BK73" s="270">
        <f t="array" ref="BK73">INDEX('SC Cost File'!$A$2:$AB$31,MATCH($C73,'SC Cost File'!$A$2:$A$31,0),MATCH(BK$7,'SC Cost File'!$A$2:$AB$2,0))/COUNTIF($G$7:$CV$7,BK$7)</f>
        <v>0</v>
      </c>
      <c r="BL73" s="270">
        <f t="array" ref="BL73">INDEX('SC Cost File'!$A$2:$AB$31,MATCH($C73,'SC Cost File'!$A$2:$A$31,0),MATCH(BL$7,'SC Cost File'!$A$2:$AB$2,0))/COUNTIF($G$7:$CV$7,BL$7)</f>
        <v>0</v>
      </c>
      <c r="BM73" s="270">
        <f t="array" ref="BM73">INDEX('SC Cost File'!$A$2:$AB$31,MATCH($C73,'SC Cost File'!$A$2:$A$31,0),MATCH(BM$7,'SC Cost File'!$A$2:$AB$2,0))/COUNTIF($G$7:$CV$7,BM$7)</f>
        <v>0</v>
      </c>
      <c r="BN73" s="270">
        <f t="array" ref="BN73">INDEX('SC Cost File'!$A$2:$AB$31,MATCH($C73,'SC Cost File'!$A$2:$A$31,0),MATCH(BN$7,'SC Cost File'!$A$2:$AB$2,0))/COUNTIF($G$7:$CV$7,BN$7)</f>
        <v>0</v>
      </c>
      <c r="BO73" s="270">
        <f t="array" ref="BO73">INDEX('SC Cost File'!$A$2:$AB$31,MATCH($C73,'SC Cost File'!$A$2:$A$31,0),MATCH(BO$7,'SC Cost File'!$A$2:$AB$2,0))/COUNTIF($G$7:$CV$7,BO$7)</f>
        <v>0</v>
      </c>
      <c r="BP73" s="270">
        <f t="array" ref="BP73">INDEX('SC Cost File'!$A$2:$AB$31,MATCH($C73,'SC Cost File'!$A$2:$A$31,0),MATCH(BP$7,'SC Cost File'!$A$2:$AB$2,0))/COUNTIF($G$7:$CV$7,BP$7)</f>
        <v>0</v>
      </c>
      <c r="BQ73" s="270">
        <f t="array" ref="BQ73">INDEX('SC Cost File'!$A$2:$AB$31,MATCH($C73,'SC Cost File'!$A$2:$A$31,0),MATCH(BQ$7,'SC Cost File'!$A$2:$AB$2,0))/COUNTIF($G$7:$CV$7,BQ$7)</f>
        <v>0</v>
      </c>
      <c r="BR73" s="270">
        <f t="array" ref="BR73">INDEX('SC Cost File'!$A$2:$AB$31,MATCH($C73,'SC Cost File'!$A$2:$A$31,0),MATCH(BR$7,'SC Cost File'!$A$2:$AB$2,0))/COUNTIF($G$7:$CV$7,BR$7)</f>
        <v>0</v>
      </c>
      <c r="BS73" s="270">
        <f t="array" ref="BS73">INDEX('SC Cost File'!$A$2:$AB$31,MATCH($C73,'SC Cost File'!$A$2:$A$31,0),MATCH(BS$7,'SC Cost File'!$A$2:$AB$2,0))/COUNTIF($G$7:$CV$7,BS$7)</f>
        <v>0</v>
      </c>
      <c r="BT73" s="270">
        <f t="array" ref="BT73">INDEX('SC Cost File'!$A$2:$AB$31,MATCH($C73,'SC Cost File'!$A$2:$A$31,0),MATCH(BT$7,'SC Cost File'!$A$2:$AB$2,0))/COUNTIF($G$7:$CV$7,BT$7)</f>
        <v>0</v>
      </c>
      <c r="BU73" s="270">
        <f t="array" ref="BU73">INDEX('SC Cost File'!$A$2:$AB$31,MATCH($C73,'SC Cost File'!$A$2:$A$31,0),MATCH(BU$7,'SC Cost File'!$A$2:$AB$2,0))/COUNTIF($G$7:$CV$7,BU$7)</f>
        <v>0</v>
      </c>
      <c r="BV73" s="270">
        <f t="array" ref="BV73">INDEX('SC Cost File'!$A$2:$AB$31,MATCH($C73,'SC Cost File'!$A$2:$A$31,0),MATCH(BV$7,'SC Cost File'!$A$2:$AB$2,0))/COUNTIF($G$7:$CV$7,BV$7)</f>
        <v>0</v>
      </c>
      <c r="BW73" s="270">
        <f t="array" ref="BW73">INDEX('SC Cost File'!$A$2:$AB$31,MATCH($C73,'SC Cost File'!$A$2:$A$31,0),MATCH(BW$7,'SC Cost File'!$A$2:$AB$2,0))/COUNTIF($G$7:$CV$7,BW$7)</f>
        <v>0</v>
      </c>
      <c r="BX73" s="270">
        <f t="array" ref="BX73">INDEX('SC Cost File'!$A$2:$AB$31,MATCH($C73,'SC Cost File'!$A$2:$A$31,0),MATCH(BX$7,'SC Cost File'!$A$2:$AB$2,0))/COUNTIF($G$7:$CV$7,BX$7)</f>
        <v>0</v>
      </c>
      <c r="BY73" s="270">
        <f t="array" ref="BY73">INDEX('SC Cost File'!$A$2:$AB$31,MATCH($C73,'SC Cost File'!$A$2:$A$31,0),MATCH(BY$7,'SC Cost File'!$A$2:$AB$2,0))/COUNTIF($G$7:$CV$7,BY$7)</f>
        <v>0</v>
      </c>
      <c r="BZ73" s="270">
        <f t="array" ref="BZ73">INDEX('SC Cost File'!$A$2:$AB$31,MATCH($C73,'SC Cost File'!$A$2:$A$31,0),MATCH(BZ$7,'SC Cost File'!$A$2:$AB$2,0))/COUNTIF($G$7:$CV$7,BZ$7)</f>
        <v>0</v>
      </c>
      <c r="CA73" s="270">
        <f t="array" ref="CA73">INDEX('SC Cost File'!$A$2:$AB$31,MATCH($C73,'SC Cost File'!$A$2:$A$31,0),MATCH(CA$7,'SC Cost File'!$A$2:$AB$2,0))/COUNTIF($G$7:$CV$7,CA$7)</f>
        <v>0</v>
      </c>
      <c r="CB73" s="270">
        <f t="array" ref="CB73">INDEX('SC Cost File'!$A$2:$AB$31,MATCH($C73,'SC Cost File'!$A$2:$A$31,0),MATCH(CB$7,'SC Cost File'!$A$2:$AB$2,0))/COUNTIF($G$7:$CV$7,CB$7)</f>
        <v>0</v>
      </c>
      <c r="CC73" s="270">
        <f t="array" ref="CC73">INDEX('SC Cost File'!$A$2:$AB$31,MATCH($C73,'SC Cost File'!$A$2:$A$31,0),MATCH(CC$7,'SC Cost File'!$A$2:$AB$2,0))/COUNTIF($G$7:$CV$7,CC$7)</f>
        <v>0</v>
      </c>
      <c r="CD73" s="270">
        <f t="array" ref="CD73">INDEX('SC Cost File'!$A$2:$AB$31,MATCH($C73,'SC Cost File'!$A$2:$A$31,0),MATCH(CD$7,'SC Cost File'!$A$2:$AB$2,0))/COUNTIF($G$7:$CV$7,CD$7)</f>
        <v>0</v>
      </c>
      <c r="CE73" s="270">
        <f t="array" ref="CE73">INDEX('SC Cost File'!$A$2:$AB$31,MATCH($C73,'SC Cost File'!$A$2:$A$31,0),MATCH(CE$7,'SC Cost File'!$A$2:$AB$2,0))/COUNTIF($G$7:$CV$7,CE$7)</f>
        <v>0</v>
      </c>
      <c r="CF73" s="270">
        <f t="array" ref="CF73">INDEX('SC Cost File'!$A$2:$AB$31,MATCH($C73,'SC Cost File'!$A$2:$A$31,0),MATCH(CF$7,'SC Cost File'!$A$2:$AB$2,0))/COUNTIF($G$7:$CV$7,CF$7)</f>
        <v>0</v>
      </c>
      <c r="CG73" s="270">
        <f t="array" ref="CG73">INDEX('SC Cost File'!$A$2:$AB$31,MATCH($C73,'SC Cost File'!$A$2:$A$31,0),MATCH(CG$7,'SC Cost File'!$A$2:$AB$2,0))/COUNTIF($G$7:$CV$7,CG$7)</f>
        <v>0</v>
      </c>
      <c r="CH73" s="270">
        <f t="array" ref="CH73">INDEX('SC Cost File'!$A$2:$AB$31,MATCH($C73,'SC Cost File'!$A$2:$A$31,0),MATCH(CH$7,'SC Cost File'!$A$2:$AB$2,0))/COUNTIF($G$7:$CV$7,CH$7)</f>
        <v>0</v>
      </c>
      <c r="CI73" s="270">
        <f t="array" ref="CI73">INDEX('SC Cost File'!$A$2:$AB$31,MATCH($C73,'SC Cost File'!$A$2:$A$31,0),MATCH(CI$7,'SC Cost File'!$A$2:$AB$2,0))/COUNTIF($G$7:$CV$7,CI$7)</f>
        <v>0</v>
      </c>
      <c r="CJ73" s="270">
        <f t="array" ref="CJ73">INDEX('SC Cost File'!$A$2:$AB$31,MATCH($C73,'SC Cost File'!$A$2:$A$31,0),MATCH(CJ$7,'SC Cost File'!$A$2:$AB$2,0))/COUNTIF($G$7:$CV$7,CJ$7)</f>
        <v>0</v>
      </c>
      <c r="CK73" s="270">
        <f t="array" ref="CK73">INDEX('SC Cost File'!$A$2:$AB$31,MATCH($C73,'SC Cost File'!$A$2:$A$31,0),MATCH(CK$7,'SC Cost File'!$A$2:$AB$2,0))/COUNTIF($G$7:$CV$7,CK$7)</f>
        <v>0</v>
      </c>
      <c r="CL73" s="270">
        <f t="array" ref="CL73">INDEX('SC Cost File'!$A$2:$AB$31,MATCH($C73,'SC Cost File'!$A$2:$A$31,0),MATCH(CL$7,'SC Cost File'!$A$2:$AB$2,0))/COUNTIF($G$7:$CV$7,CL$7)</f>
        <v>0</v>
      </c>
      <c r="CM73" s="270">
        <f t="array" ref="CM73">INDEX('SC Cost File'!$A$2:$AB$31,MATCH($C73,'SC Cost File'!$A$2:$A$31,0),MATCH(CM$7,'SC Cost File'!$A$2:$AB$2,0))/COUNTIF($G$7:$CV$7,CM$7)</f>
        <v>0</v>
      </c>
      <c r="CN73" s="270">
        <f t="array" ref="CN73">INDEX('SC Cost File'!$A$2:$AB$31,MATCH($C73,'SC Cost File'!$A$2:$A$31,0),MATCH(CN$7,'SC Cost File'!$A$2:$AB$2,0))/COUNTIF($G$7:$CV$7,CN$7)</f>
        <v>0</v>
      </c>
      <c r="CO73" s="270">
        <f t="array" ref="CO73">INDEX('SC Cost File'!$A$2:$AB$31,MATCH($C73,'SC Cost File'!$A$2:$A$31,0),MATCH(CO$7,'SC Cost File'!$A$2:$AB$2,0))/COUNTIF($G$7:$CV$7,CO$7)</f>
        <v>0</v>
      </c>
      <c r="CP73" s="270">
        <f t="array" ref="CP73">INDEX('SC Cost File'!$A$2:$AB$31,MATCH($C73,'SC Cost File'!$A$2:$A$31,0),MATCH(CP$7,'SC Cost File'!$A$2:$AB$2,0))/COUNTIF($G$7:$CV$7,CP$7)</f>
        <v>0</v>
      </c>
      <c r="CQ73" s="270">
        <f t="array" ref="CQ73">INDEX('SC Cost File'!$A$2:$AB$31,MATCH($C73,'SC Cost File'!$A$2:$A$31,0),MATCH(CQ$7,'SC Cost File'!$A$2:$AB$2,0))/COUNTIF($G$7:$CV$7,CQ$7)</f>
        <v>0</v>
      </c>
      <c r="CR73" s="270">
        <f t="array" ref="CR73">INDEX('SC Cost File'!$A$2:$AB$31,MATCH($C73,'SC Cost File'!$A$2:$A$31,0),MATCH(CR$7,'SC Cost File'!$A$2:$AB$2,0))/COUNTIF($G$7:$CV$7,CR$7)</f>
        <v>0</v>
      </c>
      <c r="CS73" s="270">
        <f t="array" ref="CS73">INDEX('SC Cost File'!$A$2:$AB$31,MATCH($C73,'SC Cost File'!$A$2:$A$31,0),MATCH(CS$7,'SC Cost File'!$A$2:$AB$2,0))/COUNTIF($G$7:$CV$7,CS$7)</f>
        <v>0</v>
      </c>
      <c r="CT73" s="270">
        <f t="array" ref="CT73">INDEX('SC Cost File'!$A$2:$AB$31,MATCH($C73,'SC Cost File'!$A$2:$A$31,0),MATCH(CT$7,'SC Cost File'!$A$2:$AB$2,0))/COUNTIF($G$7:$CV$7,CT$7)</f>
        <v>0</v>
      </c>
      <c r="CU73" s="270">
        <f t="array" ref="CU73">INDEX('SC Cost File'!$A$2:$AB$31,MATCH($C73,'SC Cost File'!$A$2:$A$31,0),MATCH(CU$7,'SC Cost File'!$A$2:$AB$2,0))/COUNTIF($G$7:$CV$7,CU$7)</f>
        <v>0</v>
      </c>
      <c r="CV73" s="270">
        <f t="array" ref="CV73">INDEX('SC Cost File'!$A$2:$AB$31,MATCH($C73,'SC Cost File'!$A$2:$A$31,0),MATCH(CV$7,'SC Cost File'!$A$2:$AB$2,0))/COUNTIF($G$7:$CV$7,CV$7)</f>
        <v>0</v>
      </c>
      <c r="CW73" s="272"/>
      <c r="CX73" s="272"/>
      <c r="CY73" s="272"/>
      <c r="CZ73" s="272"/>
      <c r="DA73" s="272"/>
      <c r="DB73" s="272"/>
      <c r="DC73" s="272"/>
      <c r="DD73" s="272"/>
      <c r="DE73" s="272"/>
      <c r="DF73" s="272"/>
      <c r="DG73" s="272"/>
      <c r="DH73" s="272"/>
      <c r="DI73" s="272"/>
      <c r="DJ73" s="272"/>
      <c r="DK73" s="272"/>
      <c r="DL73" s="272"/>
      <c r="DM73" s="272"/>
      <c r="DN73" s="272"/>
      <c r="DO73" s="272"/>
      <c r="DP73" s="272"/>
    </row>
    <row r="74" spans="1:120" s="273" customFormat="1" ht="14.25" customHeight="1" x14ac:dyDescent="0.2">
      <c r="A74" s="270"/>
      <c r="B74" s="270"/>
      <c r="C74" s="270"/>
      <c r="D74" s="270" t="s">
        <v>186</v>
      </c>
      <c r="E74" s="270" t="s">
        <v>187</v>
      </c>
      <c r="F74" s="270" t="s">
        <v>126</v>
      </c>
      <c r="G74" s="270"/>
      <c r="H74" s="270"/>
      <c r="I74" s="270"/>
      <c r="J74" s="270"/>
      <c r="K74" s="270"/>
      <c r="L74" s="270"/>
      <c r="M74" s="270"/>
      <c r="N74" s="289">
        <f>SUMIF($O$8:$AV$8,"&gt;="&amp;'CURRENT FORECAST START DATE'!$C$4,'Weekly Spend'!O74:AV74)</f>
        <v>0</v>
      </c>
      <c r="O74" s="270"/>
      <c r="P74" s="270"/>
      <c r="Q74" s="270"/>
      <c r="R74" s="270"/>
      <c r="S74" s="270"/>
      <c r="T74" s="270"/>
      <c r="U74" s="270"/>
      <c r="V74" s="270"/>
      <c r="W74" s="270"/>
      <c r="X74" s="270"/>
      <c r="Y74" s="270">
        <v>0</v>
      </c>
      <c r="Z74" s="270"/>
      <c r="AA74" s="270">
        <v>2500</v>
      </c>
      <c r="AB74" s="270"/>
      <c r="AC74" s="270"/>
      <c r="AD74" s="270"/>
      <c r="AE74" s="270"/>
      <c r="AF74" s="270"/>
      <c r="AG74" s="270"/>
      <c r="AH74" s="270"/>
      <c r="AI74" s="270"/>
      <c r="AJ74" s="270"/>
      <c r="AK74" s="270"/>
      <c r="AL74" s="270"/>
      <c r="AM74" s="270"/>
      <c r="AN74" s="270"/>
      <c r="AO74" s="390"/>
      <c r="AP74" s="270"/>
      <c r="AQ74" s="270"/>
      <c r="AR74" s="270"/>
      <c r="AS74" s="270"/>
      <c r="AT74" s="270"/>
      <c r="AU74" s="270"/>
      <c r="AV74" s="270"/>
      <c r="AW74" s="270"/>
      <c r="AX74" s="270"/>
      <c r="AY74" s="270"/>
      <c r="AZ74" s="270"/>
      <c r="BA74" s="270"/>
      <c r="BB74" s="270"/>
      <c r="BC74" s="270"/>
      <c r="BD74" s="270"/>
      <c r="BE74" s="270"/>
      <c r="BF74" s="270"/>
      <c r="BG74" s="270"/>
      <c r="BH74" s="270"/>
      <c r="BI74" s="270"/>
      <c r="BJ74" s="270"/>
      <c r="BK74" s="270"/>
      <c r="BL74" s="270"/>
      <c r="BM74" s="270"/>
      <c r="BN74" s="270"/>
      <c r="BO74" s="270"/>
      <c r="BP74" s="270"/>
      <c r="BQ74" s="270"/>
      <c r="BR74" s="270"/>
      <c r="BS74" s="270"/>
      <c r="BT74" s="270"/>
      <c r="BU74" s="270"/>
      <c r="BV74" s="270"/>
      <c r="BW74" s="270"/>
      <c r="BX74" s="270"/>
      <c r="BY74" s="270"/>
      <c r="BZ74" s="270"/>
      <c r="CA74" s="270"/>
      <c r="CB74" s="270"/>
      <c r="CC74" s="270"/>
      <c r="CD74" s="270"/>
      <c r="CE74" s="270"/>
      <c r="CF74" s="270"/>
      <c r="CG74" s="270"/>
      <c r="CH74" s="270"/>
      <c r="CI74" s="270"/>
      <c r="CJ74" s="270"/>
      <c r="CK74" s="270"/>
      <c r="CL74" s="270"/>
      <c r="CM74" s="270"/>
      <c r="CN74" s="270"/>
      <c r="CO74" s="270"/>
      <c r="CP74" s="270"/>
      <c r="CQ74" s="270"/>
      <c r="CR74" s="270"/>
      <c r="CS74" s="270"/>
      <c r="CT74" s="270"/>
      <c r="CU74" s="270"/>
      <c r="CV74" s="270"/>
      <c r="CW74" s="272"/>
      <c r="CX74" s="272"/>
      <c r="CY74" s="272"/>
      <c r="CZ74" s="272"/>
      <c r="DA74" s="272"/>
      <c r="DB74" s="272"/>
      <c r="DC74" s="272"/>
      <c r="DD74" s="272"/>
      <c r="DE74" s="272"/>
      <c r="DF74" s="272"/>
      <c r="DG74" s="272"/>
      <c r="DH74" s="272"/>
      <c r="DI74" s="272"/>
      <c r="DJ74" s="272"/>
      <c r="DK74" s="272"/>
      <c r="DL74" s="272"/>
      <c r="DM74" s="272"/>
      <c r="DN74" s="272"/>
      <c r="DO74" s="272"/>
      <c r="DP74" s="272"/>
    </row>
    <row r="75" spans="1:120" s="273" customFormat="1" ht="14.25" customHeight="1" x14ac:dyDescent="0.2">
      <c r="A75" s="269" t="s">
        <v>129</v>
      </c>
      <c r="B75" s="269">
        <f>_xlfn.SINGLE(_xlfn.XLOOKUP(F75, $F$87:$F$95, $E$87:$E$95))</f>
        <v>7</v>
      </c>
      <c r="C75" s="269" t="s">
        <v>188</v>
      </c>
      <c r="D75" s="269" t="s">
        <v>131</v>
      </c>
      <c r="E75" s="269" t="s">
        <v>189</v>
      </c>
      <c r="F75" s="269" t="s">
        <v>50</v>
      </c>
      <c r="G75" s="269"/>
      <c r="H75" s="275">
        <v>4499.03</v>
      </c>
      <c r="I75" s="269"/>
      <c r="J75" s="269"/>
      <c r="K75" s="269"/>
      <c r="L75" s="269"/>
      <c r="M75" s="269"/>
      <c r="N75" s="290">
        <f>SUMIF($O$8:$AV$8,"&gt;="&amp;'CURRENT FORECAST START DATE'!$C$4,'Weekly Spend'!O75:AV75)</f>
        <v>30000</v>
      </c>
      <c r="O75" s="269">
        <v>0</v>
      </c>
      <c r="P75" s="269">
        <v>0</v>
      </c>
      <c r="Q75" s="269">
        <v>0</v>
      </c>
      <c r="R75" s="269">
        <v>0</v>
      </c>
      <c r="S75" s="269">
        <v>0</v>
      </c>
      <c r="T75" s="269">
        <v>0</v>
      </c>
      <c r="U75" s="269">
        <v>0</v>
      </c>
      <c r="V75" s="269">
        <f>1928.2</f>
        <v>1928.2</v>
      </c>
      <c r="W75" s="269">
        <v>0</v>
      </c>
      <c r="X75" s="269">
        <v>0</v>
      </c>
      <c r="Y75" s="269">
        <v>0</v>
      </c>
      <c r="Z75" s="304">
        <v>6000</v>
      </c>
      <c r="AA75" s="269">
        <v>0</v>
      </c>
      <c r="AB75" s="269">
        <v>0</v>
      </c>
      <c r="AC75" s="269">
        <v>0</v>
      </c>
      <c r="AD75" s="269"/>
      <c r="AE75" s="303">
        <v>13000</v>
      </c>
      <c r="AF75" s="269">
        <v>0</v>
      </c>
      <c r="AG75" s="269">
        <v>0</v>
      </c>
      <c r="AH75" s="269">
        <f>AD75</f>
        <v>0</v>
      </c>
      <c r="AI75" s="269">
        <f>AE75</f>
        <v>13000</v>
      </c>
      <c r="AJ75" s="269">
        <v>0</v>
      </c>
      <c r="AK75" s="269">
        <v>0</v>
      </c>
      <c r="AL75" s="269">
        <v>0</v>
      </c>
      <c r="AM75" s="269">
        <v>14000</v>
      </c>
      <c r="AN75" s="269">
        <v>0</v>
      </c>
      <c r="AO75" s="389">
        <v>0</v>
      </c>
      <c r="AP75" s="269">
        <f>AL75</f>
        <v>0</v>
      </c>
      <c r="AQ75" s="269">
        <v>15000</v>
      </c>
      <c r="AR75" s="269">
        <v>0</v>
      </c>
      <c r="AS75" s="269">
        <v>0</v>
      </c>
      <c r="AT75" s="269">
        <f>AP75</f>
        <v>0</v>
      </c>
      <c r="AU75" s="269"/>
      <c r="AV75" s="269">
        <f>AQ75</f>
        <v>15000</v>
      </c>
      <c r="AW75" s="269">
        <v>0</v>
      </c>
      <c r="AX75" s="269">
        <f>AT75</f>
        <v>0</v>
      </c>
      <c r="AY75" s="269">
        <v>0</v>
      </c>
      <c r="AZ75" s="269">
        <f>AV75</f>
        <v>15000</v>
      </c>
      <c r="BA75" s="269">
        <v>0</v>
      </c>
      <c r="BB75" s="269">
        <f>AX75</f>
        <v>0</v>
      </c>
      <c r="BC75" s="269">
        <v>0</v>
      </c>
      <c r="BD75" s="269"/>
      <c r="BE75" s="269">
        <f>AZ75</f>
        <v>15000</v>
      </c>
      <c r="BF75" s="269">
        <v>0</v>
      </c>
      <c r="BG75" s="269">
        <v>0</v>
      </c>
      <c r="BH75" s="269">
        <v>0</v>
      </c>
      <c r="BI75" s="269">
        <v>13333</v>
      </c>
      <c r="BJ75" s="269">
        <v>0</v>
      </c>
      <c r="BK75" s="269">
        <v>0</v>
      </c>
      <c r="BL75" s="269">
        <v>0</v>
      </c>
      <c r="BM75" s="269">
        <v>13333</v>
      </c>
      <c r="BN75" s="269">
        <v>0</v>
      </c>
      <c r="BO75" s="269">
        <v>0</v>
      </c>
      <c r="BP75" s="269">
        <v>0</v>
      </c>
      <c r="BQ75" s="269">
        <v>0</v>
      </c>
      <c r="BR75" s="269">
        <v>0</v>
      </c>
      <c r="BS75" s="269">
        <v>0</v>
      </c>
      <c r="BT75" s="269">
        <v>0</v>
      </c>
      <c r="BU75" s="269">
        <v>0</v>
      </c>
      <c r="BV75" s="269">
        <v>0</v>
      </c>
      <c r="BW75" s="269">
        <v>0</v>
      </c>
      <c r="BX75" s="269">
        <v>0</v>
      </c>
      <c r="BY75" s="269">
        <v>0</v>
      </c>
      <c r="BZ75" s="269">
        <v>0</v>
      </c>
      <c r="CA75" s="269">
        <v>0</v>
      </c>
      <c r="CB75" s="269">
        <v>0</v>
      </c>
      <c r="CC75" s="269">
        <v>0</v>
      </c>
      <c r="CD75" s="269">
        <v>0</v>
      </c>
      <c r="CE75" s="269">
        <v>0</v>
      </c>
      <c r="CF75" s="269">
        <v>0</v>
      </c>
      <c r="CG75" s="269">
        <v>0</v>
      </c>
      <c r="CH75" s="269">
        <v>0</v>
      </c>
      <c r="CI75" s="269">
        <v>0</v>
      </c>
      <c r="CJ75" s="269">
        <v>0</v>
      </c>
      <c r="CK75" s="269">
        <v>0</v>
      </c>
      <c r="CL75" s="269">
        <v>0</v>
      </c>
      <c r="CM75" s="269">
        <v>0</v>
      </c>
      <c r="CN75" s="269">
        <v>0</v>
      </c>
      <c r="CO75" s="269">
        <v>0</v>
      </c>
      <c r="CP75" s="269">
        <v>0</v>
      </c>
      <c r="CQ75" s="269">
        <v>0</v>
      </c>
      <c r="CR75" s="269">
        <v>0</v>
      </c>
      <c r="CS75" s="269">
        <v>0</v>
      </c>
      <c r="CT75" s="269">
        <v>0</v>
      </c>
      <c r="CU75" s="269">
        <v>0</v>
      </c>
      <c r="CV75" s="269">
        <v>0</v>
      </c>
      <c r="CW75" s="272"/>
      <c r="CX75" s="272"/>
      <c r="CY75" s="272"/>
      <c r="CZ75" s="272"/>
      <c r="DA75" s="272"/>
      <c r="DB75" s="272"/>
      <c r="DC75" s="272"/>
      <c r="DD75" s="272"/>
      <c r="DE75" s="272"/>
      <c r="DF75" s="272"/>
      <c r="DG75" s="272"/>
      <c r="DH75" s="272"/>
      <c r="DI75" s="272"/>
      <c r="DJ75" s="272"/>
      <c r="DK75" s="272"/>
      <c r="DL75" s="272"/>
      <c r="DM75" s="272"/>
      <c r="DN75" s="272"/>
      <c r="DO75" s="272"/>
      <c r="DP75" s="272"/>
    </row>
    <row r="76" spans="1:120" s="273" customFormat="1" ht="14.25" customHeight="1" x14ac:dyDescent="0.2">
      <c r="A76" s="269"/>
      <c r="B76" s="269"/>
      <c r="C76" s="269"/>
      <c r="D76" s="269" t="s">
        <v>190</v>
      </c>
      <c r="E76" s="269" t="s">
        <v>110</v>
      </c>
      <c r="F76" s="269" t="s">
        <v>126</v>
      </c>
      <c r="G76" s="269"/>
      <c r="H76" s="275"/>
      <c r="I76" s="269"/>
      <c r="J76" s="269"/>
      <c r="K76" s="269"/>
      <c r="L76" s="269"/>
      <c r="M76" s="269"/>
      <c r="N76" s="290">
        <f>SUMIF($O$8:$AV$8,"&gt;="&amp;'CURRENT FORECAST START DATE'!$C$4,'Weekly Spend'!O76:AV76)</f>
        <v>0</v>
      </c>
      <c r="O76" s="269"/>
      <c r="P76" s="269"/>
      <c r="Q76" s="269"/>
      <c r="R76" s="269"/>
      <c r="S76" s="269"/>
      <c r="T76" s="269"/>
      <c r="U76" s="269"/>
      <c r="V76" s="269"/>
      <c r="W76" s="269"/>
      <c r="X76" s="269"/>
      <c r="Y76" s="304">
        <v>1350</v>
      </c>
      <c r="Z76" s="269">
        <v>2500</v>
      </c>
      <c r="AA76" s="269"/>
      <c r="AB76" s="269">
        <v>4050</v>
      </c>
      <c r="AC76" s="269"/>
      <c r="AD76" s="269"/>
      <c r="AE76" s="269"/>
      <c r="AF76" s="269">
        <v>3000</v>
      </c>
      <c r="AG76" s="269">
        <v>4000</v>
      </c>
      <c r="AH76" s="269">
        <v>3500</v>
      </c>
      <c r="AI76" s="269">
        <v>3500</v>
      </c>
      <c r="AJ76" s="269">
        <v>5625</v>
      </c>
      <c r="AK76" s="269"/>
      <c r="AL76" s="269"/>
      <c r="AM76" s="269"/>
      <c r="AN76" s="269"/>
      <c r="AO76" s="389"/>
      <c r="AP76" s="269"/>
      <c r="AQ76" s="269"/>
      <c r="AR76" s="269"/>
      <c r="AS76" s="269"/>
      <c r="AT76" s="269"/>
      <c r="AU76" s="269"/>
      <c r="AV76" s="269"/>
      <c r="AW76" s="269"/>
      <c r="AX76" s="269"/>
      <c r="AY76" s="269"/>
      <c r="AZ76" s="269"/>
      <c r="BA76" s="269"/>
      <c r="BB76" s="269"/>
      <c r="BC76" s="269"/>
      <c r="BD76" s="269"/>
      <c r="BE76" s="269"/>
      <c r="BF76" s="269"/>
      <c r="BG76" s="269"/>
      <c r="BH76" s="269"/>
      <c r="BI76" s="269"/>
      <c r="BJ76" s="269"/>
      <c r="BK76" s="269"/>
      <c r="BL76" s="269"/>
      <c r="BM76" s="269"/>
      <c r="BN76" s="269"/>
      <c r="BO76" s="269"/>
      <c r="BP76" s="269"/>
      <c r="BQ76" s="269"/>
      <c r="BR76" s="269"/>
      <c r="BS76" s="269"/>
      <c r="BT76" s="269"/>
      <c r="BU76" s="269"/>
      <c r="BV76" s="269"/>
      <c r="BW76" s="269"/>
      <c r="BX76" s="269"/>
      <c r="BY76" s="269"/>
      <c r="BZ76" s="269"/>
      <c r="CA76" s="269"/>
      <c r="CB76" s="269"/>
      <c r="CC76" s="269"/>
      <c r="CD76" s="269"/>
      <c r="CE76" s="269"/>
      <c r="CF76" s="269"/>
      <c r="CG76" s="269"/>
      <c r="CH76" s="269"/>
      <c r="CI76" s="269"/>
      <c r="CJ76" s="269"/>
      <c r="CK76" s="269"/>
      <c r="CL76" s="269"/>
      <c r="CM76" s="269"/>
      <c r="CN76" s="269"/>
      <c r="CO76" s="269"/>
      <c r="CP76" s="269"/>
      <c r="CQ76" s="269"/>
      <c r="CR76" s="269"/>
      <c r="CS76" s="269"/>
      <c r="CT76" s="269"/>
      <c r="CU76" s="269"/>
      <c r="CV76" s="269"/>
      <c r="CW76" s="272"/>
      <c r="CX76" s="272"/>
      <c r="CY76" s="272"/>
      <c r="CZ76" s="272"/>
      <c r="DA76" s="272"/>
      <c r="DB76" s="272"/>
      <c r="DC76" s="272"/>
      <c r="DD76" s="272"/>
      <c r="DE76" s="272"/>
      <c r="DF76" s="272"/>
      <c r="DG76" s="272"/>
      <c r="DH76" s="272"/>
      <c r="DI76" s="272"/>
      <c r="DJ76" s="272"/>
      <c r="DK76" s="272"/>
      <c r="DL76" s="272"/>
      <c r="DM76" s="272"/>
      <c r="DN76" s="272"/>
      <c r="DO76" s="272"/>
      <c r="DP76" s="272"/>
    </row>
    <row r="77" spans="1:120" s="273" customFormat="1" ht="14.25" customHeight="1" x14ac:dyDescent="0.2">
      <c r="A77" s="269"/>
      <c r="B77" s="269"/>
      <c r="C77" s="269"/>
      <c r="D77" s="269" t="s">
        <v>191</v>
      </c>
      <c r="E77" s="269" t="s">
        <v>125</v>
      </c>
      <c r="F77" s="420" t="s">
        <v>192</v>
      </c>
      <c r="G77" s="269"/>
      <c r="H77" s="275"/>
      <c r="I77" s="269"/>
      <c r="J77" s="269"/>
      <c r="K77" s="269"/>
      <c r="L77" s="269"/>
      <c r="M77" s="269"/>
      <c r="N77" s="290">
        <f>SUMIF($O$8:$AV$8,"&gt;="&amp;'CURRENT FORECAST START DATE'!$C$4,'Weekly Spend'!O77:AV77)</f>
        <v>0</v>
      </c>
      <c r="O77" s="269"/>
      <c r="P77" s="269"/>
      <c r="Q77" s="269"/>
      <c r="R77" s="269"/>
      <c r="S77" s="269"/>
      <c r="T77" s="269"/>
      <c r="U77" s="269"/>
      <c r="V77" s="269"/>
      <c r="W77" s="269"/>
      <c r="X77" s="269"/>
      <c r="Y77" s="304"/>
      <c r="Z77" s="269"/>
      <c r="AA77" s="269"/>
      <c r="AB77" s="269"/>
      <c r="AC77" s="269"/>
      <c r="AD77" s="269"/>
      <c r="AE77" s="303">
        <v>7384</v>
      </c>
      <c r="AF77" s="303">
        <v>7384.62</v>
      </c>
      <c r="AG77" s="316"/>
      <c r="AH77" s="269"/>
      <c r="AI77" s="269"/>
      <c r="AJ77" s="269"/>
      <c r="AK77" s="303">
        <f>7385+3692.31</f>
        <v>11077.31</v>
      </c>
      <c r="AL77" s="269"/>
      <c r="AN77" s="424">
        <v>7384.62</v>
      </c>
      <c r="AO77" s="416"/>
      <c r="AP77" s="269"/>
      <c r="AQ77" s="269"/>
      <c r="AR77" s="269"/>
      <c r="AS77" s="269"/>
      <c r="AT77" s="269"/>
      <c r="AU77" s="269"/>
      <c r="AV77" s="269"/>
      <c r="AW77" s="269"/>
      <c r="AX77" s="269"/>
      <c r="AY77" s="269"/>
      <c r="BA77" s="269"/>
      <c r="BB77" s="269"/>
      <c r="BD77" s="269"/>
      <c r="BF77" s="269"/>
      <c r="BG77" s="420">
        <v>40000</v>
      </c>
      <c r="BH77" s="269"/>
      <c r="BJ77" s="269"/>
      <c r="BK77" s="422">
        <v>35000</v>
      </c>
      <c r="BL77" s="269"/>
      <c r="BM77" s="269"/>
      <c r="BN77" s="269"/>
      <c r="BO77" s="269"/>
      <c r="BQ77" s="269"/>
      <c r="BR77" s="269"/>
      <c r="BS77" s="269"/>
      <c r="BT77" s="269"/>
      <c r="BU77" s="269"/>
      <c r="BV77" s="420">
        <v>35000</v>
      </c>
      <c r="BW77" s="269"/>
      <c r="BX77" s="426">
        <v>35000</v>
      </c>
      <c r="BY77" s="420">
        <v>35000</v>
      </c>
      <c r="BZ77" s="269"/>
      <c r="CA77" s="420">
        <v>35000</v>
      </c>
      <c r="CB77" s="269">
        <v>0</v>
      </c>
      <c r="CC77" s="420">
        <v>35000</v>
      </c>
      <c r="CD77" s="269"/>
      <c r="CE77" s="420">
        <v>35000</v>
      </c>
      <c r="CF77" s="269">
        <v>0</v>
      </c>
      <c r="CG77" s="420">
        <v>35000</v>
      </c>
      <c r="CH77" s="269"/>
      <c r="CI77" s="420">
        <v>35000</v>
      </c>
      <c r="CJ77" s="269">
        <v>0</v>
      </c>
      <c r="CK77" s="269"/>
      <c r="CL77" s="420">
        <v>35000</v>
      </c>
      <c r="CM77" s="269"/>
      <c r="CN77" s="420">
        <v>35000</v>
      </c>
      <c r="CO77" s="269">
        <v>0</v>
      </c>
      <c r="CP77" s="269"/>
      <c r="CQ77" s="269">
        <v>0</v>
      </c>
      <c r="CR77" s="420">
        <v>35000</v>
      </c>
      <c r="CS77" s="269">
        <v>0</v>
      </c>
      <c r="CT77" s="420">
        <v>35000</v>
      </c>
      <c r="CU77" s="269">
        <v>0</v>
      </c>
      <c r="CV77" s="269"/>
      <c r="CW77" s="272"/>
      <c r="CX77" s="272"/>
      <c r="CY77" s="272"/>
      <c r="CZ77" s="272"/>
      <c r="DA77" s="272"/>
      <c r="DB77" s="272"/>
      <c r="DC77" s="272"/>
      <c r="DD77" s="272"/>
      <c r="DE77" s="272"/>
      <c r="DF77" s="272"/>
      <c r="DG77" s="272"/>
      <c r="DH77" s="272"/>
      <c r="DI77" s="272"/>
      <c r="DJ77" s="272"/>
      <c r="DK77" s="272"/>
      <c r="DL77" s="272"/>
      <c r="DM77" s="272"/>
      <c r="DN77" s="272"/>
      <c r="DO77" s="272"/>
      <c r="DP77" s="272"/>
    </row>
    <row r="78" spans="1:120" s="273" customFormat="1" ht="14.25" customHeight="1" x14ac:dyDescent="0.2">
      <c r="A78" s="269"/>
      <c r="B78" s="269"/>
      <c r="C78" s="269"/>
      <c r="D78" s="269" t="s">
        <v>193</v>
      </c>
      <c r="E78" s="269" t="s">
        <v>125</v>
      </c>
      <c r="F78" s="269" t="s">
        <v>126</v>
      </c>
      <c r="G78" s="269"/>
      <c r="H78" s="275"/>
      <c r="I78" s="269"/>
      <c r="J78" s="269"/>
      <c r="K78" s="269"/>
      <c r="L78" s="269"/>
      <c r="M78" s="269"/>
      <c r="N78" s="290"/>
      <c r="O78" s="269"/>
      <c r="P78" s="269"/>
      <c r="Q78" s="269"/>
      <c r="R78" s="269"/>
      <c r="S78" s="269"/>
      <c r="T78" s="269"/>
      <c r="U78" s="269"/>
      <c r="V78" s="269"/>
      <c r="W78" s="269"/>
      <c r="X78" s="269"/>
      <c r="Y78" s="304"/>
      <c r="Z78" s="269"/>
      <c r="AA78" s="269"/>
      <c r="AB78" s="269"/>
      <c r="AC78" s="269"/>
      <c r="AD78" s="269"/>
      <c r="AE78" s="303"/>
      <c r="AF78" s="303"/>
      <c r="AG78" s="316"/>
      <c r="AH78" s="269"/>
      <c r="AI78" s="269"/>
      <c r="AJ78" s="269"/>
      <c r="AK78" s="303"/>
      <c r="AL78" s="269"/>
      <c r="AM78" s="269"/>
      <c r="AN78" s="269"/>
      <c r="AO78" s="389"/>
      <c r="AP78" s="269"/>
      <c r="AQ78" s="269">
        <v>7400</v>
      </c>
      <c r="AR78" s="269"/>
      <c r="AS78" s="269"/>
      <c r="AT78" s="269"/>
      <c r="AU78" s="269"/>
      <c r="AV78" s="269"/>
      <c r="AW78" s="269"/>
      <c r="AX78" s="269"/>
      <c r="AY78" s="269"/>
      <c r="AZ78" s="269"/>
      <c r="BA78" s="269"/>
      <c r="BB78" s="269"/>
      <c r="BC78" s="269"/>
      <c r="BD78" s="269"/>
      <c r="BE78" s="269"/>
      <c r="BF78" s="269"/>
      <c r="BG78" s="269"/>
      <c r="BH78" s="269"/>
      <c r="BI78" s="269"/>
      <c r="BJ78" s="269"/>
      <c r="BK78" s="269"/>
      <c r="BL78" s="269"/>
      <c r="BM78" s="269"/>
      <c r="BN78" s="269"/>
      <c r="BO78" s="269"/>
      <c r="BP78" s="269"/>
      <c r="BQ78" s="269"/>
      <c r="BR78" s="269"/>
      <c r="BS78" s="269"/>
      <c r="BT78" s="269"/>
      <c r="BU78" s="269"/>
      <c r="BV78" s="269"/>
      <c r="BW78" s="269"/>
      <c r="BX78" s="269"/>
      <c r="BY78" s="269"/>
      <c r="BZ78" s="269"/>
      <c r="CA78" s="269"/>
      <c r="CB78" s="269"/>
      <c r="CC78" s="269"/>
      <c r="CD78" s="269"/>
      <c r="CE78" s="269"/>
      <c r="CF78" s="269"/>
      <c r="CG78" s="269"/>
      <c r="CH78" s="269"/>
      <c r="CI78" s="269"/>
      <c r="CJ78" s="269"/>
      <c r="CK78" s="269"/>
      <c r="CL78" s="269"/>
      <c r="CM78" s="269"/>
      <c r="CN78" s="269"/>
      <c r="CO78" s="269"/>
      <c r="CP78" s="269"/>
      <c r="CQ78" s="269"/>
      <c r="CR78" s="269"/>
      <c r="CS78" s="269"/>
      <c r="CT78" s="269"/>
      <c r="CU78" s="269"/>
      <c r="CV78" s="269"/>
      <c r="CW78" s="272"/>
      <c r="CX78" s="272"/>
      <c r="CY78" s="272"/>
      <c r="CZ78" s="272"/>
      <c r="DA78" s="272"/>
      <c r="DB78" s="272"/>
      <c r="DC78" s="272"/>
      <c r="DD78" s="272"/>
      <c r="DE78" s="272"/>
      <c r="DF78" s="272"/>
      <c r="DG78" s="272"/>
      <c r="DH78" s="272"/>
      <c r="DI78" s="272"/>
      <c r="DJ78" s="272"/>
      <c r="DK78" s="272"/>
      <c r="DL78" s="272"/>
      <c r="DM78" s="272"/>
      <c r="DN78" s="272"/>
      <c r="DO78" s="272"/>
      <c r="DP78" s="272"/>
    </row>
    <row r="79" spans="1:120" s="273" customFormat="1" ht="14.25" customHeight="1" x14ac:dyDescent="0.2">
      <c r="A79" s="269"/>
      <c r="B79" s="269">
        <f>_xlfn.SINGLE(_xlfn.XLOOKUP(F79, $F$87:$F$95, $E$87:$E$95))</f>
        <v>2</v>
      </c>
      <c r="C79" s="269"/>
      <c r="D79" s="269" t="s">
        <v>194</v>
      </c>
      <c r="E79" s="269" t="s">
        <v>195</v>
      </c>
      <c r="F79" s="269" t="s">
        <v>126</v>
      </c>
      <c r="G79" s="269"/>
      <c r="H79" s="269"/>
      <c r="I79" s="269"/>
      <c r="J79" s="269"/>
      <c r="K79" s="269"/>
      <c r="L79" s="269"/>
      <c r="M79" s="278"/>
      <c r="N79" s="290">
        <f>SUMIF($O$8:$AV$8,"&gt;="&amp;'CURRENT FORECAST START DATE'!$C$4,'Weekly Spend'!O79:AV79)</f>
        <v>5162</v>
      </c>
      <c r="O79" s="278">
        <v>0</v>
      </c>
      <c r="P79" s="269">
        <v>0</v>
      </c>
      <c r="Q79" s="269">
        <v>0</v>
      </c>
      <c r="R79" s="269">
        <v>0</v>
      </c>
      <c r="S79" s="269">
        <v>0</v>
      </c>
      <c r="T79" s="269">
        <v>0</v>
      </c>
      <c r="U79" s="269">
        <v>0</v>
      </c>
      <c r="V79" s="269">
        <v>0</v>
      </c>
      <c r="W79" s="269">
        <v>0</v>
      </c>
      <c r="X79" s="269">
        <v>0</v>
      </c>
      <c r="Y79" s="269">
        <v>6000</v>
      </c>
      <c r="Z79" s="269">
        <v>3300</v>
      </c>
      <c r="AA79" s="269">
        <v>0</v>
      </c>
      <c r="AB79" s="269">
        <v>0</v>
      </c>
      <c r="AC79" s="269">
        <v>0</v>
      </c>
      <c r="AD79" s="269">
        <v>0</v>
      </c>
      <c r="AE79" s="303">
        <v>3744.75</v>
      </c>
      <c r="AF79" s="303">
        <v>2739.61</v>
      </c>
      <c r="AG79" s="269">
        <v>0</v>
      </c>
      <c r="AH79" s="269">
        <v>0</v>
      </c>
      <c r="AI79" s="269"/>
      <c r="AJ79" s="269">
        <v>8000</v>
      </c>
      <c r="AK79" s="269">
        <v>0</v>
      </c>
      <c r="AL79" s="269">
        <v>0</v>
      </c>
      <c r="AM79" s="269"/>
      <c r="AN79" s="269">
        <v>0</v>
      </c>
      <c r="AO79" s="389">
        <v>0</v>
      </c>
      <c r="AP79" s="269">
        <v>5162</v>
      </c>
      <c r="AQ79" s="269"/>
      <c r="AR79" s="269">
        <v>0</v>
      </c>
      <c r="AS79" s="269">
        <v>0</v>
      </c>
      <c r="AT79" s="269">
        <v>0</v>
      </c>
      <c r="AU79" s="269">
        <v>0</v>
      </c>
      <c r="AV79" s="269">
        <v>0</v>
      </c>
      <c r="AW79" s="269">
        <v>0</v>
      </c>
      <c r="AX79" s="269">
        <v>0</v>
      </c>
      <c r="AY79" s="269">
        <v>0</v>
      </c>
      <c r="AZ79" s="269">
        <v>0</v>
      </c>
      <c r="BA79" s="269">
        <v>0</v>
      </c>
      <c r="BB79" s="269">
        <v>0</v>
      </c>
      <c r="BC79" s="269">
        <v>0</v>
      </c>
      <c r="BD79" s="269">
        <v>0</v>
      </c>
      <c r="BE79" s="269">
        <v>0</v>
      </c>
      <c r="BF79" s="269">
        <v>0</v>
      </c>
      <c r="BG79" s="269">
        <v>0</v>
      </c>
      <c r="BH79" s="269">
        <v>0</v>
      </c>
      <c r="BI79" s="269">
        <v>0</v>
      </c>
      <c r="BJ79" s="269">
        <v>0</v>
      </c>
      <c r="BK79" s="269">
        <v>0</v>
      </c>
      <c r="BL79" s="269">
        <v>0</v>
      </c>
      <c r="BM79" s="269">
        <v>0</v>
      </c>
      <c r="BN79" s="269">
        <v>0</v>
      </c>
      <c r="BO79" s="269">
        <v>0</v>
      </c>
      <c r="BP79" s="269">
        <v>0</v>
      </c>
      <c r="BQ79" s="269">
        <v>0</v>
      </c>
      <c r="BR79" s="269">
        <v>0</v>
      </c>
      <c r="BS79" s="269">
        <v>0</v>
      </c>
      <c r="BT79" s="269">
        <v>0</v>
      </c>
      <c r="BU79" s="269">
        <v>0</v>
      </c>
      <c r="BV79" s="269">
        <v>0</v>
      </c>
      <c r="BW79" s="269">
        <v>0</v>
      </c>
      <c r="BX79" s="269">
        <v>0</v>
      </c>
      <c r="BY79" s="269">
        <v>0</v>
      </c>
      <c r="BZ79" s="269">
        <v>0</v>
      </c>
      <c r="CA79" s="269">
        <v>0</v>
      </c>
      <c r="CB79" s="269">
        <v>0</v>
      </c>
      <c r="CC79" s="269">
        <v>0</v>
      </c>
      <c r="CD79" s="269">
        <v>0</v>
      </c>
      <c r="CE79" s="269">
        <v>0</v>
      </c>
      <c r="CF79" s="269">
        <v>0</v>
      </c>
      <c r="CG79" s="269">
        <v>0</v>
      </c>
      <c r="CH79" s="269">
        <v>0</v>
      </c>
      <c r="CI79" s="269">
        <v>0</v>
      </c>
      <c r="CJ79" s="269">
        <v>0</v>
      </c>
      <c r="CK79" s="269">
        <v>0</v>
      </c>
      <c r="CL79" s="269">
        <v>0</v>
      </c>
      <c r="CM79" s="269">
        <v>0</v>
      </c>
      <c r="CN79" s="269">
        <v>0</v>
      </c>
      <c r="CO79" s="269">
        <v>0</v>
      </c>
      <c r="CP79" s="269">
        <v>0</v>
      </c>
      <c r="CQ79" s="269">
        <v>0</v>
      </c>
      <c r="CR79" s="269">
        <v>0</v>
      </c>
      <c r="CS79" s="269">
        <v>0</v>
      </c>
      <c r="CT79" s="269">
        <v>0</v>
      </c>
      <c r="CU79" s="269">
        <v>0</v>
      </c>
      <c r="CV79" s="269">
        <v>0</v>
      </c>
      <c r="CW79" s="272"/>
      <c r="CX79" s="272"/>
      <c r="CY79" s="272"/>
      <c r="CZ79" s="272"/>
      <c r="DA79" s="272"/>
      <c r="DB79" s="272"/>
      <c r="DC79" s="272"/>
      <c r="DD79" s="272"/>
      <c r="DE79" s="272"/>
      <c r="DF79" s="272"/>
      <c r="DG79" s="272"/>
      <c r="DH79" s="272"/>
      <c r="DI79" s="272"/>
      <c r="DJ79" s="272"/>
      <c r="DK79" s="272"/>
      <c r="DL79" s="272"/>
      <c r="DM79" s="272"/>
      <c r="DN79" s="272"/>
      <c r="DO79" s="272"/>
      <c r="DP79" s="272"/>
    </row>
    <row r="80" spans="1:120" ht="14.25" customHeight="1" x14ac:dyDescent="0.2">
      <c r="B80" s="1">
        <f>_xlfn.SINGLE(_xlfn.XLOOKUP(F80, $F$87:$F$95, $E$87:$E$95))</f>
        <v>0</v>
      </c>
      <c r="N80" s="292"/>
    </row>
    <row r="81" spans="1:120" ht="14.25" customHeight="1" thickBot="1" x14ac:dyDescent="0.25">
      <c r="A81" s="81"/>
      <c r="B81" s="81"/>
      <c r="C81" s="81"/>
      <c r="D81" s="81"/>
      <c r="E81" s="81"/>
      <c r="F81" s="81"/>
      <c r="G81" s="79">
        <f t="shared" ref="G81:AL81" si="20">SUM(G10:G80)</f>
        <v>158975.5</v>
      </c>
      <c r="H81" s="79">
        <f t="shared" si="20"/>
        <v>551706.53</v>
      </c>
      <c r="I81" s="79">
        <f t="shared" si="20"/>
        <v>201564.57</v>
      </c>
      <c r="J81" s="79">
        <f t="shared" si="20"/>
        <v>413064.01</v>
      </c>
      <c r="K81" s="79">
        <f t="shared" si="20"/>
        <v>8087.5</v>
      </c>
      <c r="L81" s="79">
        <f t="shared" si="20"/>
        <v>46087.5</v>
      </c>
      <c r="M81" s="79">
        <f t="shared" si="20"/>
        <v>152541.45000000001</v>
      </c>
      <c r="N81" s="293">
        <f t="shared" ca="1" si="20"/>
        <v>2066144.7092307692</v>
      </c>
      <c r="O81" s="79">
        <f t="shared" si="20"/>
        <v>689050.06</v>
      </c>
      <c r="P81" s="79">
        <f t="shared" si="20"/>
        <v>4838.5</v>
      </c>
      <c r="Q81" s="79">
        <f t="shared" si="20"/>
        <v>8338.5</v>
      </c>
      <c r="R81" s="79">
        <f t="shared" si="20"/>
        <v>64582.95</v>
      </c>
      <c r="S81" s="79">
        <f t="shared" si="20"/>
        <v>534930</v>
      </c>
      <c r="T81" s="79">
        <f t="shared" si="20"/>
        <v>430</v>
      </c>
      <c r="U81" s="79">
        <f t="shared" si="20"/>
        <v>114389.79</v>
      </c>
      <c r="V81" s="79">
        <f t="shared" si="20"/>
        <v>48954.729999999996</v>
      </c>
      <c r="W81" s="79">
        <f t="shared" si="20"/>
        <v>114514.61</v>
      </c>
      <c r="X81" s="79">
        <f t="shared" si="20"/>
        <v>426244.73</v>
      </c>
      <c r="Y81" s="79">
        <f t="shared" si="20"/>
        <v>435264.76</v>
      </c>
      <c r="Z81" s="79">
        <f t="shared" si="20"/>
        <v>320036</v>
      </c>
      <c r="AA81" s="79">
        <f t="shared" si="20"/>
        <v>220503.74</v>
      </c>
      <c r="AB81" s="79">
        <f t="shared" si="20"/>
        <v>33581.25</v>
      </c>
      <c r="AC81" s="79">
        <f t="shared" si="20"/>
        <v>497855.25</v>
      </c>
      <c r="AD81" s="79">
        <f t="shared" si="20"/>
        <v>76706.009999999995</v>
      </c>
      <c r="AE81" s="79">
        <f t="shared" si="20"/>
        <v>121013.66</v>
      </c>
      <c r="AF81" s="79">
        <f t="shared" si="20"/>
        <v>137949.92230769229</v>
      </c>
      <c r="AG81" s="79">
        <f t="shared" si="20"/>
        <v>76573.100000000006</v>
      </c>
      <c r="AH81" s="79">
        <f t="shared" si="20"/>
        <v>205702.19230769231</v>
      </c>
      <c r="AI81" s="79">
        <f t="shared" si="20"/>
        <v>602175.19999999995</v>
      </c>
      <c r="AJ81" s="79">
        <f t="shared" si="20"/>
        <v>187831.26230769232</v>
      </c>
      <c r="AK81" s="79">
        <f t="shared" si="20"/>
        <v>63100.7</v>
      </c>
      <c r="AL81" s="79">
        <f t="shared" si="20"/>
        <v>110186.69230769231</v>
      </c>
      <c r="AM81" s="79">
        <f t="shared" ref="AM81:BR81" si="21">SUM(AM10:AM80)</f>
        <v>33214</v>
      </c>
      <c r="AN81" s="79">
        <f t="shared" si="21"/>
        <v>230681.41230769231</v>
      </c>
      <c r="AO81" s="392">
        <f t="shared" si="21"/>
        <v>122626.11</v>
      </c>
      <c r="AP81" s="79">
        <f t="shared" si="21"/>
        <v>97011.36230769231</v>
      </c>
      <c r="AQ81" s="79">
        <f t="shared" si="21"/>
        <v>257597.5</v>
      </c>
      <c r="AR81" s="79">
        <f t="shared" si="21"/>
        <v>406079.69230769231</v>
      </c>
      <c r="AS81" s="79">
        <f t="shared" si="21"/>
        <v>188696.66</v>
      </c>
      <c r="AT81" s="79">
        <f t="shared" si="21"/>
        <v>271316.69230769231</v>
      </c>
      <c r="AU81" s="79">
        <f t="shared" si="21"/>
        <v>156900</v>
      </c>
      <c r="AV81" s="79">
        <f t="shared" si="21"/>
        <v>573316.69230769225</v>
      </c>
      <c r="AW81" s="79">
        <f t="shared" si="21"/>
        <v>318835.25</v>
      </c>
      <c r="AX81" s="79">
        <f t="shared" si="21"/>
        <v>737266.94230769225</v>
      </c>
      <c r="AY81" s="79">
        <f t="shared" si="21"/>
        <v>91806.25</v>
      </c>
      <c r="AZ81" s="79">
        <f t="shared" si="21"/>
        <v>265722.94230769231</v>
      </c>
      <c r="BA81" s="79">
        <f t="shared" si="21"/>
        <v>52425</v>
      </c>
      <c r="BB81" s="79">
        <f t="shared" si="21"/>
        <v>110841.69230769231</v>
      </c>
      <c r="BC81" s="79">
        <f t="shared" si="21"/>
        <v>107125</v>
      </c>
      <c r="BD81" s="79">
        <f t="shared" si="21"/>
        <v>387838.69230769231</v>
      </c>
      <c r="BE81" s="79">
        <f t="shared" si="21"/>
        <v>481369.8</v>
      </c>
      <c r="BF81" s="79">
        <f t="shared" si="21"/>
        <v>561954.4923076923</v>
      </c>
      <c r="BG81" s="79">
        <f t="shared" si="21"/>
        <v>49940.800000000003</v>
      </c>
      <c r="BH81" s="79">
        <f t="shared" si="21"/>
        <v>164454.4923076923</v>
      </c>
      <c r="BI81" s="79">
        <f t="shared" si="21"/>
        <v>126873.8</v>
      </c>
      <c r="BJ81" s="79">
        <f t="shared" si="21"/>
        <v>565997.296474359</v>
      </c>
      <c r="BK81" s="79">
        <f t="shared" si="21"/>
        <v>39625</v>
      </c>
      <c r="BL81" s="79">
        <f t="shared" si="21"/>
        <v>145688.69230769231</v>
      </c>
      <c r="BM81" s="79">
        <f t="shared" si="21"/>
        <v>35958</v>
      </c>
      <c r="BN81" s="79">
        <f t="shared" si="21"/>
        <v>790148.94230769225</v>
      </c>
      <c r="BO81" s="79">
        <f t="shared" si="21"/>
        <v>4906.25</v>
      </c>
      <c r="BP81" s="79">
        <f t="shared" si="21"/>
        <v>143219.94230769231</v>
      </c>
      <c r="BQ81" s="79">
        <f t="shared" si="21"/>
        <v>29406.25</v>
      </c>
      <c r="BR81" s="79">
        <f t="shared" si="21"/>
        <v>215313.69230769231</v>
      </c>
      <c r="BS81" s="79">
        <f t="shared" ref="BS81:CX81" si="22">SUM(BS10:BS80)</f>
        <v>6500</v>
      </c>
      <c r="BT81" s="79">
        <f t="shared" si="22"/>
        <v>133216.69230769231</v>
      </c>
      <c r="BU81" s="79">
        <f t="shared" si="22"/>
        <v>6500</v>
      </c>
      <c r="BV81" s="79">
        <f t="shared" si="22"/>
        <v>452714.69230769231</v>
      </c>
      <c r="BW81" s="79">
        <f t="shared" si="22"/>
        <v>9745</v>
      </c>
      <c r="BX81" s="79">
        <f t="shared" si="22"/>
        <v>136461.69230769231</v>
      </c>
      <c r="BY81" s="79">
        <f t="shared" si="22"/>
        <v>44745</v>
      </c>
      <c r="BZ81" s="79">
        <f t="shared" si="22"/>
        <v>141558.69230769231</v>
      </c>
      <c r="CA81" s="79">
        <f t="shared" si="22"/>
        <v>46500</v>
      </c>
      <c r="CB81" s="79">
        <f t="shared" si="22"/>
        <v>97813.692307692312</v>
      </c>
      <c r="CC81" s="79">
        <f t="shared" si="22"/>
        <v>41500</v>
      </c>
      <c r="CD81" s="79">
        <f t="shared" si="22"/>
        <v>106813.69230769231</v>
      </c>
      <c r="CE81" s="79">
        <f t="shared" si="22"/>
        <v>63500</v>
      </c>
      <c r="CF81" s="79">
        <f t="shared" si="22"/>
        <v>98719.942307692312</v>
      </c>
      <c r="CG81" s="79">
        <f t="shared" si="22"/>
        <v>42406.25</v>
      </c>
      <c r="CH81" s="79">
        <f t="shared" si="22"/>
        <v>107719.94230769231</v>
      </c>
      <c r="CI81" s="81"/>
      <c r="CJ81" s="81"/>
      <c r="CK81" s="81"/>
      <c r="CL81" s="81"/>
      <c r="CM81" s="81"/>
      <c r="CN81" s="81"/>
      <c r="CO81" s="81"/>
      <c r="CP81" s="81"/>
      <c r="CQ81" s="81"/>
      <c r="CR81" s="81"/>
      <c r="CS81" s="81"/>
      <c r="CT81" s="81"/>
      <c r="CU81" s="81"/>
      <c r="CV81" s="81"/>
    </row>
    <row r="82" spans="1:120" ht="14.25" customHeight="1" x14ac:dyDescent="0.2"/>
    <row r="83" spans="1:120" ht="14.25" customHeight="1" x14ac:dyDescent="0.2">
      <c r="N83" s="294" t="s">
        <v>109</v>
      </c>
      <c r="AM83" s="219">
        <f>SUM(AM35:AM38)+AM77</f>
        <v>0</v>
      </c>
      <c r="AN83" s="219">
        <f t="shared" ref="AN83:AY83" si="23">SUM(AN35:AN38)+AN77</f>
        <v>57692.310000000005</v>
      </c>
      <c r="AO83" s="219">
        <f t="shared" si="23"/>
        <v>57692.310000000005</v>
      </c>
      <c r="AP83" s="219">
        <f t="shared" si="23"/>
        <v>0</v>
      </c>
      <c r="AQ83" s="219">
        <f t="shared" si="23"/>
        <v>0</v>
      </c>
      <c r="AR83" s="219">
        <f t="shared" si="23"/>
        <v>0</v>
      </c>
      <c r="AS83" s="219">
        <f t="shared" si="23"/>
        <v>55000</v>
      </c>
      <c r="AT83" s="219">
        <f t="shared" si="23"/>
        <v>0</v>
      </c>
      <c r="AU83" s="219">
        <f t="shared" si="23"/>
        <v>55000</v>
      </c>
      <c r="AV83" s="219">
        <f t="shared" si="23"/>
        <v>0</v>
      </c>
      <c r="AW83" s="219">
        <f t="shared" si="23"/>
        <v>50000</v>
      </c>
      <c r="AX83" s="219">
        <f t="shared" si="23"/>
        <v>0</v>
      </c>
      <c r="AY83" s="219">
        <f t="shared" si="23"/>
        <v>50000</v>
      </c>
      <c r="AZ83" s="219">
        <f>SUM(AZ35:AZ38)+AZ77</f>
        <v>50000</v>
      </c>
      <c r="BA83" s="219">
        <f t="shared" ref="BA83" si="24">SUM(BA35:BA38)+BA77</f>
        <v>0</v>
      </c>
    </row>
    <row r="84" spans="1:120" ht="14.25" customHeight="1" x14ac:dyDescent="0.2"/>
    <row r="85" spans="1:120" ht="14.25" customHeight="1" x14ac:dyDescent="0.2"/>
    <row r="86" spans="1:120" ht="14.25" customHeight="1" x14ac:dyDescent="0.2">
      <c r="G86" s="213">
        <f t="shared" ref="G86:M86" si="25">G8</f>
        <v>45740</v>
      </c>
      <c r="H86" s="213">
        <f t="shared" si="25"/>
        <v>45747</v>
      </c>
      <c r="I86" s="213">
        <f t="shared" si="25"/>
        <v>45754</v>
      </c>
      <c r="J86" s="213">
        <f t="shared" si="25"/>
        <v>45761</v>
      </c>
      <c r="K86" s="213">
        <f t="shared" si="25"/>
        <v>45768</v>
      </c>
      <c r="L86" s="213">
        <f t="shared" si="25"/>
        <v>45775</v>
      </c>
      <c r="M86" s="213">
        <f t="shared" si="25"/>
        <v>45782</v>
      </c>
      <c r="N86" s="280" t="s">
        <v>196</v>
      </c>
      <c r="O86" s="213">
        <f t="shared" ref="O86:AT86" si="26">O8</f>
        <v>45789</v>
      </c>
      <c r="P86" s="213">
        <f t="shared" si="26"/>
        <v>45796</v>
      </c>
      <c r="Q86" s="213">
        <f t="shared" si="26"/>
        <v>45803</v>
      </c>
      <c r="R86" s="213">
        <f t="shared" si="26"/>
        <v>45810</v>
      </c>
      <c r="S86" s="213">
        <f t="shared" si="26"/>
        <v>45817</v>
      </c>
      <c r="T86" s="213">
        <f t="shared" si="26"/>
        <v>45824</v>
      </c>
      <c r="U86" s="213">
        <f t="shared" si="26"/>
        <v>45831</v>
      </c>
      <c r="V86" s="213">
        <f t="shared" si="26"/>
        <v>45838</v>
      </c>
      <c r="W86" s="213">
        <f t="shared" si="26"/>
        <v>45845</v>
      </c>
      <c r="X86" s="213">
        <f t="shared" si="26"/>
        <v>45852</v>
      </c>
      <c r="Y86" s="213">
        <f t="shared" si="26"/>
        <v>45859</v>
      </c>
      <c r="Z86" s="213">
        <f t="shared" si="26"/>
        <v>45866</v>
      </c>
      <c r="AA86" s="213">
        <f t="shared" si="26"/>
        <v>45873</v>
      </c>
      <c r="AB86" s="213">
        <f t="shared" si="26"/>
        <v>45880</v>
      </c>
      <c r="AC86" s="213">
        <f t="shared" si="26"/>
        <v>45887</v>
      </c>
      <c r="AD86" s="213">
        <f t="shared" si="26"/>
        <v>45894</v>
      </c>
      <c r="AE86" s="213">
        <f t="shared" si="26"/>
        <v>45901</v>
      </c>
      <c r="AF86" s="213">
        <f t="shared" si="26"/>
        <v>45908</v>
      </c>
      <c r="AG86" s="213">
        <f t="shared" si="26"/>
        <v>45915</v>
      </c>
      <c r="AH86" s="213">
        <f t="shared" si="26"/>
        <v>45922</v>
      </c>
      <c r="AI86" s="213">
        <f t="shared" si="26"/>
        <v>45929</v>
      </c>
      <c r="AJ86" s="213">
        <f t="shared" si="26"/>
        <v>45936</v>
      </c>
      <c r="AK86" s="213">
        <f t="shared" si="26"/>
        <v>45943</v>
      </c>
      <c r="AL86" s="213">
        <f t="shared" si="26"/>
        <v>45950</v>
      </c>
      <c r="AM86" s="213">
        <f t="shared" si="26"/>
        <v>45957</v>
      </c>
      <c r="AN86" s="213">
        <f t="shared" si="26"/>
        <v>45964</v>
      </c>
      <c r="AO86" s="393">
        <f t="shared" si="26"/>
        <v>45971</v>
      </c>
      <c r="AP86" s="213">
        <f t="shared" si="26"/>
        <v>45978</v>
      </c>
      <c r="AQ86" s="213">
        <f t="shared" si="26"/>
        <v>45985</v>
      </c>
      <c r="AR86" s="213">
        <f t="shared" si="26"/>
        <v>45992</v>
      </c>
      <c r="AS86" s="213">
        <f t="shared" si="26"/>
        <v>45999</v>
      </c>
      <c r="AT86" s="213">
        <f t="shared" si="26"/>
        <v>46006</v>
      </c>
      <c r="AU86" s="213">
        <f t="shared" ref="AU86:BZ86" si="27">AU8</f>
        <v>46013</v>
      </c>
      <c r="AV86" s="213">
        <f t="shared" si="27"/>
        <v>46020</v>
      </c>
      <c r="AW86" s="213">
        <f t="shared" si="27"/>
        <v>46027</v>
      </c>
      <c r="AX86" s="213">
        <f t="shared" si="27"/>
        <v>46034</v>
      </c>
      <c r="AY86" s="213">
        <f t="shared" si="27"/>
        <v>46041</v>
      </c>
      <c r="AZ86" s="213">
        <f t="shared" si="27"/>
        <v>46048</v>
      </c>
      <c r="BA86" s="213">
        <f t="shared" si="27"/>
        <v>46055</v>
      </c>
      <c r="BB86" s="213">
        <f t="shared" si="27"/>
        <v>46062</v>
      </c>
      <c r="BC86" s="213">
        <f t="shared" si="27"/>
        <v>46069</v>
      </c>
      <c r="BD86" s="213">
        <f t="shared" si="27"/>
        <v>46076</v>
      </c>
      <c r="BE86" s="213">
        <f t="shared" si="27"/>
        <v>46083</v>
      </c>
      <c r="BF86" s="213">
        <f t="shared" si="27"/>
        <v>46090</v>
      </c>
      <c r="BG86" s="213">
        <f t="shared" si="27"/>
        <v>46097</v>
      </c>
      <c r="BH86" s="213">
        <f t="shared" si="27"/>
        <v>46104</v>
      </c>
      <c r="BI86" s="213">
        <f t="shared" si="27"/>
        <v>46111</v>
      </c>
      <c r="BJ86" s="213">
        <f t="shared" si="27"/>
        <v>46118</v>
      </c>
      <c r="BK86" s="213">
        <f t="shared" si="27"/>
        <v>46125</v>
      </c>
      <c r="BL86" s="213">
        <f t="shared" si="27"/>
        <v>46132</v>
      </c>
      <c r="BM86" s="213">
        <f t="shared" si="27"/>
        <v>46139</v>
      </c>
      <c r="BN86" s="213">
        <f t="shared" si="27"/>
        <v>46146</v>
      </c>
      <c r="BO86" s="213">
        <f t="shared" si="27"/>
        <v>46153</v>
      </c>
      <c r="BP86" s="213">
        <f t="shared" si="27"/>
        <v>46160</v>
      </c>
      <c r="BQ86" s="213">
        <f t="shared" si="27"/>
        <v>46167</v>
      </c>
      <c r="BR86" s="213">
        <f t="shared" si="27"/>
        <v>46174</v>
      </c>
      <c r="BS86" s="213">
        <f t="shared" si="27"/>
        <v>46181</v>
      </c>
      <c r="BT86" s="213">
        <f t="shared" si="27"/>
        <v>46188</v>
      </c>
      <c r="BU86" s="213">
        <f t="shared" si="27"/>
        <v>46195</v>
      </c>
      <c r="BV86" s="213">
        <f t="shared" si="27"/>
        <v>46202</v>
      </c>
      <c r="BW86" s="213">
        <f t="shared" si="27"/>
        <v>46209</v>
      </c>
      <c r="BX86" s="213">
        <f t="shared" si="27"/>
        <v>46216</v>
      </c>
      <c r="BY86" s="213">
        <f t="shared" si="27"/>
        <v>46223</v>
      </c>
      <c r="BZ86" s="213">
        <f t="shared" si="27"/>
        <v>46230</v>
      </c>
      <c r="CA86" s="213">
        <f t="shared" ref="CA86:CV86" si="28">CA8</f>
        <v>46237</v>
      </c>
      <c r="CB86" s="213">
        <f t="shared" si="28"/>
        <v>46244</v>
      </c>
      <c r="CC86" s="213">
        <f t="shared" si="28"/>
        <v>46251</v>
      </c>
      <c r="CD86" s="213">
        <f t="shared" si="28"/>
        <v>46258</v>
      </c>
      <c r="CE86" s="213">
        <f t="shared" si="28"/>
        <v>46265</v>
      </c>
      <c r="CF86" s="213">
        <f t="shared" si="28"/>
        <v>46272</v>
      </c>
      <c r="CG86" s="213">
        <f t="shared" si="28"/>
        <v>46279</v>
      </c>
      <c r="CH86" s="213">
        <f t="shared" si="28"/>
        <v>46286</v>
      </c>
      <c r="CI86" s="213">
        <f t="shared" si="28"/>
        <v>46293</v>
      </c>
      <c r="CJ86" s="213">
        <f t="shared" si="28"/>
        <v>46300</v>
      </c>
      <c r="CK86" s="213">
        <f t="shared" si="28"/>
        <v>46307</v>
      </c>
      <c r="CL86" s="213">
        <f t="shared" si="28"/>
        <v>46314</v>
      </c>
      <c r="CM86" s="213">
        <f t="shared" si="28"/>
        <v>46321</v>
      </c>
      <c r="CN86" s="213">
        <f t="shared" si="28"/>
        <v>46328</v>
      </c>
      <c r="CO86" s="213">
        <f t="shared" si="28"/>
        <v>46335</v>
      </c>
      <c r="CP86" s="213">
        <f t="shared" si="28"/>
        <v>46342</v>
      </c>
      <c r="CQ86" s="213">
        <f t="shared" si="28"/>
        <v>46349</v>
      </c>
      <c r="CR86" s="213">
        <f t="shared" si="28"/>
        <v>46356</v>
      </c>
      <c r="CS86" s="213">
        <f t="shared" si="28"/>
        <v>46363</v>
      </c>
      <c r="CT86" s="213">
        <f t="shared" si="28"/>
        <v>46370</v>
      </c>
      <c r="CU86" s="213">
        <f t="shared" si="28"/>
        <v>46377</v>
      </c>
      <c r="CV86" s="213">
        <f t="shared" si="28"/>
        <v>46384</v>
      </c>
    </row>
    <row r="87" spans="1:120" ht="14.25" customHeight="1" x14ac:dyDescent="0.2">
      <c r="A87" s="41"/>
      <c r="B87" s="41"/>
      <c r="C87" s="41"/>
      <c r="D87" s="41"/>
      <c r="E87" s="28">
        <v>1</v>
      </c>
      <c r="F87" s="82" t="s">
        <v>197</v>
      </c>
      <c r="G87" s="41">
        <f t="shared" ref="G87:P94" si="29">SUMIF($F$10:$F$81,$F87,G$10:G$81)</f>
        <v>0</v>
      </c>
      <c r="H87" s="41">
        <f t="shared" si="29"/>
        <v>0</v>
      </c>
      <c r="I87" s="41">
        <f t="shared" si="29"/>
        <v>0</v>
      </c>
      <c r="J87" s="41">
        <f t="shared" si="29"/>
        <v>0</v>
      </c>
      <c r="K87" s="41">
        <f t="shared" si="29"/>
        <v>0</v>
      </c>
      <c r="L87" s="41">
        <f t="shared" si="29"/>
        <v>0</v>
      </c>
      <c r="M87" s="41">
        <f t="shared" si="29"/>
        <v>0</v>
      </c>
      <c r="N87" s="281">
        <f t="shared" si="29"/>
        <v>0</v>
      </c>
      <c r="O87" s="41">
        <f t="shared" si="29"/>
        <v>0</v>
      </c>
      <c r="P87" s="41">
        <f t="shared" si="29"/>
        <v>0</v>
      </c>
      <c r="Q87" s="41">
        <f t="shared" ref="Q87:Z94" si="30">SUMIF($F$10:$F$81,$F87,Q$10:Q$81)</f>
        <v>0</v>
      </c>
      <c r="R87" s="41">
        <f t="shared" si="30"/>
        <v>0</v>
      </c>
      <c r="S87" s="41">
        <f t="shared" si="30"/>
        <v>0</v>
      </c>
      <c r="T87" s="41">
        <f t="shared" si="30"/>
        <v>0</v>
      </c>
      <c r="U87" s="41">
        <f t="shared" si="30"/>
        <v>0</v>
      </c>
      <c r="V87" s="41">
        <f t="shared" si="30"/>
        <v>0</v>
      </c>
      <c r="W87" s="41">
        <f t="shared" si="30"/>
        <v>0</v>
      </c>
      <c r="X87" s="41">
        <f t="shared" si="30"/>
        <v>0</v>
      </c>
      <c r="Y87" s="41">
        <f t="shared" si="30"/>
        <v>0</v>
      </c>
      <c r="Z87" s="41">
        <f t="shared" si="30"/>
        <v>0</v>
      </c>
      <c r="AA87" s="41">
        <f t="shared" ref="AA87:AJ94" si="31">SUMIF($F$10:$F$81,$F87,AA$10:AA$81)</f>
        <v>0</v>
      </c>
      <c r="AB87" s="41">
        <f t="shared" si="31"/>
        <v>0</v>
      </c>
      <c r="AC87" s="41">
        <f t="shared" si="31"/>
        <v>0</v>
      </c>
      <c r="AD87" s="41">
        <f t="shared" si="31"/>
        <v>0</v>
      </c>
      <c r="AE87" s="41">
        <f t="shared" si="31"/>
        <v>0</v>
      </c>
      <c r="AF87" s="41">
        <f t="shared" si="31"/>
        <v>0</v>
      </c>
      <c r="AG87" s="41">
        <f t="shared" si="31"/>
        <v>0</v>
      </c>
      <c r="AH87" s="41">
        <f t="shared" si="31"/>
        <v>0</v>
      </c>
      <c r="AI87" s="41">
        <f t="shared" si="31"/>
        <v>0</v>
      </c>
      <c r="AJ87" s="41">
        <f t="shared" si="31"/>
        <v>0</v>
      </c>
      <c r="AK87" s="41">
        <f t="shared" ref="AK87:AT94" si="32">SUMIF($F$10:$F$81,$F87,AK$10:AK$81)</f>
        <v>0</v>
      </c>
      <c r="AL87" s="41">
        <f t="shared" si="32"/>
        <v>0</v>
      </c>
      <c r="AM87" s="41">
        <f t="shared" si="32"/>
        <v>0</v>
      </c>
      <c r="AN87" s="376">
        <f t="shared" si="32"/>
        <v>0</v>
      </c>
      <c r="AO87" s="394">
        <f t="shared" si="32"/>
        <v>0</v>
      </c>
      <c r="AP87" s="376">
        <f t="shared" si="32"/>
        <v>0</v>
      </c>
      <c r="AQ87" s="41">
        <f t="shared" si="32"/>
        <v>0</v>
      </c>
      <c r="AR87" s="41">
        <f t="shared" si="32"/>
        <v>0</v>
      </c>
      <c r="AS87" s="41">
        <f t="shared" si="32"/>
        <v>0</v>
      </c>
      <c r="AT87" s="41">
        <f t="shared" si="32"/>
        <v>0</v>
      </c>
      <c r="AU87" s="41">
        <f t="shared" ref="AU87:BD94" si="33">SUMIF($F$10:$F$81,$F87,AU$10:AU$81)</f>
        <v>0</v>
      </c>
      <c r="AV87" s="41">
        <f t="shared" si="33"/>
        <v>0</v>
      </c>
      <c r="AW87" s="41">
        <f t="shared" si="33"/>
        <v>0</v>
      </c>
      <c r="AX87" s="41">
        <f t="shared" si="33"/>
        <v>0</v>
      </c>
      <c r="AY87" s="41">
        <f t="shared" si="33"/>
        <v>0</v>
      </c>
      <c r="AZ87" s="41">
        <f t="shared" si="33"/>
        <v>0</v>
      </c>
      <c r="BA87" s="41">
        <f t="shared" si="33"/>
        <v>0</v>
      </c>
      <c r="BB87" s="41">
        <f t="shared" si="33"/>
        <v>0</v>
      </c>
      <c r="BC87" s="41">
        <f t="shared" si="33"/>
        <v>0</v>
      </c>
      <c r="BD87" s="41">
        <f t="shared" si="33"/>
        <v>0</v>
      </c>
      <c r="BE87" s="41">
        <f t="shared" ref="BE87:BN94" si="34">SUMIF($F$10:$F$81,$F87,BE$10:BE$81)</f>
        <v>0</v>
      </c>
      <c r="BF87" s="41">
        <f t="shared" si="34"/>
        <v>0</v>
      </c>
      <c r="BG87" s="41">
        <f t="shared" si="34"/>
        <v>0</v>
      </c>
      <c r="BH87" s="41">
        <f t="shared" si="34"/>
        <v>0</v>
      </c>
      <c r="BI87" s="41">
        <f t="shared" si="34"/>
        <v>0</v>
      </c>
      <c r="BJ87" s="41">
        <f t="shared" si="34"/>
        <v>0</v>
      </c>
      <c r="BK87" s="41">
        <f t="shared" si="34"/>
        <v>0</v>
      </c>
      <c r="BL87" s="41">
        <f t="shared" si="34"/>
        <v>0</v>
      </c>
      <c r="BM87" s="41">
        <f t="shared" si="34"/>
        <v>0</v>
      </c>
      <c r="BN87" s="41">
        <f t="shared" si="34"/>
        <v>0</v>
      </c>
      <c r="BO87" s="41">
        <f t="shared" ref="BO87:BX94" si="35">SUMIF($F$10:$F$81,$F87,BO$10:BO$81)</f>
        <v>0</v>
      </c>
      <c r="BP87" s="41">
        <f t="shared" si="35"/>
        <v>0</v>
      </c>
      <c r="BQ87" s="41">
        <f t="shared" si="35"/>
        <v>0</v>
      </c>
      <c r="BR87" s="41">
        <f t="shared" si="35"/>
        <v>0</v>
      </c>
      <c r="BS87" s="41">
        <f t="shared" si="35"/>
        <v>0</v>
      </c>
      <c r="BT87" s="41">
        <f t="shared" si="35"/>
        <v>0</v>
      </c>
      <c r="BU87" s="41">
        <f t="shared" si="35"/>
        <v>0</v>
      </c>
      <c r="BV87" s="41">
        <f t="shared" si="35"/>
        <v>0</v>
      </c>
      <c r="BW87" s="41">
        <f t="shared" si="35"/>
        <v>0</v>
      </c>
      <c r="BX87" s="41">
        <f t="shared" si="35"/>
        <v>0</v>
      </c>
      <c r="BY87" s="41">
        <f t="shared" ref="BY87:CH94" si="36">SUMIF($F$10:$F$81,$F87,BY$10:BY$81)</f>
        <v>0</v>
      </c>
      <c r="BZ87" s="41">
        <f t="shared" si="36"/>
        <v>0</v>
      </c>
      <c r="CA87" s="41">
        <f t="shared" si="36"/>
        <v>0</v>
      </c>
      <c r="CB87" s="41">
        <f t="shared" si="36"/>
        <v>0</v>
      </c>
      <c r="CC87" s="41">
        <f t="shared" si="36"/>
        <v>0</v>
      </c>
      <c r="CD87" s="41">
        <f t="shared" si="36"/>
        <v>0</v>
      </c>
      <c r="CE87" s="41">
        <f t="shared" si="36"/>
        <v>0</v>
      </c>
      <c r="CF87" s="41">
        <f t="shared" si="36"/>
        <v>0</v>
      </c>
      <c r="CG87" s="41">
        <f t="shared" si="36"/>
        <v>0</v>
      </c>
      <c r="CH87" s="41">
        <f t="shared" si="36"/>
        <v>0</v>
      </c>
      <c r="CI87" s="41">
        <f t="shared" ref="CI87:CV94" si="37">SUMIF($F$10:$F$81,$F87,CI$10:CI$81)</f>
        <v>0</v>
      </c>
      <c r="CJ87" s="41">
        <f t="shared" si="37"/>
        <v>0</v>
      </c>
      <c r="CK87" s="41">
        <f t="shared" si="37"/>
        <v>0</v>
      </c>
      <c r="CL87" s="41">
        <f t="shared" si="37"/>
        <v>0</v>
      </c>
      <c r="CM87" s="41">
        <f t="shared" si="37"/>
        <v>0</v>
      </c>
      <c r="CN87" s="41">
        <f t="shared" si="37"/>
        <v>0</v>
      </c>
      <c r="CO87" s="41">
        <f t="shared" si="37"/>
        <v>0</v>
      </c>
      <c r="CP87" s="41">
        <f t="shared" si="37"/>
        <v>0</v>
      </c>
      <c r="CQ87" s="41">
        <f t="shared" si="37"/>
        <v>0</v>
      </c>
      <c r="CR87" s="41">
        <f t="shared" si="37"/>
        <v>0</v>
      </c>
      <c r="CS87" s="41">
        <f t="shared" si="37"/>
        <v>0</v>
      </c>
      <c r="CT87" s="41">
        <f t="shared" si="37"/>
        <v>0</v>
      </c>
      <c r="CU87" s="41">
        <f t="shared" si="37"/>
        <v>0</v>
      </c>
      <c r="CV87" s="41">
        <f t="shared" si="37"/>
        <v>0</v>
      </c>
      <c r="CW87" s="41"/>
      <c r="CX87" s="41"/>
      <c r="CY87" s="41"/>
      <c r="CZ87" s="41"/>
      <c r="DA87" s="41"/>
      <c r="DB87" s="41"/>
      <c r="DC87" s="41"/>
      <c r="DD87" s="41"/>
      <c r="DE87" s="41"/>
      <c r="DF87" s="41"/>
      <c r="DG87" s="41"/>
      <c r="DH87" s="41"/>
      <c r="DI87" s="41"/>
      <c r="DJ87" s="41"/>
      <c r="DK87" s="41"/>
      <c r="DL87" s="41"/>
      <c r="DM87" s="41"/>
      <c r="DN87" s="41"/>
      <c r="DO87" s="41"/>
      <c r="DP87" s="41"/>
    </row>
    <row r="88" spans="1:120" ht="14.25" customHeight="1" x14ac:dyDescent="0.2">
      <c r="A88" s="41"/>
      <c r="B88" s="41"/>
      <c r="C88" s="41"/>
      <c r="D88" s="41"/>
      <c r="E88" s="28">
        <v>2</v>
      </c>
      <c r="F88" s="82" t="s">
        <v>126</v>
      </c>
      <c r="G88" s="41">
        <f t="shared" si="29"/>
        <v>1737.5</v>
      </c>
      <c r="H88" s="41">
        <f t="shared" si="29"/>
        <v>1737.5</v>
      </c>
      <c r="I88" s="41">
        <f t="shared" si="29"/>
        <v>25540.45</v>
      </c>
      <c r="J88" s="41">
        <f t="shared" si="29"/>
        <v>587.5</v>
      </c>
      <c r="K88" s="41">
        <f t="shared" si="29"/>
        <v>587.5</v>
      </c>
      <c r="L88" s="41">
        <f t="shared" si="29"/>
        <v>587.5</v>
      </c>
      <c r="M88" s="41">
        <f t="shared" si="29"/>
        <v>119041.45</v>
      </c>
      <c r="N88" s="281">
        <f t="shared" si="29"/>
        <v>190653.3</v>
      </c>
      <c r="O88" s="41">
        <f t="shared" si="29"/>
        <v>32041.06</v>
      </c>
      <c r="P88" s="41">
        <f t="shared" si="29"/>
        <v>4838.5</v>
      </c>
      <c r="Q88" s="41">
        <f t="shared" si="30"/>
        <v>8338.5</v>
      </c>
      <c r="R88" s="41">
        <f t="shared" si="30"/>
        <v>64582.95</v>
      </c>
      <c r="S88" s="41">
        <f t="shared" si="30"/>
        <v>430</v>
      </c>
      <c r="T88" s="41">
        <f t="shared" si="30"/>
        <v>430</v>
      </c>
      <c r="U88" s="41">
        <f t="shared" si="30"/>
        <v>9842.9700000000012</v>
      </c>
      <c r="V88" s="41">
        <f t="shared" si="30"/>
        <v>46885</v>
      </c>
      <c r="W88" s="41">
        <f t="shared" si="30"/>
        <v>9889.61</v>
      </c>
      <c r="X88" s="41">
        <f t="shared" si="30"/>
        <v>3339</v>
      </c>
      <c r="Y88" s="41">
        <f t="shared" si="30"/>
        <v>38082</v>
      </c>
      <c r="Z88" s="41">
        <f t="shared" si="30"/>
        <v>275580</v>
      </c>
      <c r="AA88" s="41">
        <f t="shared" si="31"/>
        <v>5906.25</v>
      </c>
      <c r="AB88" s="41">
        <f t="shared" si="31"/>
        <v>4456.25</v>
      </c>
      <c r="AC88" s="41">
        <f t="shared" si="31"/>
        <v>406.25</v>
      </c>
      <c r="AD88" s="41">
        <f t="shared" si="31"/>
        <v>18114.25</v>
      </c>
      <c r="AE88" s="41">
        <f t="shared" si="31"/>
        <v>71156.66</v>
      </c>
      <c r="AF88" s="41">
        <f t="shared" si="31"/>
        <v>33332.61</v>
      </c>
      <c r="AG88" s="41">
        <f t="shared" si="31"/>
        <v>15673</v>
      </c>
      <c r="AH88" s="41">
        <f t="shared" si="31"/>
        <v>21454</v>
      </c>
      <c r="AI88" s="41">
        <f t="shared" si="31"/>
        <v>22100</v>
      </c>
      <c r="AJ88" s="41">
        <f t="shared" si="31"/>
        <v>80273.570000000007</v>
      </c>
      <c r="AK88" s="41">
        <f t="shared" si="32"/>
        <v>17283</v>
      </c>
      <c r="AL88" s="41">
        <f t="shared" si="32"/>
        <v>9129</v>
      </c>
      <c r="AM88" s="41">
        <f t="shared" si="32"/>
        <v>3389</v>
      </c>
      <c r="AN88" s="376">
        <f t="shared" si="32"/>
        <v>76126.41</v>
      </c>
      <c r="AO88" s="394">
        <f t="shared" si="32"/>
        <v>5505.8</v>
      </c>
      <c r="AP88" s="376">
        <f t="shared" si="32"/>
        <v>5287</v>
      </c>
      <c r="AQ88" s="41">
        <f t="shared" si="32"/>
        <v>20097.5</v>
      </c>
      <c r="AR88" s="41">
        <f t="shared" si="32"/>
        <v>67163</v>
      </c>
      <c r="AS88" s="41">
        <f t="shared" si="32"/>
        <v>4500</v>
      </c>
      <c r="AT88" s="41">
        <f t="shared" si="32"/>
        <v>14500</v>
      </c>
      <c r="AU88" s="41">
        <f t="shared" si="33"/>
        <v>54500</v>
      </c>
      <c r="AV88" s="41">
        <f t="shared" si="33"/>
        <v>26500</v>
      </c>
      <c r="AW88" s="41">
        <f t="shared" si="33"/>
        <v>44906.25</v>
      </c>
      <c r="AX88" s="41">
        <f t="shared" si="33"/>
        <v>4906.25</v>
      </c>
      <c r="AY88" s="41">
        <f t="shared" si="33"/>
        <v>24906.25</v>
      </c>
      <c r="AZ88" s="41">
        <f t="shared" si="33"/>
        <v>26906.25</v>
      </c>
      <c r="BA88" s="41">
        <f t="shared" si="33"/>
        <v>49625</v>
      </c>
      <c r="BB88" s="41">
        <f t="shared" si="33"/>
        <v>4625</v>
      </c>
      <c r="BC88" s="41">
        <f t="shared" si="33"/>
        <v>4625</v>
      </c>
      <c r="BD88" s="41">
        <f t="shared" si="33"/>
        <v>46625</v>
      </c>
      <c r="BE88" s="41">
        <f t="shared" si="34"/>
        <v>47940.800000000003</v>
      </c>
      <c r="BF88" s="41">
        <f t="shared" si="34"/>
        <v>7940.8</v>
      </c>
      <c r="BG88" s="41">
        <f t="shared" si="34"/>
        <v>7940.8</v>
      </c>
      <c r="BH88" s="41">
        <f t="shared" si="34"/>
        <v>7940.8</v>
      </c>
      <c r="BI88" s="41">
        <f t="shared" si="34"/>
        <v>39940.800000000003</v>
      </c>
      <c r="BJ88" s="41">
        <f t="shared" si="34"/>
        <v>44625</v>
      </c>
      <c r="BK88" s="41">
        <f t="shared" si="34"/>
        <v>4625</v>
      </c>
      <c r="BL88" s="41">
        <f t="shared" si="34"/>
        <v>4625</v>
      </c>
      <c r="BM88" s="41">
        <f t="shared" si="34"/>
        <v>22625</v>
      </c>
      <c r="BN88" s="41">
        <f t="shared" si="34"/>
        <v>45906.25</v>
      </c>
      <c r="BO88" s="41">
        <f t="shared" si="35"/>
        <v>4906.25</v>
      </c>
      <c r="BP88" s="41">
        <f t="shared" si="35"/>
        <v>4906.25</v>
      </c>
      <c r="BQ88" s="41">
        <f t="shared" si="35"/>
        <v>26906.25</v>
      </c>
      <c r="BR88" s="41">
        <f t="shared" si="35"/>
        <v>74500</v>
      </c>
      <c r="BS88" s="41">
        <f t="shared" si="35"/>
        <v>4500</v>
      </c>
      <c r="BT88" s="41">
        <f t="shared" si="35"/>
        <v>4500</v>
      </c>
      <c r="BU88" s="41">
        <f t="shared" si="35"/>
        <v>4500</v>
      </c>
      <c r="BV88" s="41">
        <f t="shared" si="35"/>
        <v>26500</v>
      </c>
      <c r="BW88" s="41">
        <f t="shared" si="35"/>
        <v>7245</v>
      </c>
      <c r="BX88" s="41">
        <f t="shared" si="35"/>
        <v>7245</v>
      </c>
      <c r="BY88" s="41">
        <f t="shared" si="36"/>
        <v>7245</v>
      </c>
      <c r="BZ88" s="41">
        <f t="shared" si="36"/>
        <v>29245</v>
      </c>
      <c r="CA88" s="41">
        <f t="shared" si="36"/>
        <v>9500</v>
      </c>
      <c r="CB88" s="41">
        <f t="shared" si="36"/>
        <v>4500</v>
      </c>
      <c r="CC88" s="41">
        <f t="shared" si="36"/>
        <v>4500</v>
      </c>
      <c r="CD88" s="41">
        <f t="shared" si="36"/>
        <v>4500</v>
      </c>
      <c r="CE88" s="41">
        <f t="shared" si="36"/>
        <v>26500</v>
      </c>
      <c r="CF88" s="41">
        <f t="shared" si="36"/>
        <v>4906.25</v>
      </c>
      <c r="CG88" s="41">
        <f t="shared" si="36"/>
        <v>4906.25</v>
      </c>
      <c r="CH88" s="41">
        <f t="shared" si="36"/>
        <v>4906.25</v>
      </c>
      <c r="CI88" s="41">
        <f t="shared" si="37"/>
        <v>26906.25</v>
      </c>
      <c r="CJ88" s="41">
        <f t="shared" si="37"/>
        <v>4625</v>
      </c>
      <c r="CK88" s="41">
        <f t="shared" si="37"/>
        <v>4625</v>
      </c>
      <c r="CL88" s="41">
        <f t="shared" si="37"/>
        <v>4625</v>
      </c>
      <c r="CM88" s="41">
        <f t="shared" si="37"/>
        <v>26625</v>
      </c>
      <c r="CN88" s="41">
        <f t="shared" si="37"/>
        <v>4500</v>
      </c>
      <c r="CO88" s="41">
        <f t="shared" si="37"/>
        <v>4500</v>
      </c>
      <c r="CP88" s="41">
        <f t="shared" si="37"/>
        <v>4500</v>
      </c>
      <c r="CQ88" s="41">
        <f t="shared" si="37"/>
        <v>4500</v>
      </c>
      <c r="CR88" s="41">
        <f t="shared" si="37"/>
        <v>26500</v>
      </c>
      <c r="CS88" s="41">
        <f t="shared" si="37"/>
        <v>4906.25</v>
      </c>
      <c r="CT88" s="41">
        <f t="shared" si="37"/>
        <v>4906.25</v>
      </c>
      <c r="CU88" s="41">
        <f t="shared" si="37"/>
        <v>4906.25</v>
      </c>
      <c r="CV88" s="41">
        <f t="shared" si="37"/>
        <v>26906.25</v>
      </c>
      <c r="CW88" s="41"/>
      <c r="CX88" s="41"/>
      <c r="CY88" s="41"/>
      <c r="CZ88" s="41"/>
      <c r="DA88" s="41"/>
      <c r="DB88" s="41"/>
      <c r="DC88" s="41"/>
      <c r="DD88" s="41"/>
      <c r="DE88" s="41"/>
      <c r="DF88" s="41"/>
      <c r="DG88" s="41"/>
      <c r="DH88" s="41"/>
      <c r="DI88" s="41"/>
      <c r="DJ88" s="41"/>
      <c r="DK88" s="41"/>
      <c r="DL88" s="41"/>
      <c r="DM88" s="41"/>
      <c r="DN88" s="41"/>
      <c r="DO88" s="41"/>
      <c r="DP88" s="41"/>
    </row>
    <row r="89" spans="1:120" ht="14" customHeight="1" x14ac:dyDescent="0.2">
      <c r="A89" s="41"/>
      <c r="B89" s="41"/>
      <c r="C89" s="41"/>
      <c r="D89" s="41"/>
      <c r="E89" s="28">
        <v>3</v>
      </c>
      <c r="F89" s="82" t="s">
        <v>64</v>
      </c>
      <c r="G89" s="41">
        <f t="shared" si="29"/>
        <v>0</v>
      </c>
      <c r="H89" s="41">
        <f t="shared" si="29"/>
        <v>0</v>
      </c>
      <c r="I89" s="41">
        <f t="shared" si="29"/>
        <v>0</v>
      </c>
      <c r="J89" s="41">
        <f t="shared" si="29"/>
        <v>0</v>
      </c>
      <c r="K89" s="41">
        <f t="shared" si="29"/>
        <v>0</v>
      </c>
      <c r="L89" s="41">
        <f t="shared" si="29"/>
        <v>0</v>
      </c>
      <c r="M89" s="41">
        <f t="shared" si="29"/>
        <v>0</v>
      </c>
      <c r="N89" s="281">
        <f t="shared" si="29"/>
        <v>375424.43923076923</v>
      </c>
      <c r="O89" s="41">
        <f t="shared" si="29"/>
        <v>0</v>
      </c>
      <c r="P89" s="41">
        <f t="shared" si="29"/>
        <v>0</v>
      </c>
      <c r="Q89" s="41">
        <f t="shared" si="30"/>
        <v>0</v>
      </c>
      <c r="R89" s="41">
        <f t="shared" si="30"/>
        <v>0</v>
      </c>
      <c r="S89" s="41">
        <f t="shared" si="30"/>
        <v>53500</v>
      </c>
      <c r="T89" s="41">
        <f t="shared" si="30"/>
        <v>0</v>
      </c>
      <c r="U89" s="41">
        <f t="shared" si="30"/>
        <v>65024.76</v>
      </c>
      <c r="V89" s="41">
        <f t="shared" si="30"/>
        <v>0</v>
      </c>
      <c r="W89" s="41">
        <f t="shared" si="30"/>
        <v>65500</v>
      </c>
      <c r="X89" s="41">
        <f t="shared" si="30"/>
        <v>0</v>
      </c>
      <c r="Y89" s="41">
        <f t="shared" si="30"/>
        <v>76024.759999999995</v>
      </c>
      <c r="Z89" s="41">
        <f t="shared" si="30"/>
        <v>0</v>
      </c>
      <c r="AA89" s="41">
        <f t="shared" si="31"/>
        <v>68477.5</v>
      </c>
      <c r="AB89" s="41">
        <f t="shared" si="31"/>
        <v>0</v>
      </c>
      <c r="AC89" s="41">
        <f t="shared" si="31"/>
        <v>82858</v>
      </c>
      <c r="AD89" s="41">
        <f t="shared" si="31"/>
        <v>7524.76</v>
      </c>
      <c r="AE89" s="41">
        <f t="shared" si="31"/>
        <v>0</v>
      </c>
      <c r="AF89" s="41">
        <f t="shared" si="31"/>
        <v>75932.692307692312</v>
      </c>
      <c r="AG89" s="41">
        <f t="shared" si="31"/>
        <v>0</v>
      </c>
      <c r="AH89" s="41">
        <f t="shared" si="31"/>
        <v>76270.192307692312</v>
      </c>
      <c r="AI89" s="41">
        <f t="shared" si="31"/>
        <v>23222.2</v>
      </c>
      <c r="AJ89" s="41">
        <f t="shared" si="31"/>
        <v>80682.692307692312</v>
      </c>
      <c r="AK89" s="41">
        <f t="shared" si="32"/>
        <v>0</v>
      </c>
      <c r="AL89" s="41">
        <f t="shared" si="32"/>
        <v>79932.692307692312</v>
      </c>
      <c r="AM89" s="41">
        <f t="shared" si="32"/>
        <v>0</v>
      </c>
      <c r="AN89" s="376">
        <f t="shared" si="32"/>
        <v>80362.692307692312</v>
      </c>
      <c r="AO89" s="394">
        <f t="shared" si="32"/>
        <v>0</v>
      </c>
      <c r="AP89" s="376">
        <f t="shared" si="32"/>
        <v>86474.36230769231</v>
      </c>
      <c r="AQ89" s="41">
        <f t="shared" si="32"/>
        <v>4500</v>
      </c>
      <c r="AR89" s="41">
        <f t="shared" si="32"/>
        <v>98566.692307692312</v>
      </c>
      <c r="AS89" s="41">
        <f t="shared" si="32"/>
        <v>0</v>
      </c>
      <c r="AT89" s="41">
        <f t="shared" si="32"/>
        <v>93566.692307692312</v>
      </c>
      <c r="AU89" s="41">
        <f t="shared" si="33"/>
        <v>0</v>
      </c>
      <c r="AV89" s="41">
        <f t="shared" si="33"/>
        <v>92316.692307692312</v>
      </c>
      <c r="AW89" s="41">
        <f t="shared" si="33"/>
        <v>0</v>
      </c>
      <c r="AX89" s="41">
        <f t="shared" si="33"/>
        <v>90816.692307692312</v>
      </c>
      <c r="AY89" s="41">
        <f t="shared" si="33"/>
        <v>0</v>
      </c>
      <c r="AZ89" s="41">
        <f t="shared" si="33"/>
        <v>99816.692307692312</v>
      </c>
      <c r="BA89" s="41">
        <f t="shared" si="33"/>
        <v>0</v>
      </c>
      <c r="BB89" s="41">
        <f t="shared" si="33"/>
        <v>103716.69230769231</v>
      </c>
      <c r="BC89" s="41">
        <f t="shared" si="33"/>
        <v>0</v>
      </c>
      <c r="BD89" s="41">
        <f t="shared" si="33"/>
        <v>100813.69230769231</v>
      </c>
      <c r="BE89" s="41">
        <f t="shared" si="34"/>
        <v>0</v>
      </c>
      <c r="BF89" s="41">
        <f t="shared" si="34"/>
        <v>91813.692307692312</v>
      </c>
      <c r="BG89" s="41">
        <f t="shared" si="34"/>
        <v>0</v>
      </c>
      <c r="BH89" s="41">
        <f t="shared" si="34"/>
        <v>100813.69230769231</v>
      </c>
      <c r="BI89" s="41">
        <f t="shared" si="34"/>
        <v>0</v>
      </c>
      <c r="BJ89" s="41">
        <f t="shared" si="34"/>
        <v>416086.29647435894</v>
      </c>
      <c r="BK89" s="41">
        <f t="shared" si="34"/>
        <v>0</v>
      </c>
      <c r="BL89" s="41">
        <f t="shared" si="34"/>
        <v>100813.69230769231</v>
      </c>
      <c r="BM89" s="41">
        <f t="shared" si="34"/>
        <v>0</v>
      </c>
      <c r="BN89" s="41">
        <f t="shared" si="34"/>
        <v>91813.692307692312</v>
      </c>
      <c r="BO89" s="41">
        <f t="shared" si="35"/>
        <v>0</v>
      </c>
      <c r="BP89" s="41">
        <f t="shared" si="35"/>
        <v>100813.69230769231</v>
      </c>
      <c r="BQ89" s="41">
        <f t="shared" si="35"/>
        <v>0</v>
      </c>
      <c r="BR89" s="41">
        <f t="shared" si="35"/>
        <v>103813.69230769231</v>
      </c>
      <c r="BS89" s="41">
        <f t="shared" si="35"/>
        <v>0</v>
      </c>
      <c r="BT89" s="41">
        <f t="shared" si="35"/>
        <v>91716.692307692312</v>
      </c>
      <c r="BU89" s="41">
        <f t="shared" si="35"/>
        <v>0</v>
      </c>
      <c r="BV89" s="41">
        <f t="shared" si="35"/>
        <v>100716.69230769231</v>
      </c>
      <c r="BW89" s="41">
        <f t="shared" si="35"/>
        <v>0</v>
      </c>
      <c r="BX89" s="41">
        <f t="shared" si="35"/>
        <v>91716.692307692312</v>
      </c>
      <c r="BY89" s="41">
        <f t="shared" si="36"/>
        <v>0</v>
      </c>
      <c r="BZ89" s="41">
        <f t="shared" si="36"/>
        <v>109813.69230769231</v>
      </c>
      <c r="CA89" s="41">
        <f t="shared" si="36"/>
        <v>0</v>
      </c>
      <c r="CB89" s="41">
        <f t="shared" si="36"/>
        <v>91313.692307692312</v>
      </c>
      <c r="CC89" s="41">
        <f t="shared" si="36"/>
        <v>0</v>
      </c>
      <c r="CD89" s="41">
        <f t="shared" si="36"/>
        <v>100313.69230769231</v>
      </c>
      <c r="CE89" s="41">
        <f t="shared" si="36"/>
        <v>0</v>
      </c>
      <c r="CF89" s="41">
        <f t="shared" si="36"/>
        <v>91313.692307692312</v>
      </c>
      <c r="CG89" s="41">
        <f t="shared" si="36"/>
        <v>0</v>
      </c>
      <c r="CH89" s="41">
        <f t="shared" si="36"/>
        <v>100313.69230769231</v>
      </c>
      <c r="CI89" s="41">
        <f t="shared" si="37"/>
        <v>0</v>
      </c>
      <c r="CJ89" s="41">
        <f t="shared" si="37"/>
        <v>100813.69230769231</v>
      </c>
      <c r="CK89" s="41">
        <f t="shared" si="37"/>
        <v>0</v>
      </c>
      <c r="CL89" s="41">
        <f t="shared" si="37"/>
        <v>100313.69230769231</v>
      </c>
      <c r="CM89" s="41">
        <f t="shared" si="37"/>
        <v>0</v>
      </c>
      <c r="CN89" s="41">
        <f t="shared" si="37"/>
        <v>91313.692307692312</v>
      </c>
      <c r="CO89" s="41">
        <f t="shared" si="37"/>
        <v>0</v>
      </c>
      <c r="CP89" s="41">
        <f t="shared" si="37"/>
        <v>91313.692307692312</v>
      </c>
      <c r="CQ89" s="41">
        <f t="shared" si="37"/>
        <v>0</v>
      </c>
      <c r="CR89" s="41">
        <f t="shared" si="37"/>
        <v>109813.69230769231</v>
      </c>
      <c r="CS89" s="41">
        <f t="shared" si="37"/>
        <v>0</v>
      </c>
      <c r="CT89" s="41">
        <f t="shared" si="37"/>
        <v>91313.692307692312</v>
      </c>
      <c r="CU89" s="41">
        <f t="shared" si="37"/>
        <v>0</v>
      </c>
      <c r="CV89" s="41">
        <f t="shared" si="37"/>
        <v>100313.69230769231</v>
      </c>
      <c r="CW89" s="41"/>
      <c r="CX89" s="41"/>
      <c r="CY89" s="41"/>
      <c r="CZ89" s="41"/>
      <c r="DA89" s="41"/>
      <c r="DB89" s="41"/>
      <c r="DC89" s="41"/>
      <c r="DD89" s="41"/>
      <c r="DE89" s="41"/>
      <c r="DF89" s="41"/>
      <c r="DG89" s="41"/>
      <c r="DH89" s="41"/>
      <c r="DI89" s="41"/>
      <c r="DJ89" s="41"/>
      <c r="DK89" s="41"/>
      <c r="DL89" s="41"/>
      <c r="DM89" s="41"/>
      <c r="DN89" s="41"/>
      <c r="DO89" s="41"/>
      <c r="DP89" s="41"/>
    </row>
    <row r="90" spans="1:120" ht="14.25" customHeight="1" x14ac:dyDescent="0.2">
      <c r="A90" s="41"/>
      <c r="B90" s="41"/>
      <c r="C90" s="41"/>
      <c r="D90" s="41"/>
      <c r="E90" s="28">
        <v>4</v>
      </c>
      <c r="F90" s="82" t="s">
        <v>158</v>
      </c>
      <c r="G90" s="41">
        <f t="shared" si="29"/>
        <v>0</v>
      </c>
      <c r="H90" s="41">
        <f t="shared" si="29"/>
        <v>0</v>
      </c>
      <c r="I90" s="41">
        <f t="shared" si="29"/>
        <v>8169.12</v>
      </c>
      <c r="J90" s="41">
        <f t="shared" si="29"/>
        <v>0</v>
      </c>
      <c r="K90" s="41">
        <f t="shared" si="29"/>
        <v>0</v>
      </c>
      <c r="L90" s="41">
        <f t="shared" si="29"/>
        <v>0</v>
      </c>
      <c r="M90" s="41">
        <f t="shared" si="29"/>
        <v>0</v>
      </c>
      <c r="N90" s="281">
        <f t="shared" si="29"/>
        <v>69450</v>
      </c>
      <c r="O90" s="41">
        <f t="shared" si="29"/>
        <v>0</v>
      </c>
      <c r="P90" s="41">
        <f t="shared" si="29"/>
        <v>0</v>
      </c>
      <c r="Q90" s="41">
        <f t="shared" si="30"/>
        <v>0</v>
      </c>
      <c r="R90" s="41">
        <f t="shared" si="30"/>
        <v>0</v>
      </c>
      <c r="S90" s="41">
        <f t="shared" si="30"/>
        <v>0</v>
      </c>
      <c r="T90" s="41">
        <f t="shared" si="30"/>
        <v>0</v>
      </c>
      <c r="U90" s="41">
        <f t="shared" si="30"/>
        <v>3884.4</v>
      </c>
      <c r="V90" s="41">
        <f t="shared" si="30"/>
        <v>0</v>
      </c>
      <c r="W90" s="41">
        <f t="shared" si="30"/>
        <v>1125</v>
      </c>
      <c r="X90" s="41">
        <f t="shared" si="30"/>
        <v>1125</v>
      </c>
      <c r="Y90" s="41">
        <f t="shared" si="30"/>
        <v>7633</v>
      </c>
      <c r="Z90" s="41">
        <f t="shared" si="30"/>
        <v>4125</v>
      </c>
      <c r="AA90" s="41">
        <f t="shared" si="31"/>
        <v>1125</v>
      </c>
      <c r="AB90" s="41">
        <f t="shared" si="31"/>
        <v>8125</v>
      </c>
      <c r="AC90" s="41">
        <f t="shared" si="31"/>
        <v>7125</v>
      </c>
      <c r="AD90" s="41">
        <f t="shared" si="31"/>
        <v>10825</v>
      </c>
      <c r="AE90" s="41">
        <f t="shared" si="31"/>
        <v>7409</v>
      </c>
      <c r="AF90" s="41">
        <f t="shared" si="31"/>
        <v>19300</v>
      </c>
      <c r="AG90" s="41">
        <f t="shared" si="31"/>
        <v>900</v>
      </c>
      <c r="AH90" s="41">
        <f t="shared" si="31"/>
        <v>7409</v>
      </c>
      <c r="AI90" s="41">
        <f t="shared" si="31"/>
        <v>6100</v>
      </c>
      <c r="AJ90" s="41">
        <f t="shared" si="31"/>
        <v>9875</v>
      </c>
      <c r="AK90" s="41">
        <f t="shared" si="32"/>
        <v>1125</v>
      </c>
      <c r="AL90" s="41">
        <f t="shared" si="32"/>
        <v>1125</v>
      </c>
      <c r="AM90" s="41">
        <f t="shared" si="32"/>
        <v>15825</v>
      </c>
      <c r="AN90" s="376">
        <f t="shared" si="32"/>
        <v>2500</v>
      </c>
      <c r="AO90" s="394">
        <f t="shared" si="32"/>
        <v>0</v>
      </c>
      <c r="AP90" s="376">
        <f t="shared" si="32"/>
        <v>5250</v>
      </c>
      <c r="AQ90" s="41">
        <f t="shared" si="32"/>
        <v>44000</v>
      </c>
      <c r="AR90" s="41">
        <f t="shared" si="32"/>
        <v>0</v>
      </c>
      <c r="AS90" s="41">
        <f t="shared" si="32"/>
        <v>0</v>
      </c>
      <c r="AT90" s="41">
        <f t="shared" si="32"/>
        <v>0</v>
      </c>
      <c r="AU90" s="41">
        <f t="shared" si="33"/>
        <v>10700</v>
      </c>
      <c r="AV90" s="41">
        <f t="shared" si="33"/>
        <v>9500</v>
      </c>
      <c r="AW90" s="41">
        <f t="shared" si="33"/>
        <v>2500</v>
      </c>
      <c r="AX90" s="41">
        <f t="shared" si="33"/>
        <v>2500</v>
      </c>
      <c r="AY90" s="41">
        <f t="shared" si="33"/>
        <v>2500</v>
      </c>
      <c r="AZ90" s="41">
        <f t="shared" si="33"/>
        <v>24000</v>
      </c>
      <c r="BA90" s="41">
        <f t="shared" si="33"/>
        <v>2800</v>
      </c>
      <c r="BB90" s="41">
        <f t="shared" si="33"/>
        <v>2500</v>
      </c>
      <c r="BC90" s="41">
        <f t="shared" si="33"/>
        <v>2500</v>
      </c>
      <c r="BD90" s="41">
        <f t="shared" si="33"/>
        <v>24500</v>
      </c>
      <c r="BE90" s="41">
        <f t="shared" si="34"/>
        <v>2000</v>
      </c>
      <c r="BF90" s="41">
        <f t="shared" si="34"/>
        <v>2000</v>
      </c>
      <c r="BG90" s="41">
        <f t="shared" si="34"/>
        <v>2000</v>
      </c>
      <c r="BH90" s="41">
        <f t="shared" si="34"/>
        <v>10700</v>
      </c>
      <c r="BI90" s="41">
        <f t="shared" si="34"/>
        <v>5000</v>
      </c>
      <c r="BJ90" s="41">
        <f t="shared" si="34"/>
        <v>2500</v>
      </c>
      <c r="BK90" s="41">
        <f t="shared" si="34"/>
        <v>0</v>
      </c>
      <c r="BL90" s="41">
        <f t="shared" si="34"/>
        <v>0</v>
      </c>
      <c r="BM90" s="41">
        <f t="shared" si="34"/>
        <v>0</v>
      </c>
      <c r="BN90" s="41">
        <f t="shared" si="34"/>
        <v>0</v>
      </c>
      <c r="BO90" s="41">
        <f t="shared" si="35"/>
        <v>0</v>
      </c>
      <c r="BP90" s="41">
        <f t="shared" si="35"/>
        <v>2500</v>
      </c>
      <c r="BQ90" s="41">
        <f t="shared" si="35"/>
        <v>2500</v>
      </c>
      <c r="BR90" s="41">
        <f t="shared" si="35"/>
        <v>2000</v>
      </c>
      <c r="BS90" s="41">
        <f t="shared" si="35"/>
        <v>2000</v>
      </c>
      <c r="BT90" s="41">
        <f t="shared" si="35"/>
        <v>2000</v>
      </c>
      <c r="BU90" s="41">
        <f t="shared" si="35"/>
        <v>2000</v>
      </c>
      <c r="BV90" s="41">
        <f t="shared" si="35"/>
        <v>2000</v>
      </c>
      <c r="BW90" s="41">
        <f t="shared" si="35"/>
        <v>2500</v>
      </c>
      <c r="BX90" s="41">
        <f t="shared" si="35"/>
        <v>2500</v>
      </c>
      <c r="BY90" s="41">
        <f t="shared" si="36"/>
        <v>2500</v>
      </c>
      <c r="BZ90" s="41">
        <f t="shared" si="36"/>
        <v>2500</v>
      </c>
      <c r="CA90" s="41">
        <f t="shared" si="36"/>
        <v>2000</v>
      </c>
      <c r="CB90" s="41">
        <f t="shared" si="36"/>
        <v>2000</v>
      </c>
      <c r="CC90" s="41">
        <f t="shared" si="36"/>
        <v>2000</v>
      </c>
      <c r="CD90" s="41">
        <f t="shared" si="36"/>
        <v>2000</v>
      </c>
      <c r="CE90" s="41">
        <f t="shared" si="36"/>
        <v>2000</v>
      </c>
      <c r="CF90" s="41">
        <f t="shared" si="36"/>
        <v>2500</v>
      </c>
      <c r="CG90" s="41">
        <f t="shared" si="36"/>
        <v>2500</v>
      </c>
      <c r="CH90" s="41">
        <f t="shared" si="36"/>
        <v>2500</v>
      </c>
      <c r="CI90" s="41">
        <f t="shared" si="37"/>
        <v>2500</v>
      </c>
      <c r="CJ90" s="41">
        <f t="shared" si="37"/>
        <v>2500</v>
      </c>
      <c r="CK90" s="41">
        <f t="shared" si="37"/>
        <v>2500</v>
      </c>
      <c r="CL90" s="41">
        <f t="shared" si="37"/>
        <v>2500</v>
      </c>
      <c r="CM90" s="41">
        <f t="shared" si="37"/>
        <v>2500</v>
      </c>
      <c r="CN90" s="41">
        <f t="shared" si="37"/>
        <v>2000</v>
      </c>
      <c r="CO90" s="41">
        <f t="shared" si="37"/>
        <v>2000</v>
      </c>
      <c r="CP90" s="41">
        <f t="shared" si="37"/>
        <v>2000</v>
      </c>
      <c r="CQ90" s="41">
        <f t="shared" si="37"/>
        <v>2000</v>
      </c>
      <c r="CR90" s="41">
        <f t="shared" si="37"/>
        <v>2000</v>
      </c>
      <c r="CS90" s="41">
        <f t="shared" si="37"/>
        <v>2500</v>
      </c>
      <c r="CT90" s="41">
        <f t="shared" si="37"/>
        <v>2500</v>
      </c>
      <c r="CU90" s="41">
        <f t="shared" si="37"/>
        <v>2500</v>
      </c>
      <c r="CV90" s="41">
        <f t="shared" si="37"/>
        <v>2500</v>
      </c>
      <c r="CW90" s="41"/>
      <c r="CX90" s="41"/>
      <c r="CY90" s="41"/>
      <c r="CZ90" s="41"/>
      <c r="DA90" s="41"/>
      <c r="DB90" s="41"/>
      <c r="DC90" s="41"/>
      <c r="DD90" s="41"/>
      <c r="DE90" s="41"/>
      <c r="DF90" s="41"/>
      <c r="DG90" s="41"/>
      <c r="DH90" s="41"/>
      <c r="DI90" s="41"/>
      <c r="DJ90" s="41"/>
      <c r="DK90" s="41"/>
      <c r="DL90" s="41"/>
      <c r="DM90" s="41"/>
      <c r="DN90" s="41"/>
      <c r="DO90" s="41"/>
      <c r="DP90" s="41"/>
    </row>
    <row r="91" spans="1:120" ht="14.25" customHeight="1" x14ac:dyDescent="0.2">
      <c r="A91" s="41"/>
      <c r="B91" s="41"/>
      <c r="C91" s="41"/>
      <c r="D91" s="41"/>
      <c r="E91" s="28">
        <v>5</v>
      </c>
      <c r="F91" s="82" t="s">
        <v>198</v>
      </c>
      <c r="G91" s="41">
        <f t="shared" si="29"/>
        <v>0</v>
      </c>
      <c r="H91" s="41">
        <f t="shared" si="29"/>
        <v>0</v>
      </c>
      <c r="I91" s="41">
        <f t="shared" si="29"/>
        <v>0</v>
      </c>
      <c r="J91" s="41">
        <f t="shared" si="29"/>
        <v>0</v>
      </c>
      <c r="K91" s="41">
        <f t="shared" si="29"/>
        <v>0</v>
      </c>
      <c r="L91" s="41">
        <f t="shared" si="29"/>
        <v>0</v>
      </c>
      <c r="M91" s="41">
        <f t="shared" si="29"/>
        <v>0</v>
      </c>
      <c r="N91" s="281">
        <f t="shared" si="29"/>
        <v>0</v>
      </c>
      <c r="O91" s="41">
        <f t="shared" si="29"/>
        <v>0</v>
      </c>
      <c r="P91" s="41">
        <f t="shared" si="29"/>
        <v>0</v>
      </c>
      <c r="Q91" s="41">
        <f t="shared" si="30"/>
        <v>0</v>
      </c>
      <c r="R91" s="41">
        <f t="shared" si="30"/>
        <v>0</v>
      </c>
      <c r="S91" s="41">
        <f t="shared" si="30"/>
        <v>0</v>
      </c>
      <c r="T91" s="41">
        <f t="shared" si="30"/>
        <v>0</v>
      </c>
      <c r="U91" s="41">
        <f t="shared" si="30"/>
        <v>0</v>
      </c>
      <c r="V91" s="41">
        <f t="shared" si="30"/>
        <v>0</v>
      </c>
      <c r="W91" s="41">
        <f t="shared" si="30"/>
        <v>0</v>
      </c>
      <c r="X91" s="41">
        <f t="shared" si="30"/>
        <v>0</v>
      </c>
      <c r="Y91" s="41">
        <f t="shared" si="30"/>
        <v>0</v>
      </c>
      <c r="Z91" s="41">
        <f t="shared" si="30"/>
        <v>0</v>
      </c>
      <c r="AA91" s="41">
        <f t="shared" si="31"/>
        <v>0</v>
      </c>
      <c r="AB91" s="41">
        <f t="shared" si="31"/>
        <v>0</v>
      </c>
      <c r="AC91" s="41">
        <f t="shared" si="31"/>
        <v>0</v>
      </c>
      <c r="AD91" s="41">
        <f t="shared" si="31"/>
        <v>0</v>
      </c>
      <c r="AE91" s="41">
        <f t="shared" si="31"/>
        <v>0</v>
      </c>
      <c r="AF91" s="41">
        <f t="shared" si="31"/>
        <v>0</v>
      </c>
      <c r="AG91" s="41">
        <f t="shared" si="31"/>
        <v>0</v>
      </c>
      <c r="AH91" s="41">
        <f t="shared" si="31"/>
        <v>0</v>
      </c>
      <c r="AI91" s="41">
        <f t="shared" si="31"/>
        <v>0</v>
      </c>
      <c r="AJ91" s="41">
        <f t="shared" si="31"/>
        <v>0</v>
      </c>
      <c r="AK91" s="41">
        <f t="shared" si="32"/>
        <v>0</v>
      </c>
      <c r="AL91" s="41">
        <f t="shared" si="32"/>
        <v>0</v>
      </c>
      <c r="AM91" s="41">
        <f t="shared" si="32"/>
        <v>0</v>
      </c>
      <c r="AN91" s="376">
        <f t="shared" si="32"/>
        <v>0</v>
      </c>
      <c r="AO91" s="394">
        <f t="shared" si="32"/>
        <v>0</v>
      </c>
      <c r="AP91" s="376">
        <f t="shared" si="32"/>
        <v>0</v>
      </c>
      <c r="AQ91" s="41">
        <f t="shared" si="32"/>
        <v>0</v>
      </c>
      <c r="AR91" s="41">
        <f t="shared" si="32"/>
        <v>0</v>
      </c>
      <c r="AS91" s="41">
        <f t="shared" si="32"/>
        <v>0</v>
      </c>
      <c r="AT91" s="41">
        <f t="shared" si="32"/>
        <v>0</v>
      </c>
      <c r="AU91" s="41">
        <f t="shared" si="33"/>
        <v>0</v>
      </c>
      <c r="AV91" s="41">
        <f t="shared" si="33"/>
        <v>0</v>
      </c>
      <c r="AW91" s="41">
        <f t="shared" si="33"/>
        <v>0</v>
      </c>
      <c r="AX91" s="41">
        <f t="shared" si="33"/>
        <v>0</v>
      </c>
      <c r="AY91" s="41">
        <f t="shared" si="33"/>
        <v>0</v>
      </c>
      <c r="AZ91" s="41">
        <f t="shared" si="33"/>
        <v>0</v>
      </c>
      <c r="BA91" s="41">
        <f t="shared" si="33"/>
        <v>0</v>
      </c>
      <c r="BB91" s="41">
        <f t="shared" si="33"/>
        <v>0</v>
      </c>
      <c r="BC91" s="41">
        <f t="shared" si="33"/>
        <v>0</v>
      </c>
      <c r="BD91" s="41">
        <f t="shared" si="33"/>
        <v>0</v>
      </c>
      <c r="BE91" s="41">
        <f t="shared" si="34"/>
        <v>0</v>
      </c>
      <c r="BF91" s="41">
        <f t="shared" si="34"/>
        <v>0</v>
      </c>
      <c r="BG91" s="41">
        <f t="shared" si="34"/>
        <v>0</v>
      </c>
      <c r="BH91" s="41">
        <f t="shared" si="34"/>
        <v>0</v>
      </c>
      <c r="BI91" s="41">
        <f t="shared" si="34"/>
        <v>0</v>
      </c>
      <c r="BJ91" s="41">
        <f t="shared" si="34"/>
        <v>0</v>
      </c>
      <c r="BK91" s="41">
        <f t="shared" si="34"/>
        <v>0</v>
      </c>
      <c r="BL91" s="41">
        <f t="shared" si="34"/>
        <v>0</v>
      </c>
      <c r="BM91" s="41">
        <f t="shared" si="34"/>
        <v>0</v>
      </c>
      <c r="BN91" s="41">
        <f t="shared" si="34"/>
        <v>0</v>
      </c>
      <c r="BO91" s="41">
        <f t="shared" si="35"/>
        <v>0</v>
      </c>
      <c r="BP91" s="41">
        <f t="shared" si="35"/>
        <v>0</v>
      </c>
      <c r="BQ91" s="41">
        <f t="shared" si="35"/>
        <v>0</v>
      </c>
      <c r="BR91" s="41">
        <f t="shared" si="35"/>
        <v>0</v>
      </c>
      <c r="BS91" s="41">
        <f t="shared" si="35"/>
        <v>0</v>
      </c>
      <c r="BT91" s="41">
        <f t="shared" si="35"/>
        <v>0</v>
      </c>
      <c r="BU91" s="41">
        <f t="shared" si="35"/>
        <v>0</v>
      </c>
      <c r="BV91" s="41">
        <f t="shared" si="35"/>
        <v>0</v>
      </c>
      <c r="BW91" s="41">
        <f t="shared" si="35"/>
        <v>0</v>
      </c>
      <c r="BX91" s="41">
        <f t="shared" si="35"/>
        <v>0</v>
      </c>
      <c r="BY91" s="41">
        <f t="shared" si="36"/>
        <v>0</v>
      </c>
      <c r="BZ91" s="41">
        <f t="shared" si="36"/>
        <v>0</v>
      </c>
      <c r="CA91" s="41">
        <f t="shared" si="36"/>
        <v>0</v>
      </c>
      <c r="CB91" s="41">
        <f t="shared" si="36"/>
        <v>0</v>
      </c>
      <c r="CC91" s="41">
        <f t="shared" si="36"/>
        <v>0</v>
      </c>
      <c r="CD91" s="41">
        <f t="shared" si="36"/>
        <v>0</v>
      </c>
      <c r="CE91" s="41">
        <f t="shared" si="36"/>
        <v>0</v>
      </c>
      <c r="CF91" s="41">
        <f t="shared" si="36"/>
        <v>0</v>
      </c>
      <c r="CG91" s="41">
        <f t="shared" si="36"/>
        <v>0</v>
      </c>
      <c r="CH91" s="41">
        <f t="shared" si="36"/>
        <v>0</v>
      </c>
      <c r="CI91" s="41">
        <f t="shared" si="37"/>
        <v>0</v>
      </c>
      <c r="CJ91" s="41">
        <f t="shared" si="37"/>
        <v>0</v>
      </c>
      <c r="CK91" s="41">
        <f t="shared" si="37"/>
        <v>0</v>
      </c>
      <c r="CL91" s="41">
        <f t="shared" si="37"/>
        <v>0</v>
      </c>
      <c r="CM91" s="41">
        <f t="shared" si="37"/>
        <v>0</v>
      </c>
      <c r="CN91" s="41">
        <f t="shared" si="37"/>
        <v>0</v>
      </c>
      <c r="CO91" s="41">
        <f t="shared" si="37"/>
        <v>0</v>
      </c>
      <c r="CP91" s="41">
        <f t="shared" si="37"/>
        <v>0</v>
      </c>
      <c r="CQ91" s="41">
        <f t="shared" si="37"/>
        <v>0</v>
      </c>
      <c r="CR91" s="41">
        <f t="shared" si="37"/>
        <v>0</v>
      </c>
      <c r="CS91" s="41">
        <f t="shared" si="37"/>
        <v>0</v>
      </c>
      <c r="CT91" s="41">
        <f t="shared" si="37"/>
        <v>0</v>
      </c>
      <c r="CU91" s="41">
        <f t="shared" si="37"/>
        <v>0</v>
      </c>
      <c r="CV91" s="41">
        <f t="shared" si="37"/>
        <v>0</v>
      </c>
      <c r="CW91" s="41"/>
      <c r="CX91" s="41"/>
      <c r="CY91" s="41"/>
      <c r="CZ91" s="41"/>
      <c r="DA91" s="41"/>
      <c r="DB91" s="41"/>
      <c r="DC91" s="41"/>
      <c r="DD91" s="41"/>
      <c r="DE91" s="41"/>
      <c r="DF91" s="41"/>
      <c r="DG91" s="41"/>
      <c r="DH91" s="41"/>
      <c r="DI91" s="41"/>
      <c r="DJ91" s="41"/>
      <c r="DK91" s="41"/>
      <c r="DL91" s="41"/>
      <c r="DM91" s="41"/>
      <c r="DN91" s="41"/>
      <c r="DO91" s="41"/>
      <c r="DP91" s="41"/>
    </row>
    <row r="92" spans="1:120" ht="14.25" customHeight="1" x14ac:dyDescent="0.2">
      <c r="A92" s="41"/>
      <c r="B92" s="41"/>
      <c r="C92" s="41"/>
      <c r="D92" s="41"/>
      <c r="E92" s="28">
        <v>6</v>
      </c>
      <c r="F92" s="82" t="s">
        <v>79</v>
      </c>
      <c r="G92" s="41">
        <f t="shared" si="29"/>
        <v>71119</v>
      </c>
      <c r="H92" s="41">
        <f t="shared" si="29"/>
        <v>530470</v>
      </c>
      <c r="I92" s="41">
        <f t="shared" si="29"/>
        <v>0</v>
      </c>
      <c r="J92" s="41">
        <f t="shared" si="29"/>
        <v>404976.51</v>
      </c>
      <c r="K92" s="41">
        <f t="shared" si="29"/>
        <v>0</v>
      </c>
      <c r="L92" s="41">
        <f t="shared" si="29"/>
        <v>5000</v>
      </c>
      <c r="M92" s="41">
        <f t="shared" si="29"/>
        <v>26000</v>
      </c>
      <c r="N92" s="281">
        <f t="shared" si="29"/>
        <v>871728</v>
      </c>
      <c r="O92" s="41">
        <f t="shared" si="29"/>
        <v>657009</v>
      </c>
      <c r="P92" s="41">
        <f t="shared" si="29"/>
        <v>0</v>
      </c>
      <c r="Q92" s="41">
        <f t="shared" si="30"/>
        <v>0</v>
      </c>
      <c r="R92" s="41">
        <f t="shared" si="30"/>
        <v>0</v>
      </c>
      <c r="S92" s="41">
        <f t="shared" si="30"/>
        <v>481000</v>
      </c>
      <c r="T92" s="41">
        <f t="shared" si="30"/>
        <v>0</v>
      </c>
      <c r="U92" s="41">
        <f t="shared" si="30"/>
        <v>4637.66</v>
      </c>
      <c r="V92" s="41">
        <f t="shared" si="30"/>
        <v>141.53</v>
      </c>
      <c r="W92" s="41">
        <f t="shared" si="30"/>
        <v>38000</v>
      </c>
      <c r="X92" s="41">
        <f t="shared" si="30"/>
        <v>246916.5</v>
      </c>
      <c r="Y92" s="41">
        <f t="shared" si="30"/>
        <v>313525</v>
      </c>
      <c r="Z92" s="41">
        <f t="shared" si="30"/>
        <v>0</v>
      </c>
      <c r="AA92" s="41">
        <f t="shared" si="31"/>
        <v>110379.99</v>
      </c>
      <c r="AB92" s="41">
        <f t="shared" si="31"/>
        <v>21000</v>
      </c>
      <c r="AC92" s="41">
        <f t="shared" si="31"/>
        <v>369966</v>
      </c>
      <c r="AD92" s="41">
        <f t="shared" si="31"/>
        <v>0</v>
      </c>
      <c r="AE92" s="41">
        <f t="shared" si="31"/>
        <v>22064</v>
      </c>
      <c r="AF92" s="41">
        <f t="shared" si="31"/>
        <v>2000</v>
      </c>
      <c r="AG92" s="41">
        <f t="shared" si="31"/>
        <v>15000</v>
      </c>
      <c r="AH92" s="41">
        <f t="shared" si="31"/>
        <v>23100</v>
      </c>
      <c r="AI92" s="41">
        <f t="shared" si="31"/>
        <v>476700</v>
      </c>
      <c r="AJ92" s="41">
        <f t="shared" si="31"/>
        <v>8000</v>
      </c>
      <c r="AK92" s="41">
        <f t="shared" si="32"/>
        <v>2000</v>
      </c>
      <c r="AL92" s="41">
        <f t="shared" si="32"/>
        <v>20000</v>
      </c>
      <c r="AM92" s="41">
        <f t="shared" si="32"/>
        <v>0</v>
      </c>
      <c r="AN92" s="376">
        <f t="shared" si="32"/>
        <v>14000</v>
      </c>
      <c r="AO92" s="394">
        <f t="shared" si="32"/>
        <v>59428</v>
      </c>
      <c r="AP92" s="376">
        <f t="shared" si="32"/>
        <v>0</v>
      </c>
      <c r="AQ92" s="41">
        <f t="shared" si="32"/>
        <v>19000</v>
      </c>
      <c r="AR92" s="41">
        <f t="shared" si="32"/>
        <v>212100</v>
      </c>
      <c r="AS92" s="41">
        <f t="shared" si="32"/>
        <v>0</v>
      </c>
      <c r="AT92" s="41">
        <f t="shared" si="32"/>
        <v>132000</v>
      </c>
      <c r="AU92" s="41">
        <f t="shared" si="33"/>
        <v>19200</v>
      </c>
      <c r="AV92" s="41">
        <f t="shared" si="33"/>
        <v>430000</v>
      </c>
      <c r="AW92" s="41">
        <f t="shared" si="33"/>
        <v>221429</v>
      </c>
      <c r="AX92" s="41">
        <f t="shared" si="33"/>
        <v>601044</v>
      </c>
      <c r="AY92" s="41">
        <f t="shared" si="33"/>
        <v>14400</v>
      </c>
      <c r="AZ92" s="41">
        <f t="shared" si="33"/>
        <v>50000</v>
      </c>
      <c r="BA92" s="41">
        <f t="shared" si="33"/>
        <v>0</v>
      </c>
      <c r="BB92" s="41">
        <f t="shared" si="33"/>
        <v>0</v>
      </c>
      <c r="BC92" s="41">
        <f t="shared" si="33"/>
        <v>0</v>
      </c>
      <c r="BD92" s="41">
        <f t="shared" si="33"/>
        <v>215900</v>
      </c>
      <c r="BE92" s="41">
        <f t="shared" si="34"/>
        <v>221429</v>
      </c>
      <c r="BF92" s="41">
        <f t="shared" si="34"/>
        <v>460200</v>
      </c>
      <c r="BG92" s="41">
        <f t="shared" si="34"/>
        <v>0</v>
      </c>
      <c r="BH92" s="41">
        <f t="shared" si="34"/>
        <v>0</v>
      </c>
      <c r="BI92" s="41">
        <f t="shared" si="34"/>
        <v>33600</v>
      </c>
      <c r="BJ92" s="41">
        <f t="shared" si="34"/>
        <v>102786</v>
      </c>
      <c r="BK92" s="41">
        <f t="shared" si="34"/>
        <v>0</v>
      </c>
      <c r="BL92" s="41">
        <f t="shared" si="34"/>
        <v>0</v>
      </c>
      <c r="BM92" s="41">
        <f t="shared" si="34"/>
        <v>0</v>
      </c>
      <c r="BN92" s="41">
        <f t="shared" si="34"/>
        <v>617429</v>
      </c>
      <c r="BO92" s="41">
        <f t="shared" si="35"/>
        <v>0</v>
      </c>
      <c r="BP92" s="41">
        <f t="shared" si="35"/>
        <v>0</v>
      </c>
      <c r="BQ92" s="41">
        <f t="shared" si="35"/>
        <v>0</v>
      </c>
      <c r="BR92" s="41">
        <f t="shared" si="35"/>
        <v>0</v>
      </c>
      <c r="BS92" s="41">
        <f t="shared" si="35"/>
        <v>0</v>
      </c>
      <c r="BT92" s="41">
        <f t="shared" si="35"/>
        <v>0</v>
      </c>
      <c r="BU92" s="41">
        <f t="shared" si="35"/>
        <v>0</v>
      </c>
      <c r="BV92" s="41">
        <f t="shared" si="35"/>
        <v>288498</v>
      </c>
      <c r="BW92" s="41">
        <f t="shared" si="35"/>
        <v>0</v>
      </c>
      <c r="BX92" s="41">
        <f t="shared" si="35"/>
        <v>0</v>
      </c>
      <c r="BY92" s="41">
        <f t="shared" si="36"/>
        <v>0</v>
      </c>
      <c r="BZ92" s="41">
        <f t="shared" si="36"/>
        <v>0</v>
      </c>
      <c r="CA92" s="41">
        <f t="shared" si="36"/>
        <v>0</v>
      </c>
      <c r="CB92" s="41">
        <f t="shared" si="36"/>
        <v>0</v>
      </c>
      <c r="CC92" s="41">
        <f t="shared" si="36"/>
        <v>0</v>
      </c>
      <c r="CD92" s="41">
        <f t="shared" si="36"/>
        <v>0</v>
      </c>
      <c r="CE92" s="41">
        <f t="shared" si="36"/>
        <v>0</v>
      </c>
      <c r="CF92" s="41">
        <f t="shared" si="36"/>
        <v>0</v>
      </c>
      <c r="CG92" s="41">
        <f t="shared" si="36"/>
        <v>0</v>
      </c>
      <c r="CH92" s="41">
        <f t="shared" si="36"/>
        <v>0</v>
      </c>
      <c r="CI92" s="41">
        <f t="shared" si="37"/>
        <v>0</v>
      </c>
      <c r="CJ92" s="41">
        <f t="shared" si="37"/>
        <v>0</v>
      </c>
      <c r="CK92" s="41">
        <f t="shared" si="37"/>
        <v>0</v>
      </c>
      <c r="CL92" s="41">
        <f t="shared" si="37"/>
        <v>0</v>
      </c>
      <c r="CM92" s="41">
        <f t="shared" si="37"/>
        <v>0</v>
      </c>
      <c r="CN92" s="41">
        <f t="shared" si="37"/>
        <v>0</v>
      </c>
      <c r="CO92" s="41">
        <f t="shared" si="37"/>
        <v>0</v>
      </c>
      <c r="CP92" s="41">
        <f t="shared" si="37"/>
        <v>0</v>
      </c>
      <c r="CQ92" s="41">
        <f t="shared" si="37"/>
        <v>0</v>
      </c>
      <c r="CR92" s="41">
        <f t="shared" si="37"/>
        <v>0</v>
      </c>
      <c r="CS92" s="41">
        <f t="shared" si="37"/>
        <v>0</v>
      </c>
      <c r="CT92" s="41">
        <f t="shared" si="37"/>
        <v>0</v>
      </c>
      <c r="CU92" s="41">
        <f t="shared" si="37"/>
        <v>0</v>
      </c>
      <c r="CV92" s="41">
        <f t="shared" si="37"/>
        <v>0</v>
      </c>
      <c r="CW92" s="41">
        <f>SUM(V92:CV92)</f>
        <v>5381236.0199999996</v>
      </c>
      <c r="CX92" s="41"/>
      <c r="CY92" s="41"/>
      <c r="CZ92" s="41"/>
      <c r="DA92" s="41"/>
      <c r="DB92" s="41"/>
      <c r="DC92" s="41"/>
      <c r="DD92" s="41"/>
      <c r="DE92" s="41"/>
      <c r="DF92" s="41"/>
      <c r="DG92" s="41"/>
      <c r="DH92" s="41"/>
      <c r="DI92" s="41"/>
      <c r="DJ92" s="41"/>
      <c r="DK92" s="41"/>
      <c r="DL92" s="41"/>
      <c r="DM92" s="41"/>
      <c r="DN92" s="41"/>
      <c r="DO92" s="41"/>
      <c r="DP92" s="41"/>
    </row>
    <row r="93" spans="1:120" ht="14.25" customHeight="1" x14ac:dyDescent="0.2">
      <c r="A93" s="41"/>
      <c r="B93" s="41"/>
      <c r="C93" s="41"/>
      <c r="D93" s="41"/>
      <c r="E93" s="28">
        <v>7</v>
      </c>
      <c r="F93" s="82" t="s">
        <v>50</v>
      </c>
      <c r="G93" s="41">
        <f t="shared" si="29"/>
        <v>0</v>
      </c>
      <c r="H93" s="41">
        <f t="shared" si="29"/>
        <v>4499.03</v>
      </c>
      <c r="I93" s="41">
        <f t="shared" si="29"/>
        <v>0</v>
      </c>
      <c r="J93" s="41">
        <f t="shared" si="29"/>
        <v>0</v>
      </c>
      <c r="K93" s="41">
        <f t="shared" si="29"/>
        <v>0</v>
      </c>
      <c r="L93" s="41">
        <f t="shared" si="29"/>
        <v>0</v>
      </c>
      <c r="M93" s="41">
        <f t="shared" si="29"/>
        <v>0</v>
      </c>
      <c r="N93" s="281">
        <f t="shared" si="29"/>
        <v>30000</v>
      </c>
      <c r="O93" s="41">
        <f t="shared" si="29"/>
        <v>0</v>
      </c>
      <c r="P93" s="41">
        <f t="shared" si="29"/>
        <v>0</v>
      </c>
      <c r="Q93" s="41">
        <f t="shared" si="30"/>
        <v>0</v>
      </c>
      <c r="R93" s="41">
        <f t="shared" si="30"/>
        <v>0</v>
      </c>
      <c r="S93" s="41">
        <f t="shared" si="30"/>
        <v>0</v>
      </c>
      <c r="T93" s="41">
        <f t="shared" si="30"/>
        <v>0</v>
      </c>
      <c r="U93" s="41">
        <f t="shared" si="30"/>
        <v>0</v>
      </c>
      <c r="V93" s="41">
        <f t="shared" si="30"/>
        <v>1928.2</v>
      </c>
      <c r="W93" s="41">
        <f t="shared" si="30"/>
        <v>0</v>
      </c>
      <c r="X93" s="41">
        <f t="shared" si="30"/>
        <v>0</v>
      </c>
      <c r="Y93" s="41">
        <f t="shared" si="30"/>
        <v>0</v>
      </c>
      <c r="Z93" s="41">
        <f t="shared" si="30"/>
        <v>6000</v>
      </c>
      <c r="AA93" s="41">
        <f t="shared" si="31"/>
        <v>0</v>
      </c>
      <c r="AB93" s="41">
        <f t="shared" si="31"/>
        <v>0</v>
      </c>
      <c r="AC93" s="41">
        <f t="shared" si="31"/>
        <v>0</v>
      </c>
      <c r="AD93" s="41">
        <f t="shared" si="31"/>
        <v>0</v>
      </c>
      <c r="AE93" s="41">
        <f t="shared" si="31"/>
        <v>13000</v>
      </c>
      <c r="AF93" s="41">
        <f t="shared" si="31"/>
        <v>0</v>
      </c>
      <c r="AG93" s="41">
        <f t="shared" si="31"/>
        <v>0</v>
      </c>
      <c r="AH93" s="41">
        <f t="shared" si="31"/>
        <v>0</v>
      </c>
      <c r="AI93" s="41">
        <f t="shared" si="31"/>
        <v>13000</v>
      </c>
      <c r="AJ93" s="41">
        <f t="shared" si="31"/>
        <v>0</v>
      </c>
      <c r="AK93" s="41">
        <f t="shared" si="32"/>
        <v>0</v>
      </c>
      <c r="AL93" s="41">
        <f t="shared" si="32"/>
        <v>0</v>
      </c>
      <c r="AM93" s="41">
        <f t="shared" si="32"/>
        <v>14000</v>
      </c>
      <c r="AN93" s="376">
        <f t="shared" si="32"/>
        <v>0</v>
      </c>
      <c r="AO93" s="394">
        <f t="shared" si="32"/>
        <v>0</v>
      </c>
      <c r="AP93" s="376">
        <f t="shared" si="32"/>
        <v>0</v>
      </c>
      <c r="AQ93" s="41">
        <f t="shared" si="32"/>
        <v>15000</v>
      </c>
      <c r="AR93" s="41">
        <f t="shared" si="32"/>
        <v>0</v>
      </c>
      <c r="AS93" s="41">
        <f t="shared" si="32"/>
        <v>0</v>
      </c>
      <c r="AT93" s="41">
        <f t="shared" si="32"/>
        <v>0</v>
      </c>
      <c r="AU93" s="41">
        <f t="shared" si="33"/>
        <v>0</v>
      </c>
      <c r="AV93" s="41">
        <f t="shared" si="33"/>
        <v>15000</v>
      </c>
      <c r="AW93" s="41">
        <f t="shared" si="33"/>
        <v>0</v>
      </c>
      <c r="AX93" s="41">
        <f t="shared" si="33"/>
        <v>0</v>
      </c>
      <c r="AY93" s="41">
        <f t="shared" si="33"/>
        <v>0</v>
      </c>
      <c r="AZ93" s="41">
        <f t="shared" si="33"/>
        <v>15000</v>
      </c>
      <c r="BA93" s="41">
        <f t="shared" si="33"/>
        <v>0</v>
      </c>
      <c r="BB93" s="41">
        <f t="shared" si="33"/>
        <v>0</v>
      </c>
      <c r="BC93" s="41">
        <f t="shared" si="33"/>
        <v>0</v>
      </c>
      <c r="BD93" s="41">
        <f t="shared" si="33"/>
        <v>0</v>
      </c>
      <c r="BE93" s="41">
        <f t="shared" si="34"/>
        <v>15000</v>
      </c>
      <c r="BF93" s="41">
        <f t="shared" si="34"/>
        <v>0</v>
      </c>
      <c r="BG93" s="41">
        <f t="shared" si="34"/>
        <v>0</v>
      </c>
      <c r="BH93" s="41">
        <f t="shared" si="34"/>
        <v>0</v>
      </c>
      <c r="BI93" s="41">
        <f t="shared" si="34"/>
        <v>13333</v>
      </c>
      <c r="BJ93" s="41">
        <f t="shared" si="34"/>
        <v>0</v>
      </c>
      <c r="BK93" s="41">
        <f t="shared" si="34"/>
        <v>0</v>
      </c>
      <c r="BL93" s="41">
        <f t="shared" si="34"/>
        <v>0</v>
      </c>
      <c r="BM93" s="41">
        <f t="shared" si="34"/>
        <v>13333</v>
      </c>
      <c r="BN93" s="41">
        <f t="shared" si="34"/>
        <v>0</v>
      </c>
      <c r="BO93" s="41">
        <f t="shared" si="35"/>
        <v>0</v>
      </c>
      <c r="BP93" s="41">
        <f t="shared" si="35"/>
        <v>0</v>
      </c>
      <c r="BQ93" s="41">
        <f t="shared" si="35"/>
        <v>0</v>
      </c>
      <c r="BR93" s="41">
        <f t="shared" si="35"/>
        <v>0</v>
      </c>
      <c r="BS93" s="41">
        <f t="shared" si="35"/>
        <v>0</v>
      </c>
      <c r="BT93" s="41">
        <f t="shared" si="35"/>
        <v>0</v>
      </c>
      <c r="BU93" s="41">
        <f t="shared" si="35"/>
        <v>0</v>
      </c>
      <c r="BV93" s="41">
        <f t="shared" si="35"/>
        <v>0</v>
      </c>
      <c r="BW93" s="41">
        <f t="shared" si="35"/>
        <v>0</v>
      </c>
      <c r="BX93" s="41">
        <f t="shared" si="35"/>
        <v>0</v>
      </c>
      <c r="BY93" s="41">
        <f t="shared" si="36"/>
        <v>0</v>
      </c>
      <c r="BZ93" s="41">
        <f t="shared" si="36"/>
        <v>0</v>
      </c>
      <c r="CA93" s="41">
        <f t="shared" si="36"/>
        <v>0</v>
      </c>
      <c r="CB93" s="41">
        <f t="shared" si="36"/>
        <v>0</v>
      </c>
      <c r="CC93" s="41">
        <f t="shared" si="36"/>
        <v>0</v>
      </c>
      <c r="CD93" s="41">
        <f t="shared" si="36"/>
        <v>0</v>
      </c>
      <c r="CE93" s="41">
        <f t="shared" si="36"/>
        <v>0</v>
      </c>
      <c r="CF93" s="41">
        <f t="shared" si="36"/>
        <v>0</v>
      </c>
      <c r="CG93" s="41">
        <f t="shared" si="36"/>
        <v>0</v>
      </c>
      <c r="CH93" s="41">
        <f t="shared" si="36"/>
        <v>0</v>
      </c>
      <c r="CI93" s="41">
        <f t="shared" si="37"/>
        <v>0</v>
      </c>
      <c r="CJ93" s="41">
        <f t="shared" si="37"/>
        <v>0</v>
      </c>
      <c r="CK93" s="41">
        <f t="shared" si="37"/>
        <v>0</v>
      </c>
      <c r="CL93" s="41">
        <f t="shared" si="37"/>
        <v>0</v>
      </c>
      <c r="CM93" s="41">
        <f t="shared" si="37"/>
        <v>0</v>
      </c>
      <c r="CN93" s="41">
        <f t="shared" si="37"/>
        <v>0</v>
      </c>
      <c r="CO93" s="41">
        <f t="shared" si="37"/>
        <v>0</v>
      </c>
      <c r="CP93" s="41">
        <f t="shared" si="37"/>
        <v>0</v>
      </c>
      <c r="CQ93" s="41">
        <f t="shared" si="37"/>
        <v>0</v>
      </c>
      <c r="CR93" s="41">
        <f t="shared" si="37"/>
        <v>0</v>
      </c>
      <c r="CS93" s="41">
        <f t="shared" si="37"/>
        <v>0</v>
      </c>
      <c r="CT93" s="41">
        <f t="shared" si="37"/>
        <v>0</v>
      </c>
      <c r="CU93" s="41">
        <f t="shared" si="37"/>
        <v>0</v>
      </c>
      <c r="CV93" s="41">
        <f t="shared" si="37"/>
        <v>0</v>
      </c>
      <c r="CW93" s="220">
        <v>2988225</v>
      </c>
      <c r="CX93" s="41"/>
      <c r="CY93" s="41"/>
      <c r="CZ93" s="41"/>
      <c r="DA93" s="41"/>
      <c r="DB93" s="41"/>
      <c r="DC93" s="41"/>
      <c r="DD93" s="41"/>
      <c r="DE93" s="41"/>
      <c r="DF93" s="41"/>
      <c r="DG93" s="41"/>
      <c r="DH93" s="41"/>
      <c r="DI93" s="41"/>
      <c r="DJ93" s="41"/>
      <c r="DK93" s="41"/>
      <c r="DL93" s="41"/>
      <c r="DM93" s="41"/>
      <c r="DN93" s="41"/>
      <c r="DO93" s="41"/>
      <c r="DP93" s="41"/>
    </row>
    <row r="94" spans="1:120" ht="14.25" customHeight="1" x14ac:dyDescent="0.2">
      <c r="A94" s="41"/>
      <c r="B94" s="41"/>
      <c r="C94" s="41"/>
      <c r="D94" s="41"/>
      <c r="E94" s="28">
        <v>8</v>
      </c>
      <c r="F94" s="82" t="s">
        <v>111</v>
      </c>
      <c r="G94" s="41">
        <f t="shared" si="29"/>
        <v>86119</v>
      </c>
      <c r="H94" s="41">
        <f t="shared" si="29"/>
        <v>15000</v>
      </c>
      <c r="I94" s="41">
        <f t="shared" si="29"/>
        <v>167855</v>
      </c>
      <c r="J94" s="41">
        <f t="shared" si="29"/>
        <v>7500</v>
      </c>
      <c r="K94" s="41">
        <f t="shared" si="29"/>
        <v>7500</v>
      </c>
      <c r="L94" s="41">
        <f t="shared" si="29"/>
        <v>40500</v>
      </c>
      <c r="M94" s="41">
        <f t="shared" si="29"/>
        <v>7500</v>
      </c>
      <c r="N94" s="281">
        <f t="shared" ca="1" si="29"/>
        <v>528888.97</v>
      </c>
      <c r="O94" s="41">
        <f t="shared" si="29"/>
        <v>0</v>
      </c>
      <c r="P94" s="41">
        <f t="shared" si="29"/>
        <v>0</v>
      </c>
      <c r="Q94" s="41">
        <f t="shared" si="30"/>
        <v>0</v>
      </c>
      <c r="R94" s="41">
        <f t="shared" si="30"/>
        <v>0</v>
      </c>
      <c r="S94" s="41">
        <f t="shared" si="30"/>
        <v>0</v>
      </c>
      <c r="T94" s="41">
        <f t="shared" si="30"/>
        <v>0</v>
      </c>
      <c r="U94" s="41">
        <f t="shared" si="30"/>
        <v>31000</v>
      </c>
      <c r="V94" s="41">
        <f t="shared" si="30"/>
        <v>0</v>
      </c>
      <c r="W94" s="41">
        <f t="shared" si="30"/>
        <v>0</v>
      </c>
      <c r="X94" s="41">
        <f t="shared" si="30"/>
        <v>174864.23</v>
      </c>
      <c r="Y94" s="41">
        <f t="shared" si="30"/>
        <v>0</v>
      </c>
      <c r="Z94" s="41">
        <f t="shared" si="30"/>
        <v>34331</v>
      </c>
      <c r="AA94" s="41">
        <f t="shared" si="31"/>
        <v>34615</v>
      </c>
      <c r="AB94" s="41">
        <f t="shared" si="31"/>
        <v>0</v>
      </c>
      <c r="AC94" s="41">
        <f t="shared" si="31"/>
        <v>37500</v>
      </c>
      <c r="AD94" s="41">
        <f t="shared" si="31"/>
        <v>40242</v>
      </c>
      <c r="AE94" s="41">
        <f t="shared" si="31"/>
        <v>0</v>
      </c>
      <c r="AF94" s="41">
        <f t="shared" si="31"/>
        <v>0</v>
      </c>
      <c r="AG94" s="41">
        <f t="shared" si="31"/>
        <v>45000.1</v>
      </c>
      <c r="AH94" s="41">
        <f t="shared" si="31"/>
        <v>77469</v>
      </c>
      <c r="AI94" s="41">
        <f t="shared" si="31"/>
        <v>61053</v>
      </c>
      <c r="AJ94" s="41">
        <f t="shared" si="31"/>
        <v>9000</v>
      </c>
      <c r="AK94" s="41">
        <f t="shared" si="32"/>
        <v>31615.39</v>
      </c>
      <c r="AL94" s="41">
        <f t="shared" si="32"/>
        <v>0</v>
      </c>
      <c r="AM94" s="41">
        <f t="shared" si="32"/>
        <v>0</v>
      </c>
      <c r="AN94" s="376">
        <f t="shared" si="32"/>
        <v>50307.69</v>
      </c>
      <c r="AO94" s="394">
        <f t="shared" si="32"/>
        <v>57692.310000000005</v>
      </c>
      <c r="AP94" s="376">
        <f t="shared" si="32"/>
        <v>0</v>
      </c>
      <c r="AQ94" s="41">
        <f t="shared" si="32"/>
        <v>155000</v>
      </c>
      <c r="AR94" s="41">
        <f t="shared" si="32"/>
        <v>28250</v>
      </c>
      <c r="AS94" s="41">
        <f t="shared" si="32"/>
        <v>184196.66</v>
      </c>
      <c r="AT94" s="41">
        <f t="shared" si="32"/>
        <v>31250</v>
      </c>
      <c r="AU94" s="41">
        <f t="shared" si="33"/>
        <v>72500</v>
      </c>
      <c r="AV94" s="41">
        <f t="shared" si="33"/>
        <v>0</v>
      </c>
      <c r="AW94" s="41">
        <f t="shared" si="33"/>
        <v>50000</v>
      </c>
      <c r="AX94" s="41">
        <f t="shared" si="33"/>
        <v>38000</v>
      </c>
      <c r="AY94" s="41">
        <f t="shared" si="33"/>
        <v>50000</v>
      </c>
      <c r="AZ94" s="41">
        <f t="shared" si="33"/>
        <v>50000</v>
      </c>
      <c r="BA94" s="41">
        <f t="shared" si="33"/>
        <v>0</v>
      </c>
      <c r="BB94" s="41">
        <f t="shared" si="33"/>
        <v>0</v>
      </c>
      <c r="BC94" s="41">
        <f t="shared" si="33"/>
        <v>100000</v>
      </c>
      <c r="BD94" s="41">
        <f t="shared" si="33"/>
        <v>0</v>
      </c>
      <c r="BE94" s="41">
        <f t="shared" si="34"/>
        <v>195000</v>
      </c>
      <c r="BF94" s="41">
        <f t="shared" si="34"/>
        <v>0</v>
      </c>
      <c r="BG94" s="41">
        <f t="shared" si="34"/>
        <v>0</v>
      </c>
      <c r="BH94" s="41">
        <f t="shared" si="34"/>
        <v>45000</v>
      </c>
      <c r="BI94" s="41">
        <f t="shared" si="34"/>
        <v>35000</v>
      </c>
      <c r="BJ94" s="41">
        <f t="shared" si="34"/>
        <v>0</v>
      </c>
      <c r="BK94" s="41">
        <f t="shared" si="34"/>
        <v>0</v>
      </c>
      <c r="BL94" s="41">
        <f t="shared" si="34"/>
        <v>40250</v>
      </c>
      <c r="BM94" s="41">
        <f t="shared" si="34"/>
        <v>0</v>
      </c>
      <c r="BN94" s="41">
        <f t="shared" si="34"/>
        <v>35000</v>
      </c>
      <c r="BO94" s="41">
        <f t="shared" si="35"/>
        <v>0</v>
      </c>
      <c r="BP94" s="41">
        <f t="shared" si="35"/>
        <v>35000</v>
      </c>
      <c r="BQ94" s="41">
        <f t="shared" si="35"/>
        <v>0</v>
      </c>
      <c r="BR94" s="41">
        <f t="shared" si="35"/>
        <v>35000</v>
      </c>
      <c r="BS94" s="41">
        <f t="shared" si="35"/>
        <v>0</v>
      </c>
      <c r="BT94" s="41">
        <f t="shared" si="35"/>
        <v>35000</v>
      </c>
      <c r="BU94" s="41">
        <f t="shared" si="35"/>
        <v>0</v>
      </c>
      <c r="BV94" s="41">
        <f t="shared" si="35"/>
        <v>0</v>
      </c>
      <c r="BW94" s="41">
        <f t="shared" si="35"/>
        <v>0</v>
      </c>
      <c r="BX94" s="41">
        <f t="shared" si="35"/>
        <v>0</v>
      </c>
      <c r="BY94" s="41">
        <f t="shared" si="36"/>
        <v>0</v>
      </c>
      <c r="BZ94" s="41">
        <f t="shared" si="36"/>
        <v>0</v>
      </c>
      <c r="CA94" s="41">
        <f t="shared" si="36"/>
        <v>0</v>
      </c>
      <c r="CB94" s="41">
        <f t="shared" si="36"/>
        <v>0</v>
      </c>
      <c r="CC94" s="41">
        <f t="shared" si="36"/>
        <v>0</v>
      </c>
      <c r="CD94" s="41">
        <f t="shared" si="36"/>
        <v>0</v>
      </c>
      <c r="CE94" s="41">
        <f t="shared" si="36"/>
        <v>0</v>
      </c>
      <c r="CF94" s="41">
        <f t="shared" si="36"/>
        <v>0</v>
      </c>
      <c r="CG94" s="41">
        <f t="shared" si="36"/>
        <v>0</v>
      </c>
      <c r="CH94" s="41">
        <f t="shared" si="36"/>
        <v>0</v>
      </c>
      <c r="CI94" s="41">
        <f t="shared" si="37"/>
        <v>0</v>
      </c>
      <c r="CJ94" s="41">
        <f t="shared" si="37"/>
        <v>0</v>
      </c>
      <c r="CK94" s="41">
        <f t="shared" si="37"/>
        <v>0</v>
      </c>
      <c r="CL94" s="41">
        <f t="shared" si="37"/>
        <v>0</v>
      </c>
      <c r="CM94" s="41">
        <f t="shared" si="37"/>
        <v>0</v>
      </c>
      <c r="CN94" s="41">
        <f t="shared" si="37"/>
        <v>3200</v>
      </c>
      <c r="CO94" s="41">
        <f t="shared" si="37"/>
        <v>3200</v>
      </c>
      <c r="CP94" s="41">
        <f t="shared" si="37"/>
        <v>3200</v>
      </c>
      <c r="CQ94" s="41">
        <f t="shared" si="37"/>
        <v>3200</v>
      </c>
      <c r="CR94" s="41">
        <f t="shared" si="37"/>
        <v>3200</v>
      </c>
      <c r="CS94" s="41">
        <f t="shared" si="37"/>
        <v>0</v>
      </c>
      <c r="CT94" s="41">
        <f t="shared" si="37"/>
        <v>0</v>
      </c>
      <c r="CU94" s="41">
        <f t="shared" si="37"/>
        <v>0</v>
      </c>
      <c r="CV94" s="41">
        <f t="shared" si="37"/>
        <v>0</v>
      </c>
      <c r="CW94" s="41">
        <f>CW93-CW92</f>
        <v>-2393011.0199999996</v>
      </c>
      <c r="CX94" s="41"/>
      <c r="CY94" s="41"/>
      <c r="CZ94" s="41"/>
      <c r="DA94" s="41"/>
      <c r="DB94" s="41"/>
      <c r="DC94" s="41"/>
      <c r="DD94" s="41"/>
      <c r="DE94" s="41"/>
      <c r="DF94" s="41"/>
      <c r="DG94" s="41"/>
      <c r="DH94" s="41"/>
      <c r="DI94" s="41"/>
      <c r="DJ94" s="41"/>
      <c r="DK94" s="41"/>
      <c r="DL94" s="41"/>
      <c r="DM94" s="41"/>
      <c r="DN94" s="41"/>
      <c r="DO94" s="41"/>
      <c r="DP94" s="41"/>
    </row>
    <row r="95" spans="1:120" ht="14.25" customHeight="1" x14ac:dyDescent="0.2">
      <c r="A95" s="41"/>
      <c r="B95" s="41"/>
      <c r="C95" s="41"/>
      <c r="D95" s="41"/>
      <c r="E95" s="41"/>
      <c r="F95" s="41"/>
      <c r="G95" s="41"/>
      <c r="H95" s="41"/>
      <c r="I95" s="41"/>
      <c r="J95" s="41"/>
      <c r="K95" s="41"/>
      <c r="L95" s="41"/>
      <c r="M95" s="41"/>
      <c r="N95" s="295">
        <f>SUMIF($O$8:$AV$8,"&gt;="&amp;'CURRENT FORECAST START DATE'!$C$4,'Weekly Spend'!O95:AV95)</f>
        <v>0</v>
      </c>
      <c r="O95" s="41"/>
      <c r="P95" s="41"/>
      <c r="Q95" s="41"/>
      <c r="R95" s="41"/>
      <c r="S95" s="41"/>
      <c r="T95" s="41"/>
      <c r="U95" s="41"/>
      <c r="V95" s="41"/>
      <c r="W95" s="41"/>
      <c r="X95" s="41"/>
      <c r="Y95" s="41"/>
      <c r="Z95" s="41"/>
      <c r="AA95" s="41"/>
      <c r="AB95" s="41"/>
      <c r="AC95" s="41"/>
      <c r="AD95" s="41"/>
      <c r="AE95" s="41"/>
      <c r="AF95" s="41"/>
      <c r="AG95" s="41"/>
      <c r="AH95" s="41"/>
      <c r="AI95" s="41"/>
      <c r="AJ95" s="41"/>
      <c r="AK95" s="41"/>
      <c r="AL95" s="41"/>
      <c r="AM95" s="41"/>
      <c r="AN95" s="376"/>
      <c r="AO95" s="394"/>
      <c r="AP95" s="376"/>
      <c r="AQ95" s="41"/>
      <c r="AR95" s="41"/>
      <c r="AS95" s="41"/>
      <c r="AT95" s="41"/>
      <c r="AU95" s="41"/>
      <c r="AV95" s="41"/>
      <c r="AW95" s="41"/>
      <c r="AX95" s="41"/>
      <c r="AY95" s="41"/>
      <c r="AZ95" s="41"/>
      <c r="BA95" s="41"/>
      <c r="BB95" s="41"/>
      <c r="BC95" s="41"/>
      <c r="BD95" s="41"/>
      <c r="BE95" s="41"/>
      <c r="BF95" s="41"/>
      <c r="BG95" s="41"/>
      <c r="BH95" s="41"/>
      <c r="BI95" s="41"/>
      <c r="BJ95" s="41"/>
      <c r="BK95" s="41"/>
      <c r="BL95" s="41"/>
      <c r="BM95" s="41"/>
      <c r="BN95" s="41"/>
      <c r="BO95" s="41"/>
      <c r="BP95" s="41"/>
      <c r="BQ95" s="41"/>
      <c r="BR95" s="41"/>
      <c r="BS95" s="41"/>
      <c r="BT95" s="41"/>
      <c r="BU95" s="41"/>
      <c r="BV95" s="41"/>
      <c r="BW95" s="41"/>
      <c r="BX95" s="41"/>
      <c r="BY95" s="41"/>
      <c r="BZ95" s="41"/>
      <c r="CA95" s="41"/>
      <c r="CB95" s="41"/>
      <c r="CC95" s="41"/>
      <c r="CD95" s="41"/>
      <c r="CE95" s="41"/>
      <c r="CF95" s="41"/>
      <c r="CG95" s="41"/>
      <c r="CH95" s="41"/>
      <c r="CI95" s="41"/>
      <c r="CJ95" s="41"/>
      <c r="CK95" s="41"/>
      <c r="CL95" s="41"/>
      <c r="CM95" s="41"/>
      <c r="CN95" s="41"/>
      <c r="CO95" s="41"/>
      <c r="CP95" s="41"/>
      <c r="CQ95" s="41"/>
      <c r="CR95" s="41"/>
      <c r="CS95" s="41"/>
      <c r="CT95" s="41"/>
      <c r="CU95" s="41"/>
      <c r="CV95" s="41"/>
      <c r="CW95" s="41"/>
      <c r="CX95" s="41"/>
      <c r="CY95" s="41"/>
      <c r="CZ95" s="41"/>
      <c r="DA95" s="41"/>
      <c r="DB95" s="41"/>
      <c r="DC95" s="41"/>
      <c r="DD95" s="41"/>
      <c r="DE95" s="41"/>
      <c r="DF95" s="41"/>
      <c r="DG95" s="41"/>
      <c r="DH95" s="41"/>
      <c r="DI95" s="41"/>
      <c r="DJ95" s="41"/>
      <c r="DK95" s="41"/>
      <c r="DL95" s="41"/>
      <c r="DM95" s="41"/>
      <c r="DN95" s="41"/>
      <c r="DO95" s="41"/>
      <c r="DP95" s="41"/>
    </row>
    <row r="96" spans="1:120" ht="14.25" customHeight="1" x14ac:dyDescent="0.2">
      <c r="A96" s="41"/>
      <c r="B96" s="41"/>
      <c r="C96" s="41"/>
      <c r="D96" s="41"/>
      <c r="E96" s="41"/>
      <c r="F96" s="82" t="s">
        <v>199</v>
      </c>
      <c r="G96" s="82">
        <f t="shared" ref="G96:M96" si="38">SUM(G87:G94)</f>
        <v>158975.5</v>
      </c>
      <c r="H96" s="82">
        <f t="shared" si="38"/>
        <v>551706.53</v>
      </c>
      <c r="I96" s="82">
        <f t="shared" si="38"/>
        <v>201564.57</v>
      </c>
      <c r="J96" s="82">
        <f t="shared" si="38"/>
        <v>413064.01</v>
      </c>
      <c r="K96" s="82">
        <f t="shared" si="38"/>
        <v>8087.5</v>
      </c>
      <c r="L96" s="82">
        <f t="shared" si="38"/>
        <v>46087.5</v>
      </c>
      <c r="M96" s="82">
        <f t="shared" si="38"/>
        <v>152541.45000000001</v>
      </c>
      <c r="N96" s="281">
        <f ca="1">SUM(N87:N94)</f>
        <v>2066144.7092307692</v>
      </c>
      <c r="O96" s="82">
        <f t="shared" ref="O96:CV96" si="39">SUM(O87:O94)</f>
        <v>689050.06</v>
      </c>
      <c r="P96" s="82">
        <f t="shared" si="39"/>
        <v>4838.5</v>
      </c>
      <c r="Q96" s="82">
        <f t="shared" si="39"/>
        <v>8338.5</v>
      </c>
      <c r="R96" s="82">
        <f t="shared" si="39"/>
        <v>64582.95</v>
      </c>
      <c r="S96" s="82">
        <f t="shared" si="39"/>
        <v>534930</v>
      </c>
      <c r="T96" s="82">
        <f t="shared" si="39"/>
        <v>430</v>
      </c>
      <c r="U96" s="82">
        <f t="shared" si="39"/>
        <v>114389.79000000001</v>
      </c>
      <c r="V96" s="82">
        <f t="shared" si="39"/>
        <v>48954.729999999996</v>
      </c>
      <c r="W96" s="82">
        <f t="shared" si="39"/>
        <v>114514.61</v>
      </c>
      <c r="X96" s="82">
        <f t="shared" si="39"/>
        <v>426244.73</v>
      </c>
      <c r="Y96" s="82">
        <f t="shared" si="39"/>
        <v>435264.76</v>
      </c>
      <c r="Z96" s="82">
        <f t="shared" si="39"/>
        <v>320036</v>
      </c>
      <c r="AA96" s="82">
        <f t="shared" si="39"/>
        <v>220503.74</v>
      </c>
      <c r="AB96" s="82">
        <f t="shared" si="39"/>
        <v>33581.25</v>
      </c>
      <c r="AC96" s="82">
        <f t="shared" si="39"/>
        <v>497855.25</v>
      </c>
      <c r="AD96" s="82">
        <f t="shared" si="39"/>
        <v>76706.010000000009</v>
      </c>
      <c r="AE96" s="82">
        <f t="shared" si="39"/>
        <v>113629.66</v>
      </c>
      <c r="AF96" s="82">
        <f t="shared" si="39"/>
        <v>130565.30230769231</v>
      </c>
      <c r="AG96" s="82">
        <f t="shared" si="39"/>
        <v>76573.100000000006</v>
      </c>
      <c r="AH96" s="82">
        <f t="shared" si="39"/>
        <v>205702.19230769231</v>
      </c>
      <c r="AI96" s="82">
        <f t="shared" si="39"/>
        <v>602175.19999999995</v>
      </c>
      <c r="AJ96" s="82">
        <f t="shared" si="39"/>
        <v>187831.26230769232</v>
      </c>
      <c r="AK96" s="82">
        <f t="shared" si="39"/>
        <v>52023.39</v>
      </c>
      <c r="AL96" s="82">
        <f t="shared" si="39"/>
        <v>110186.69230769231</v>
      </c>
      <c r="AM96" s="82">
        <f t="shared" si="39"/>
        <v>33214</v>
      </c>
      <c r="AN96" s="377">
        <f t="shared" si="39"/>
        <v>223296.79230769232</v>
      </c>
      <c r="AO96" s="395">
        <f t="shared" si="39"/>
        <v>122626.11000000002</v>
      </c>
      <c r="AP96" s="377">
        <f t="shared" si="39"/>
        <v>97011.36230769231</v>
      </c>
      <c r="AQ96" s="82">
        <f t="shared" si="39"/>
        <v>257597.5</v>
      </c>
      <c r="AR96" s="82">
        <f t="shared" si="39"/>
        <v>406079.69230769231</v>
      </c>
      <c r="AS96" s="82">
        <f t="shared" si="39"/>
        <v>188696.66</v>
      </c>
      <c r="AT96" s="82">
        <f t="shared" si="39"/>
        <v>271316.69230769231</v>
      </c>
      <c r="AU96" s="82">
        <f t="shared" si="39"/>
        <v>156900</v>
      </c>
      <c r="AV96" s="82">
        <f t="shared" si="39"/>
        <v>573316.69230769225</v>
      </c>
      <c r="AW96" s="82">
        <f t="shared" si="39"/>
        <v>318835.25</v>
      </c>
      <c r="AX96" s="82">
        <f t="shared" si="39"/>
        <v>737266.94230769225</v>
      </c>
      <c r="AY96" s="82">
        <f t="shared" si="39"/>
        <v>91806.25</v>
      </c>
      <c r="AZ96" s="82">
        <f t="shared" si="39"/>
        <v>265722.94230769231</v>
      </c>
      <c r="BA96" s="82">
        <f t="shared" si="39"/>
        <v>52425</v>
      </c>
      <c r="BB96" s="82">
        <f t="shared" si="39"/>
        <v>110841.69230769231</v>
      </c>
      <c r="BC96" s="82">
        <f t="shared" si="39"/>
        <v>107125</v>
      </c>
      <c r="BD96" s="82">
        <f t="shared" si="39"/>
        <v>387838.69230769231</v>
      </c>
      <c r="BE96" s="82">
        <f t="shared" si="39"/>
        <v>481369.8</v>
      </c>
      <c r="BF96" s="82">
        <f t="shared" si="39"/>
        <v>561954.4923076923</v>
      </c>
      <c r="BG96" s="82">
        <f t="shared" si="39"/>
        <v>9940.7999999999993</v>
      </c>
      <c r="BH96" s="82">
        <f t="shared" si="39"/>
        <v>164454.4923076923</v>
      </c>
      <c r="BI96" s="82">
        <f t="shared" si="39"/>
        <v>126873.8</v>
      </c>
      <c r="BJ96" s="82">
        <f t="shared" si="39"/>
        <v>565997.296474359</v>
      </c>
      <c r="BK96" s="82">
        <f t="shared" si="39"/>
        <v>4625</v>
      </c>
      <c r="BL96" s="82">
        <f t="shared" si="39"/>
        <v>145688.69230769231</v>
      </c>
      <c r="BM96" s="82">
        <f t="shared" si="39"/>
        <v>35958</v>
      </c>
      <c r="BN96" s="82">
        <f t="shared" si="39"/>
        <v>790148.94230769225</v>
      </c>
      <c r="BO96" s="82">
        <f t="shared" si="39"/>
        <v>4906.25</v>
      </c>
      <c r="BP96" s="82">
        <f t="shared" si="39"/>
        <v>143219.94230769231</v>
      </c>
      <c r="BQ96" s="82">
        <f t="shared" si="39"/>
        <v>29406.25</v>
      </c>
      <c r="BR96" s="82">
        <f t="shared" si="39"/>
        <v>215313.69230769231</v>
      </c>
      <c r="BS96" s="82">
        <f t="shared" si="39"/>
        <v>6500</v>
      </c>
      <c r="BT96" s="82">
        <f t="shared" si="39"/>
        <v>133216.69230769231</v>
      </c>
      <c r="BU96" s="82">
        <f t="shared" si="39"/>
        <v>6500</v>
      </c>
      <c r="BV96" s="82">
        <f t="shared" si="39"/>
        <v>417714.69230769231</v>
      </c>
      <c r="BW96" s="82">
        <f t="shared" si="39"/>
        <v>9745</v>
      </c>
      <c r="BX96" s="82">
        <f t="shared" si="39"/>
        <v>101461.69230769231</v>
      </c>
      <c r="BY96" s="82">
        <f t="shared" si="39"/>
        <v>9745</v>
      </c>
      <c r="BZ96" s="82">
        <f t="shared" si="39"/>
        <v>141558.69230769231</v>
      </c>
      <c r="CA96" s="82">
        <f t="shared" si="39"/>
        <v>11500</v>
      </c>
      <c r="CB96" s="82">
        <f t="shared" si="39"/>
        <v>97813.692307692312</v>
      </c>
      <c r="CC96" s="82">
        <f t="shared" si="39"/>
        <v>6500</v>
      </c>
      <c r="CD96" s="82">
        <f t="shared" si="39"/>
        <v>106813.69230769231</v>
      </c>
      <c r="CE96" s="82">
        <f t="shared" si="39"/>
        <v>28500</v>
      </c>
      <c r="CF96" s="82">
        <f t="shared" si="39"/>
        <v>98719.942307692312</v>
      </c>
      <c r="CG96" s="82">
        <f t="shared" si="39"/>
        <v>7406.25</v>
      </c>
      <c r="CH96" s="82">
        <f t="shared" si="39"/>
        <v>107719.94230769231</v>
      </c>
      <c r="CI96" s="82">
        <f t="shared" si="39"/>
        <v>29406.25</v>
      </c>
      <c r="CJ96" s="82">
        <f t="shared" si="39"/>
        <v>107938.69230769231</v>
      </c>
      <c r="CK96" s="82">
        <f t="shared" si="39"/>
        <v>7125</v>
      </c>
      <c r="CL96" s="82">
        <f t="shared" si="39"/>
        <v>107438.69230769231</v>
      </c>
      <c r="CM96" s="82">
        <f t="shared" si="39"/>
        <v>29125</v>
      </c>
      <c r="CN96" s="82">
        <f t="shared" si="39"/>
        <v>101013.69230769231</v>
      </c>
      <c r="CO96" s="82">
        <f t="shared" si="39"/>
        <v>9700</v>
      </c>
      <c r="CP96" s="82">
        <f t="shared" si="39"/>
        <v>101013.69230769231</v>
      </c>
      <c r="CQ96" s="82">
        <f t="shared" si="39"/>
        <v>9700</v>
      </c>
      <c r="CR96" s="82">
        <f t="shared" si="39"/>
        <v>141513.69230769231</v>
      </c>
      <c r="CS96" s="82">
        <f t="shared" si="39"/>
        <v>7406.25</v>
      </c>
      <c r="CT96" s="82">
        <f t="shared" si="39"/>
        <v>98719.942307692312</v>
      </c>
      <c r="CU96" s="82">
        <f t="shared" si="39"/>
        <v>7406.25</v>
      </c>
      <c r="CV96" s="82">
        <f t="shared" si="39"/>
        <v>129719.94230769231</v>
      </c>
      <c r="CW96" s="41"/>
      <c r="CX96" s="41"/>
      <c r="CY96" s="41"/>
      <c r="CZ96" s="41"/>
      <c r="DA96" s="41"/>
      <c r="DB96" s="41"/>
      <c r="DC96" s="41"/>
      <c r="DD96" s="41"/>
      <c r="DE96" s="41"/>
      <c r="DF96" s="41"/>
      <c r="DG96" s="41"/>
      <c r="DH96" s="41"/>
      <c r="DI96" s="41"/>
      <c r="DJ96" s="41"/>
      <c r="DK96" s="41"/>
      <c r="DL96" s="41"/>
      <c r="DM96" s="41"/>
      <c r="DN96" s="41"/>
      <c r="DO96" s="41"/>
      <c r="DP96" s="41"/>
    </row>
    <row r="97" spans="6:100" ht="14.25" customHeight="1" x14ac:dyDescent="0.2">
      <c r="F97" s="83" t="s">
        <v>200</v>
      </c>
      <c r="G97" s="82">
        <f t="shared" ref="G97:M97" si="40">+G96-G92</f>
        <v>87856.5</v>
      </c>
      <c r="H97" s="82">
        <f t="shared" si="40"/>
        <v>21236.530000000028</v>
      </c>
      <c r="I97" s="82">
        <f t="shared" si="40"/>
        <v>201564.57</v>
      </c>
      <c r="J97" s="82">
        <f t="shared" si="40"/>
        <v>8087.5</v>
      </c>
      <c r="K97" s="82">
        <f t="shared" si="40"/>
        <v>8087.5</v>
      </c>
      <c r="L97" s="82">
        <f t="shared" si="40"/>
        <v>41087.5</v>
      </c>
      <c r="M97" s="82">
        <f t="shared" si="40"/>
        <v>126541.45000000001</v>
      </c>
      <c r="N97" s="281">
        <f ca="1">+N96-N92</f>
        <v>1194416.7092307692</v>
      </c>
      <c r="O97" s="82">
        <f t="shared" ref="O97:CV97" si="41">+O96-O92</f>
        <v>32041.060000000056</v>
      </c>
      <c r="P97" s="82">
        <f t="shared" si="41"/>
        <v>4838.5</v>
      </c>
      <c r="Q97" s="82">
        <f t="shared" si="41"/>
        <v>8338.5</v>
      </c>
      <c r="R97" s="82">
        <f t="shared" si="41"/>
        <v>64582.95</v>
      </c>
      <c r="S97" s="82">
        <f t="shared" si="41"/>
        <v>53930</v>
      </c>
      <c r="T97" s="82">
        <f t="shared" si="41"/>
        <v>430</v>
      </c>
      <c r="U97" s="82">
        <f t="shared" si="41"/>
        <v>109752.13</v>
      </c>
      <c r="V97" s="82">
        <f t="shared" si="41"/>
        <v>48813.2</v>
      </c>
      <c r="W97" s="82">
        <f t="shared" si="41"/>
        <v>76514.61</v>
      </c>
      <c r="X97" s="82">
        <f t="shared" si="41"/>
        <v>179328.22999999998</v>
      </c>
      <c r="Y97" s="82">
        <f t="shared" si="41"/>
        <v>121739.76000000001</v>
      </c>
      <c r="Z97" s="82">
        <f t="shared" si="41"/>
        <v>320036</v>
      </c>
      <c r="AA97" s="82">
        <f t="shared" si="41"/>
        <v>110123.74999999999</v>
      </c>
      <c r="AB97" s="82">
        <f t="shared" si="41"/>
        <v>12581.25</v>
      </c>
      <c r="AC97" s="82">
        <f t="shared" si="41"/>
        <v>127889.25</v>
      </c>
      <c r="AD97" s="82">
        <f t="shared" si="41"/>
        <v>76706.010000000009</v>
      </c>
      <c r="AE97" s="82">
        <f t="shared" si="41"/>
        <v>91565.66</v>
      </c>
      <c r="AF97" s="82">
        <f t="shared" si="41"/>
        <v>128565.30230769231</v>
      </c>
      <c r="AG97" s="82">
        <f t="shared" si="41"/>
        <v>61573.100000000006</v>
      </c>
      <c r="AH97" s="82">
        <f t="shared" si="41"/>
        <v>182602.19230769231</v>
      </c>
      <c r="AI97" s="82">
        <f t="shared" si="41"/>
        <v>125475.19999999995</v>
      </c>
      <c r="AJ97" s="82">
        <f t="shared" si="41"/>
        <v>179831.26230769232</v>
      </c>
      <c r="AK97" s="82">
        <f t="shared" si="41"/>
        <v>50023.39</v>
      </c>
      <c r="AL97" s="82">
        <f t="shared" si="41"/>
        <v>90186.692307692312</v>
      </c>
      <c r="AM97" s="82">
        <f t="shared" si="41"/>
        <v>33214</v>
      </c>
      <c r="AN97" s="377">
        <f t="shared" si="41"/>
        <v>209296.79230769232</v>
      </c>
      <c r="AO97" s="395">
        <f t="shared" si="41"/>
        <v>63198.110000000015</v>
      </c>
      <c r="AP97" s="377">
        <f t="shared" si="41"/>
        <v>97011.36230769231</v>
      </c>
      <c r="AQ97" s="82">
        <f t="shared" si="41"/>
        <v>238597.5</v>
      </c>
      <c r="AR97" s="82">
        <f t="shared" si="41"/>
        <v>193979.69230769231</v>
      </c>
      <c r="AS97" s="82">
        <f t="shared" si="41"/>
        <v>188696.66</v>
      </c>
      <c r="AT97" s="82">
        <f t="shared" si="41"/>
        <v>139316.69230769231</v>
      </c>
      <c r="AU97" s="82">
        <f t="shared" si="41"/>
        <v>137700</v>
      </c>
      <c r="AV97" s="82">
        <f t="shared" si="41"/>
        <v>143316.69230769225</v>
      </c>
      <c r="AW97" s="82">
        <f t="shared" si="41"/>
        <v>97406.25</v>
      </c>
      <c r="AX97" s="82">
        <f t="shared" si="41"/>
        <v>136222.94230769225</v>
      </c>
      <c r="AY97" s="82">
        <f t="shared" si="41"/>
        <v>77406.25</v>
      </c>
      <c r="AZ97" s="82">
        <f t="shared" si="41"/>
        <v>215722.94230769231</v>
      </c>
      <c r="BA97" s="82">
        <f t="shared" si="41"/>
        <v>52425</v>
      </c>
      <c r="BB97" s="82">
        <f t="shared" si="41"/>
        <v>110841.69230769231</v>
      </c>
      <c r="BC97" s="82">
        <f t="shared" si="41"/>
        <v>107125</v>
      </c>
      <c r="BD97" s="82">
        <f t="shared" si="41"/>
        <v>171938.69230769231</v>
      </c>
      <c r="BE97" s="82">
        <f t="shared" si="41"/>
        <v>259940.8</v>
      </c>
      <c r="BF97" s="82">
        <f t="shared" si="41"/>
        <v>101754.4923076923</v>
      </c>
      <c r="BG97" s="82">
        <f t="shared" si="41"/>
        <v>9940.7999999999993</v>
      </c>
      <c r="BH97" s="82">
        <f t="shared" si="41"/>
        <v>164454.4923076923</v>
      </c>
      <c r="BI97" s="82">
        <f t="shared" si="41"/>
        <v>93273.8</v>
      </c>
      <c r="BJ97" s="82">
        <f t="shared" si="41"/>
        <v>463211.296474359</v>
      </c>
      <c r="BK97" s="82">
        <f t="shared" si="41"/>
        <v>4625</v>
      </c>
      <c r="BL97" s="82">
        <f t="shared" si="41"/>
        <v>145688.69230769231</v>
      </c>
      <c r="BM97" s="82">
        <f t="shared" si="41"/>
        <v>35958</v>
      </c>
      <c r="BN97" s="82">
        <f t="shared" si="41"/>
        <v>172719.94230769225</v>
      </c>
      <c r="BO97" s="82">
        <f t="shared" si="41"/>
        <v>4906.25</v>
      </c>
      <c r="BP97" s="82">
        <f t="shared" si="41"/>
        <v>143219.94230769231</v>
      </c>
      <c r="BQ97" s="82">
        <f t="shared" si="41"/>
        <v>29406.25</v>
      </c>
      <c r="BR97" s="82">
        <f t="shared" si="41"/>
        <v>215313.69230769231</v>
      </c>
      <c r="BS97" s="82">
        <f t="shared" si="41"/>
        <v>6500</v>
      </c>
      <c r="BT97" s="82">
        <f t="shared" si="41"/>
        <v>133216.69230769231</v>
      </c>
      <c r="BU97" s="82">
        <f t="shared" si="41"/>
        <v>6500</v>
      </c>
      <c r="BV97" s="82">
        <f t="shared" si="41"/>
        <v>129216.69230769231</v>
      </c>
      <c r="BW97" s="82">
        <f t="shared" si="41"/>
        <v>9745</v>
      </c>
      <c r="BX97" s="82">
        <f t="shared" si="41"/>
        <v>101461.69230769231</v>
      </c>
      <c r="BY97" s="82">
        <f t="shared" si="41"/>
        <v>9745</v>
      </c>
      <c r="BZ97" s="82">
        <f t="shared" si="41"/>
        <v>141558.69230769231</v>
      </c>
      <c r="CA97" s="82">
        <f t="shared" si="41"/>
        <v>11500</v>
      </c>
      <c r="CB97" s="82">
        <f t="shared" si="41"/>
        <v>97813.692307692312</v>
      </c>
      <c r="CC97" s="82">
        <f t="shared" si="41"/>
        <v>6500</v>
      </c>
      <c r="CD97" s="82">
        <f t="shared" si="41"/>
        <v>106813.69230769231</v>
      </c>
      <c r="CE97" s="82">
        <f t="shared" si="41"/>
        <v>28500</v>
      </c>
      <c r="CF97" s="82">
        <f t="shared" si="41"/>
        <v>98719.942307692312</v>
      </c>
      <c r="CG97" s="82">
        <f t="shared" si="41"/>
        <v>7406.25</v>
      </c>
      <c r="CH97" s="82">
        <f t="shared" si="41"/>
        <v>107719.94230769231</v>
      </c>
      <c r="CI97" s="82">
        <f t="shared" si="41"/>
        <v>29406.25</v>
      </c>
      <c r="CJ97" s="82">
        <f t="shared" si="41"/>
        <v>107938.69230769231</v>
      </c>
      <c r="CK97" s="82">
        <f t="shared" si="41"/>
        <v>7125</v>
      </c>
      <c r="CL97" s="82">
        <f t="shared" si="41"/>
        <v>107438.69230769231</v>
      </c>
      <c r="CM97" s="82">
        <f t="shared" si="41"/>
        <v>29125</v>
      </c>
      <c r="CN97" s="82">
        <f t="shared" si="41"/>
        <v>101013.69230769231</v>
      </c>
      <c r="CO97" s="82">
        <f t="shared" si="41"/>
        <v>9700</v>
      </c>
      <c r="CP97" s="82">
        <f t="shared" si="41"/>
        <v>101013.69230769231</v>
      </c>
      <c r="CQ97" s="82">
        <f t="shared" si="41"/>
        <v>9700</v>
      </c>
      <c r="CR97" s="82">
        <f t="shared" si="41"/>
        <v>141513.69230769231</v>
      </c>
      <c r="CS97" s="82">
        <f t="shared" si="41"/>
        <v>7406.25</v>
      </c>
      <c r="CT97" s="82">
        <f t="shared" si="41"/>
        <v>98719.942307692312</v>
      </c>
      <c r="CU97" s="82">
        <f t="shared" si="41"/>
        <v>7406.25</v>
      </c>
      <c r="CV97" s="82">
        <f t="shared" si="41"/>
        <v>129719.94230769231</v>
      </c>
    </row>
    <row r="98" spans="6:100" ht="14.25" customHeight="1" x14ac:dyDescent="0.2">
      <c r="F98" s="82" t="s">
        <v>201</v>
      </c>
      <c r="N98" s="296">
        <v>2456295</v>
      </c>
      <c r="S98" s="150"/>
    </row>
    <row r="99" spans="6:100" ht="14.25" customHeight="1" x14ac:dyDescent="0.2">
      <c r="F99" s="82" t="s">
        <v>202</v>
      </c>
      <c r="N99" s="297">
        <v>2988225</v>
      </c>
      <c r="S99" s="150"/>
    </row>
    <row r="100" spans="6:100" ht="14.25" customHeight="1" x14ac:dyDescent="0.2">
      <c r="G100" s="150">
        <f t="shared" ref="G100:BR100" si="42">+G81-G96</f>
        <v>0</v>
      </c>
      <c r="H100" s="150">
        <f t="shared" si="42"/>
        <v>0</v>
      </c>
      <c r="I100" s="150">
        <f t="shared" si="42"/>
        <v>0</v>
      </c>
      <c r="J100" s="150">
        <f t="shared" si="42"/>
        <v>0</v>
      </c>
      <c r="K100" s="150">
        <f t="shared" si="42"/>
        <v>0</v>
      </c>
      <c r="L100" s="150">
        <f t="shared" si="42"/>
        <v>0</v>
      </c>
      <c r="M100" s="150">
        <f t="shared" si="42"/>
        <v>0</v>
      </c>
      <c r="N100" s="298">
        <f t="shared" ca="1" si="42"/>
        <v>0</v>
      </c>
      <c r="O100" s="150">
        <f t="shared" si="42"/>
        <v>0</v>
      </c>
      <c r="P100" s="150">
        <f t="shared" si="42"/>
        <v>0</v>
      </c>
      <c r="Q100" s="150">
        <f t="shared" si="42"/>
        <v>0</v>
      </c>
      <c r="R100" s="150">
        <f t="shared" si="42"/>
        <v>0</v>
      </c>
      <c r="S100" s="150">
        <f t="shared" si="42"/>
        <v>0</v>
      </c>
      <c r="T100" s="150">
        <f t="shared" si="42"/>
        <v>0</v>
      </c>
      <c r="U100" s="150">
        <f t="shared" si="42"/>
        <v>0</v>
      </c>
      <c r="V100" s="150">
        <f t="shared" si="42"/>
        <v>0</v>
      </c>
      <c r="W100" s="150">
        <f t="shared" si="42"/>
        <v>0</v>
      </c>
      <c r="X100" s="150">
        <f t="shared" si="42"/>
        <v>0</v>
      </c>
      <c r="Y100" s="150">
        <f t="shared" si="42"/>
        <v>0</v>
      </c>
      <c r="Z100" s="150">
        <f t="shared" si="42"/>
        <v>0</v>
      </c>
      <c r="AA100" s="150">
        <f t="shared" si="42"/>
        <v>0</v>
      </c>
      <c r="AB100" s="150">
        <f t="shared" si="42"/>
        <v>0</v>
      </c>
      <c r="AC100" s="150">
        <f t="shared" si="42"/>
        <v>0</v>
      </c>
      <c r="AD100" s="150">
        <f t="shared" si="42"/>
        <v>0</v>
      </c>
      <c r="AE100" s="150">
        <f t="shared" si="42"/>
        <v>7384</v>
      </c>
      <c r="AF100" s="150">
        <f t="shared" si="42"/>
        <v>7384.6199999999808</v>
      </c>
      <c r="AG100" s="150">
        <f t="shared" si="42"/>
        <v>0</v>
      </c>
      <c r="AH100" s="150">
        <f t="shared" si="42"/>
        <v>0</v>
      </c>
      <c r="AI100" s="150">
        <f t="shared" si="42"/>
        <v>0</v>
      </c>
      <c r="AJ100" s="150">
        <f t="shared" si="42"/>
        <v>0</v>
      </c>
      <c r="AK100" s="150">
        <f t="shared" si="42"/>
        <v>11077.309999999998</v>
      </c>
      <c r="AL100" s="150">
        <f t="shared" si="42"/>
        <v>0</v>
      </c>
      <c r="AM100" s="150">
        <f t="shared" si="42"/>
        <v>0</v>
      </c>
      <c r="AN100" s="378">
        <f t="shared" si="42"/>
        <v>7384.6199999999953</v>
      </c>
      <c r="AO100" s="396">
        <f t="shared" si="42"/>
        <v>0</v>
      </c>
      <c r="AP100" s="378">
        <f t="shared" si="42"/>
        <v>0</v>
      </c>
      <c r="AQ100" s="150">
        <f t="shared" si="42"/>
        <v>0</v>
      </c>
      <c r="AR100" s="150">
        <f t="shared" si="42"/>
        <v>0</v>
      </c>
      <c r="AS100" s="150">
        <f t="shared" si="42"/>
        <v>0</v>
      </c>
      <c r="AT100" s="150">
        <f t="shared" si="42"/>
        <v>0</v>
      </c>
      <c r="AU100" s="150">
        <f t="shared" si="42"/>
        <v>0</v>
      </c>
      <c r="AV100" s="150">
        <f t="shared" si="42"/>
        <v>0</v>
      </c>
      <c r="AW100" s="150">
        <f t="shared" si="42"/>
        <v>0</v>
      </c>
      <c r="AX100" s="150">
        <f t="shared" si="42"/>
        <v>0</v>
      </c>
      <c r="AY100" s="150">
        <f t="shared" si="42"/>
        <v>0</v>
      </c>
      <c r="AZ100" s="150">
        <f t="shared" si="42"/>
        <v>0</v>
      </c>
      <c r="BA100" s="150">
        <f t="shared" si="42"/>
        <v>0</v>
      </c>
      <c r="BB100" s="150">
        <f t="shared" si="42"/>
        <v>0</v>
      </c>
      <c r="BC100" s="150">
        <f t="shared" si="42"/>
        <v>0</v>
      </c>
      <c r="BD100" s="150">
        <f t="shared" si="42"/>
        <v>0</v>
      </c>
      <c r="BE100" s="150">
        <f t="shared" si="42"/>
        <v>0</v>
      </c>
      <c r="BF100" s="150">
        <f t="shared" si="42"/>
        <v>0</v>
      </c>
      <c r="BG100" s="150">
        <f t="shared" si="42"/>
        <v>40000</v>
      </c>
      <c r="BH100" s="150">
        <f t="shared" si="42"/>
        <v>0</v>
      </c>
      <c r="BI100" s="150">
        <f t="shared" si="42"/>
        <v>0</v>
      </c>
      <c r="BJ100" s="150">
        <f t="shared" si="42"/>
        <v>0</v>
      </c>
      <c r="BK100" s="150">
        <f t="shared" si="42"/>
        <v>35000</v>
      </c>
      <c r="BL100" s="150">
        <f t="shared" si="42"/>
        <v>0</v>
      </c>
      <c r="BM100" s="150">
        <f t="shared" si="42"/>
        <v>0</v>
      </c>
      <c r="BN100" s="150">
        <f t="shared" si="42"/>
        <v>0</v>
      </c>
      <c r="BO100" s="150">
        <f t="shared" si="42"/>
        <v>0</v>
      </c>
      <c r="BP100" s="150">
        <f t="shared" si="42"/>
        <v>0</v>
      </c>
      <c r="BQ100" s="150">
        <f t="shared" si="42"/>
        <v>0</v>
      </c>
      <c r="BR100" s="150">
        <f t="shared" si="42"/>
        <v>0</v>
      </c>
      <c r="BS100" s="150">
        <f t="shared" ref="BS100:CL100" si="43">+BS81-BS96</f>
        <v>0</v>
      </c>
      <c r="BT100" s="150">
        <f t="shared" si="43"/>
        <v>0</v>
      </c>
      <c r="BU100" s="150">
        <f t="shared" si="43"/>
        <v>0</v>
      </c>
      <c r="BV100" s="150">
        <f t="shared" si="43"/>
        <v>35000</v>
      </c>
      <c r="BW100" s="150">
        <f t="shared" si="43"/>
        <v>0</v>
      </c>
      <c r="BX100" s="150">
        <f t="shared" si="43"/>
        <v>35000</v>
      </c>
      <c r="BY100" s="150">
        <f t="shared" si="43"/>
        <v>35000</v>
      </c>
      <c r="BZ100" s="150">
        <f t="shared" si="43"/>
        <v>0</v>
      </c>
      <c r="CA100" s="150">
        <f t="shared" si="43"/>
        <v>35000</v>
      </c>
      <c r="CB100" s="150">
        <f t="shared" si="43"/>
        <v>0</v>
      </c>
      <c r="CC100" s="150">
        <f t="shared" si="43"/>
        <v>35000</v>
      </c>
      <c r="CD100" s="150">
        <f t="shared" si="43"/>
        <v>0</v>
      </c>
      <c r="CE100" s="150">
        <f t="shared" si="43"/>
        <v>35000</v>
      </c>
      <c r="CF100" s="150">
        <f t="shared" si="43"/>
        <v>0</v>
      </c>
      <c r="CG100" s="150">
        <f t="shared" si="43"/>
        <v>35000</v>
      </c>
      <c r="CH100" s="150">
        <f t="shared" si="43"/>
        <v>0</v>
      </c>
      <c r="CI100" s="150">
        <f t="shared" si="43"/>
        <v>-29406.25</v>
      </c>
      <c r="CJ100" s="150">
        <f t="shared" si="43"/>
        <v>-107938.69230769231</v>
      </c>
      <c r="CK100" s="150">
        <f t="shared" si="43"/>
        <v>-7125</v>
      </c>
      <c r="CL100" s="150">
        <f t="shared" si="43"/>
        <v>-107438.69230769231</v>
      </c>
    </row>
    <row r="101" spans="6:100" ht="14.25" customHeight="1" x14ac:dyDescent="0.2"/>
    <row r="102" spans="6:100" ht="14.25" customHeight="1" x14ac:dyDescent="0.2">
      <c r="K102" s="357" t="s">
        <v>203</v>
      </c>
      <c r="N102" s="299"/>
    </row>
    <row r="103" spans="6:100" ht="14.25" customHeight="1" x14ac:dyDescent="0.2">
      <c r="N103" s="299"/>
    </row>
    <row r="104" spans="6:100" ht="14.25" customHeight="1" x14ac:dyDescent="0.2">
      <c r="N104" s="299"/>
    </row>
    <row r="105" spans="6:100" ht="14.25" customHeight="1" x14ac:dyDescent="0.2">
      <c r="N105" s="299"/>
    </row>
    <row r="106" spans="6:100" ht="14.25" customHeight="1" x14ac:dyDescent="0.2">
      <c r="N106" s="299"/>
    </row>
    <row r="107" spans="6:100" ht="14.25" customHeight="1" x14ac:dyDescent="0.2">
      <c r="N107" s="299"/>
    </row>
    <row r="108" spans="6:100" ht="14.25" customHeight="1" x14ac:dyDescent="0.2">
      <c r="L108" s="351" t="s">
        <v>204</v>
      </c>
      <c r="N108" s="299"/>
    </row>
    <row r="109" spans="6:100" ht="14.25" customHeight="1" x14ac:dyDescent="0.2">
      <c r="G109" s="350" t="s">
        <v>205</v>
      </c>
      <c r="H109" s="350" t="s">
        <v>206</v>
      </c>
      <c r="I109" s="146" t="s">
        <v>199</v>
      </c>
      <c r="K109" s="82" t="s">
        <v>207</v>
      </c>
      <c r="L109" s="150">
        <f>SUM([1]IS!$T$5:$Y$5)</f>
        <v>1926650.08</v>
      </c>
      <c r="N109" s="299"/>
    </row>
    <row r="110" spans="6:100" ht="14.25" customHeight="1" x14ac:dyDescent="0.2">
      <c r="F110" s="82" t="s">
        <v>197</v>
      </c>
      <c r="G110" s="150">
        <f>SUM(G87:AM87)</f>
        <v>0</v>
      </c>
      <c r="H110" s="150">
        <f>SUM(AN87:BI87)</f>
        <v>0</v>
      </c>
      <c r="I110" s="150">
        <f>H110+G110</f>
        <v>0</v>
      </c>
      <c r="K110" s="82" t="s">
        <v>208</v>
      </c>
      <c r="L110" s="150">
        <f>'[1]P&amp;L Budget Compare'!$X$4</f>
        <v>701606.66666666663</v>
      </c>
      <c r="N110" s="299"/>
    </row>
    <row r="111" spans="6:100" ht="14.25" customHeight="1" x14ac:dyDescent="0.2">
      <c r="F111" s="82" t="s">
        <v>126</v>
      </c>
      <c r="G111" s="150">
        <f>SUM(G88:AN88)</f>
        <v>1213552.5399999998</v>
      </c>
      <c r="H111" s="150">
        <f>SUM(AO88:BT88)</f>
        <v>759507.29999999993</v>
      </c>
      <c r="I111" s="150">
        <f t="shared" ref="I111:I117" si="44">H111+G111</f>
        <v>1973059.8399999999</v>
      </c>
      <c r="K111" s="82" t="s">
        <v>209</v>
      </c>
      <c r="L111" s="150">
        <f>SUM('CURRENT WEEK CASHFLOW FORECAST'!M10:Z10)</f>
        <v>1900000</v>
      </c>
      <c r="N111" s="299"/>
      <c r="O111">
        <v>5000000</v>
      </c>
    </row>
    <row r="112" spans="6:100" ht="14.25" customHeight="1" x14ac:dyDescent="0.2">
      <c r="F112" s="82" t="s">
        <v>64</v>
      </c>
      <c r="G112" s="150">
        <f t="shared" ref="G112:G117" si="45">SUM(G89:AN89)</f>
        <v>1210737.3807692304</v>
      </c>
      <c r="H112" s="150">
        <f t="shared" ref="H112:H117" si="46">SUM(AO89:BT89)</f>
        <v>1868273.3510897432</v>
      </c>
      <c r="I112" s="150">
        <f t="shared" si="44"/>
        <v>3079010.7318589734</v>
      </c>
      <c r="K112" s="82" t="s">
        <v>210</v>
      </c>
      <c r="L112" s="144">
        <f>SUM('CURRENT WEEK CASHFLOW FORECAST'!AA10:AN10)</f>
        <v>3414785</v>
      </c>
    </row>
    <row r="113" spans="6:15" ht="14.25" customHeight="1" x14ac:dyDescent="0.2">
      <c r="F113" s="82" t="s">
        <v>158</v>
      </c>
      <c r="G113" s="150">
        <f t="shared" si="45"/>
        <v>194279.52</v>
      </c>
      <c r="H113" s="150">
        <f t="shared" si="46"/>
        <v>168450</v>
      </c>
      <c r="I113" s="150">
        <f t="shared" si="44"/>
        <v>362729.52</v>
      </c>
      <c r="K113" s="82" t="s">
        <v>211</v>
      </c>
      <c r="L113" s="150">
        <v>3800000</v>
      </c>
      <c r="N113" s="356"/>
      <c r="O113" s="150">
        <f>O111-L113</f>
        <v>1200000</v>
      </c>
    </row>
    <row r="114" spans="6:15" ht="14.25" customHeight="1" x14ac:dyDescent="0.2">
      <c r="F114" s="82" t="s">
        <v>198</v>
      </c>
      <c r="G114" s="150">
        <f t="shared" si="45"/>
        <v>0</v>
      </c>
      <c r="H114" s="150">
        <f t="shared" si="46"/>
        <v>0</v>
      </c>
      <c r="I114" s="150">
        <f t="shared" si="44"/>
        <v>0</v>
      </c>
      <c r="K114" s="82" t="s">
        <v>212</v>
      </c>
      <c r="L114" s="150">
        <v>5000000</v>
      </c>
      <c r="M114" s="150"/>
      <c r="N114" s="356"/>
    </row>
    <row r="115" spans="6:15" ht="14.25" customHeight="1" x14ac:dyDescent="0.2">
      <c r="F115" s="82" t="s">
        <v>79</v>
      </c>
      <c r="G115" s="150">
        <f t="shared" si="45"/>
        <v>4734733.1899999995</v>
      </c>
      <c r="H115" s="150">
        <f t="shared" si="46"/>
        <v>3409945</v>
      </c>
      <c r="I115" s="150">
        <f t="shared" si="44"/>
        <v>8144678.1899999995</v>
      </c>
      <c r="L115" s="150">
        <f>SUM(L109:L114)</f>
        <v>16743041.746666666</v>
      </c>
      <c r="N115" s="299"/>
    </row>
    <row r="116" spans="6:15" ht="14.25" customHeight="1" x14ac:dyDescent="0.2">
      <c r="F116" s="82" t="s">
        <v>50</v>
      </c>
      <c r="G116" s="150">
        <f t="shared" si="45"/>
        <v>82427.23</v>
      </c>
      <c r="H116" s="150">
        <f t="shared" si="46"/>
        <v>86666</v>
      </c>
      <c r="I116" s="150">
        <f t="shared" si="44"/>
        <v>169093.22999999998</v>
      </c>
      <c r="N116" s="299"/>
    </row>
    <row r="117" spans="6:15" ht="14.25" customHeight="1" x14ac:dyDescent="0.2">
      <c r="F117" s="82" t="s">
        <v>111</v>
      </c>
      <c r="G117" s="150">
        <f t="shared" ca="1" si="45"/>
        <v>1487860.38</v>
      </c>
      <c r="H117" s="150">
        <f t="shared" si="46"/>
        <v>1272138.97</v>
      </c>
      <c r="I117" s="150">
        <f t="shared" ca="1" si="44"/>
        <v>2759999.3499999996</v>
      </c>
      <c r="N117" s="299"/>
    </row>
    <row r="118" spans="6:15" ht="14.25" customHeight="1" x14ac:dyDescent="0.2">
      <c r="F118" s="82" t="s">
        <v>213</v>
      </c>
      <c r="G118" s="150">
        <f t="shared" ref="G118:H118" ca="1" si="47">SUM(G110:G117)</f>
        <v>8923590.2407692298</v>
      </c>
      <c r="H118" s="150">
        <f t="shared" si="47"/>
        <v>7564980.6210897425</v>
      </c>
      <c r="I118" s="150">
        <f ca="1">SUM(I110:I117)</f>
        <v>16488570.861858973</v>
      </c>
      <c r="K118" s="357"/>
      <c r="L118" s="219">
        <f ca="1">L115-I118</f>
        <v>254470.88480769284</v>
      </c>
      <c r="N118" s="299"/>
    </row>
    <row r="119" spans="6:15" ht="14.25" customHeight="1" x14ac:dyDescent="0.2">
      <c r="N119" s="299"/>
    </row>
    <row r="120" spans="6:15" ht="14.25" customHeight="1" x14ac:dyDescent="0.2">
      <c r="N120" s="299"/>
    </row>
    <row r="121" spans="6:15" ht="14.25" customHeight="1" x14ac:dyDescent="0.2">
      <c r="G121" s="358" t="s">
        <v>214</v>
      </c>
      <c r="H121" s="152"/>
      <c r="N121" s="299"/>
    </row>
    <row r="122" spans="6:15" ht="14.25" customHeight="1" x14ac:dyDescent="0.2">
      <c r="G122" s="357" t="s">
        <v>215</v>
      </c>
      <c r="N122" s="299"/>
    </row>
    <row r="123" spans="6:15" ht="14.25" customHeight="1" x14ac:dyDescent="0.2">
      <c r="G123" s="357" t="s">
        <v>216</v>
      </c>
      <c r="N123" s="299"/>
    </row>
    <row r="124" spans="6:15" ht="14.25" customHeight="1" x14ac:dyDescent="0.2">
      <c r="N124" s="299"/>
    </row>
    <row r="125" spans="6:15" ht="14.25" customHeight="1" x14ac:dyDescent="0.2">
      <c r="N125" s="299"/>
    </row>
    <row r="126" spans="6:15" ht="14.25" customHeight="1" x14ac:dyDescent="0.2">
      <c r="N126" s="299"/>
    </row>
    <row r="127" spans="6:15" ht="14.25" customHeight="1" x14ac:dyDescent="0.2">
      <c r="N127" s="299"/>
    </row>
    <row r="128" spans="6:15" ht="14.25" customHeight="1" x14ac:dyDescent="0.2">
      <c r="N128" s="299"/>
    </row>
    <row r="129" spans="14:14" ht="14.25" customHeight="1" x14ac:dyDescent="0.2">
      <c r="N129" s="299"/>
    </row>
    <row r="130" spans="14:14" ht="14.25" customHeight="1" x14ac:dyDescent="0.2">
      <c r="N130" s="299"/>
    </row>
    <row r="131" spans="14:14" ht="14.25" customHeight="1" x14ac:dyDescent="0.2">
      <c r="N131" s="299"/>
    </row>
    <row r="132" spans="14:14" ht="14.25" customHeight="1" x14ac:dyDescent="0.2">
      <c r="N132" s="299"/>
    </row>
    <row r="133" spans="14:14" ht="14.25" customHeight="1" x14ac:dyDescent="0.2">
      <c r="N133" s="299"/>
    </row>
    <row r="134" spans="14:14" ht="14.25" customHeight="1" x14ac:dyDescent="0.2">
      <c r="N134" s="299"/>
    </row>
    <row r="135" spans="14:14" ht="14.25" customHeight="1" x14ac:dyDescent="0.2">
      <c r="N135" s="299"/>
    </row>
    <row r="136" spans="14:14" ht="14.25" customHeight="1" x14ac:dyDescent="0.2">
      <c r="N136" s="299"/>
    </row>
    <row r="137" spans="14:14" ht="14.25" customHeight="1" x14ac:dyDescent="0.2">
      <c r="N137" s="299"/>
    </row>
    <row r="138" spans="14:14" ht="14.25" customHeight="1" x14ac:dyDescent="0.2">
      <c r="N138" s="299"/>
    </row>
    <row r="139" spans="14:14" ht="14.25" customHeight="1" x14ac:dyDescent="0.2">
      <c r="N139" s="299"/>
    </row>
    <row r="140" spans="14:14" ht="14.25" customHeight="1" x14ac:dyDescent="0.2">
      <c r="N140" s="299"/>
    </row>
    <row r="141" spans="14:14" ht="14.25" customHeight="1" x14ac:dyDescent="0.2">
      <c r="N141" s="299"/>
    </row>
    <row r="142" spans="14:14" ht="14.25" customHeight="1" x14ac:dyDescent="0.2">
      <c r="N142" s="299"/>
    </row>
    <row r="143" spans="14:14" ht="14.25" customHeight="1" x14ac:dyDescent="0.2">
      <c r="N143" s="299"/>
    </row>
    <row r="144" spans="14:14" ht="14.25" customHeight="1" x14ac:dyDescent="0.2">
      <c r="N144" s="299"/>
    </row>
    <row r="145" spans="14:14" ht="14.25" customHeight="1" x14ac:dyDescent="0.2">
      <c r="N145" s="299"/>
    </row>
    <row r="146" spans="14:14" ht="14.25" customHeight="1" x14ac:dyDescent="0.2">
      <c r="N146" s="299"/>
    </row>
    <row r="147" spans="14:14" ht="14.25" customHeight="1" x14ac:dyDescent="0.2">
      <c r="N147" s="299"/>
    </row>
    <row r="148" spans="14:14" ht="14.25" customHeight="1" x14ac:dyDescent="0.2">
      <c r="N148" s="299"/>
    </row>
    <row r="149" spans="14:14" ht="14.25" customHeight="1" x14ac:dyDescent="0.2">
      <c r="N149" s="299"/>
    </row>
    <row r="150" spans="14:14" ht="14.25" customHeight="1" x14ac:dyDescent="0.2">
      <c r="N150" s="299"/>
    </row>
    <row r="151" spans="14:14" ht="14.25" customHeight="1" x14ac:dyDescent="0.2">
      <c r="N151" s="299"/>
    </row>
    <row r="152" spans="14:14" ht="14.25" customHeight="1" x14ac:dyDescent="0.2">
      <c r="N152" s="299"/>
    </row>
    <row r="153" spans="14:14" ht="14.25" customHeight="1" x14ac:dyDescent="0.2">
      <c r="N153" s="299"/>
    </row>
    <row r="154" spans="14:14" ht="14.25" customHeight="1" x14ac:dyDescent="0.2">
      <c r="N154" s="299"/>
    </row>
    <row r="155" spans="14:14" ht="14.25" customHeight="1" x14ac:dyDescent="0.2">
      <c r="N155" s="299"/>
    </row>
    <row r="156" spans="14:14" ht="14.25" customHeight="1" x14ac:dyDescent="0.2">
      <c r="N156" s="299"/>
    </row>
    <row r="157" spans="14:14" ht="14.25" customHeight="1" x14ac:dyDescent="0.2">
      <c r="N157" s="299"/>
    </row>
    <row r="158" spans="14:14" ht="14.25" customHeight="1" x14ac:dyDescent="0.2">
      <c r="N158" s="299"/>
    </row>
    <row r="159" spans="14:14" ht="14.25" customHeight="1" x14ac:dyDescent="0.2">
      <c r="N159" s="299"/>
    </row>
    <row r="160" spans="14:14" ht="14.25" customHeight="1" x14ac:dyDescent="0.2">
      <c r="N160" s="299"/>
    </row>
    <row r="161" spans="14:14" ht="14.25" customHeight="1" x14ac:dyDescent="0.2">
      <c r="N161" s="299"/>
    </row>
    <row r="162" spans="14:14" ht="14.25" customHeight="1" x14ac:dyDescent="0.2">
      <c r="N162" s="299"/>
    </row>
    <row r="163" spans="14:14" ht="14.25" customHeight="1" x14ac:dyDescent="0.2">
      <c r="N163" s="299"/>
    </row>
    <row r="164" spans="14:14" ht="14.25" customHeight="1" x14ac:dyDescent="0.2">
      <c r="N164" s="299"/>
    </row>
    <row r="165" spans="14:14" ht="14.25" customHeight="1" x14ac:dyDescent="0.2">
      <c r="N165" s="299"/>
    </row>
    <row r="166" spans="14:14" ht="14.25" customHeight="1" x14ac:dyDescent="0.2">
      <c r="N166" s="299"/>
    </row>
    <row r="167" spans="14:14" ht="14.25" customHeight="1" x14ac:dyDescent="0.2">
      <c r="N167" s="299"/>
    </row>
    <row r="168" spans="14:14" ht="14.25" customHeight="1" x14ac:dyDescent="0.2">
      <c r="N168" s="299"/>
    </row>
    <row r="169" spans="14:14" ht="14.25" customHeight="1" x14ac:dyDescent="0.2">
      <c r="N169" s="299"/>
    </row>
    <row r="170" spans="14:14" ht="14.25" customHeight="1" x14ac:dyDescent="0.2">
      <c r="N170" s="299"/>
    </row>
    <row r="171" spans="14:14" ht="14.25" customHeight="1" x14ac:dyDescent="0.2">
      <c r="N171" s="299"/>
    </row>
    <row r="172" spans="14:14" ht="14.25" customHeight="1" x14ac:dyDescent="0.2">
      <c r="N172" s="299"/>
    </row>
    <row r="173" spans="14:14" ht="14.25" customHeight="1" x14ac:dyDescent="0.2">
      <c r="N173" s="299"/>
    </row>
    <row r="174" spans="14:14" ht="14.25" customHeight="1" x14ac:dyDescent="0.2">
      <c r="N174" s="299"/>
    </row>
    <row r="175" spans="14:14" ht="14.25" customHeight="1" x14ac:dyDescent="0.2">
      <c r="N175" s="299"/>
    </row>
    <row r="176" spans="14:14" ht="14.25" customHeight="1" x14ac:dyDescent="0.2">
      <c r="N176" s="299"/>
    </row>
    <row r="177" spans="14:14" ht="14.25" customHeight="1" x14ac:dyDescent="0.2">
      <c r="N177" s="299"/>
    </row>
    <row r="178" spans="14:14" ht="14.25" customHeight="1" x14ac:dyDescent="0.2">
      <c r="N178" s="299"/>
    </row>
    <row r="179" spans="14:14" ht="14.25" customHeight="1" x14ac:dyDescent="0.2">
      <c r="N179" s="299"/>
    </row>
    <row r="180" spans="14:14" ht="14.25" customHeight="1" x14ac:dyDescent="0.2">
      <c r="N180" s="299"/>
    </row>
    <row r="181" spans="14:14" ht="14.25" customHeight="1" x14ac:dyDescent="0.2">
      <c r="N181" s="299"/>
    </row>
    <row r="182" spans="14:14" ht="14.25" customHeight="1" x14ac:dyDescent="0.2">
      <c r="N182" s="299"/>
    </row>
    <row r="183" spans="14:14" ht="14.25" customHeight="1" x14ac:dyDescent="0.2">
      <c r="N183" s="299"/>
    </row>
    <row r="184" spans="14:14" ht="14.25" customHeight="1" x14ac:dyDescent="0.2">
      <c r="N184" s="299"/>
    </row>
    <row r="185" spans="14:14" ht="14.25" customHeight="1" x14ac:dyDescent="0.2">
      <c r="N185" s="299"/>
    </row>
    <row r="186" spans="14:14" ht="14.25" customHeight="1" x14ac:dyDescent="0.2">
      <c r="N186" s="299"/>
    </row>
    <row r="187" spans="14:14" ht="14.25" customHeight="1" x14ac:dyDescent="0.2">
      <c r="N187" s="299"/>
    </row>
    <row r="188" spans="14:14" ht="14.25" customHeight="1" x14ac:dyDescent="0.2">
      <c r="N188" s="299"/>
    </row>
    <row r="189" spans="14:14" ht="14.25" customHeight="1" x14ac:dyDescent="0.2">
      <c r="N189" s="299"/>
    </row>
    <row r="190" spans="14:14" ht="14.25" customHeight="1" x14ac:dyDescent="0.2">
      <c r="N190" s="299"/>
    </row>
    <row r="191" spans="14:14" ht="14.25" customHeight="1" x14ac:dyDescent="0.2">
      <c r="N191" s="299"/>
    </row>
    <row r="192" spans="14:14" ht="14.25" customHeight="1" x14ac:dyDescent="0.2">
      <c r="N192" s="299"/>
    </row>
    <row r="193" spans="14:14" ht="14.25" customHeight="1" x14ac:dyDescent="0.2">
      <c r="N193" s="299"/>
    </row>
    <row r="194" spans="14:14" ht="14.25" customHeight="1" x14ac:dyDescent="0.2">
      <c r="N194" s="299"/>
    </row>
    <row r="195" spans="14:14" ht="14.25" customHeight="1" x14ac:dyDescent="0.2">
      <c r="N195" s="299"/>
    </row>
    <row r="196" spans="14:14" ht="14.25" customHeight="1" x14ac:dyDescent="0.2">
      <c r="N196" s="299"/>
    </row>
    <row r="197" spans="14:14" ht="14.25" customHeight="1" x14ac:dyDescent="0.2">
      <c r="N197" s="299"/>
    </row>
    <row r="198" spans="14:14" ht="14.25" customHeight="1" x14ac:dyDescent="0.2">
      <c r="N198" s="299"/>
    </row>
    <row r="199" spans="14:14" ht="14.25" customHeight="1" x14ac:dyDescent="0.2">
      <c r="N199" s="299"/>
    </row>
    <row r="200" spans="14:14" ht="14.25" customHeight="1" x14ac:dyDescent="0.2">
      <c r="N200" s="299"/>
    </row>
    <row r="201" spans="14:14" ht="14.25" customHeight="1" x14ac:dyDescent="0.2">
      <c r="N201" s="299"/>
    </row>
    <row r="202" spans="14:14" ht="14.25" customHeight="1" x14ac:dyDescent="0.2">
      <c r="N202" s="299"/>
    </row>
    <row r="203" spans="14:14" ht="14.25" customHeight="1" x14ac:dyDescent="0.2">
      <c r="N203" s="299"/>
    </row>
    <row r="204" spans="14:14" ht="14.25" customHeight="1" x14ac:dyDescent="0.2">
      <c r="N204" s="299"/>
    </row>
    <row r="205" spans="14:14" ht="14.25" customHeight="1" x14ac:dyDescent="0.2">
      <c r="N205" s="299"/>
    </row>
    <row r="206" spans="14:14" ht="14.25" customHeight="1" x14ac:dyDescent="0.2">
      <c r="N206" s="299"/>
    </row>
    <row r="207" spans="14:14" ht="14.25" customHeight="1" x14ac:dyDescent="0.2">
      <c r="N207" s="299"/>
    </row>
    <row r="208" spans="14:14" ht="14.25" customHeight="1" x14ac:dyDescent="0.2">
      <c r="N208" s="299"/>
    </row>
    <row r="209" spans="14:14" ht="14.25" customHeight="1" x14ac:dyDescent="0.2">
      <c r="N209" s="299"/>
    </row>
    <row r="210" spans="14:14" ht="14.25" customHeight="1" x14ac:dyDescent="0.2">
      <c r="N210" s="299"/>
    </row>
    <row r="211" spans="14:14" ht="14.25" customHeight="1" x14ac:dyDescent="0.2">
      <c r="N211" s="299"/>
    </row>
    <row r="212" spans="14:14" ht="14.25" customHeight="1" x14ac:dyDescent="0.2">
      <c r="N212" s="299"/>
    </row>
    <row r="213" spans="14:14" ht="14.25" customHeight="1" x14ac:dyDescent="0.2">
      <c r="N213" s="299"/>
    </row>
    <row r="214" spans="14:14" ht="14.25" customHeight="1" x14ac:dyDescent="0.2">
      <c r="N214" s="299"/>
    </row>
    <row r="215" spans="14:14" ht="14.25" customHeight="1" x14ac:dyDescent="0.2">
      <c r="N215" s="299"/>
    </row>
    <row r="216" spans="14:14" ht="14.25" customHeight="1" x14ac:dyDescent="0.2">
      <c r="N216" s="299"/>
    </row>
    <row r="217" spans="14:14" ht="14.25" customHeight="1" x14ac:dyDescent="0.2">
      <c r="N217" s="299"/>
    </row>
    <row r="218" spans="14:14" ht="14.25" customHeight="1" x14ac:dyDescent="0.2">
      <c r="N218" s="299"/>
    </row>
    <row r="219" spans="14:14" ht="14.25" customHeight="1" x14ac:dyDescent="0.2">
      <c r="N219" s="299"/>
    </row>
    <row r="220" spans="14:14" ht="14.25" customHeight="1" x14ac:dyDescent="0.2">
      <c r="N220" s="299"/>
    </row>
    <row r="221" spans="14:14" ht="14.25" customHeight="1" x14ac:dyDescent="0.2">
      <c r="N221" s="299"/>
    </row>
    <row r="222" spans="14:14" ht="14.25" customHeight="1" x14ac:dyDescent="0.2">
      <c r="N222" s="299"/>
    </row>
    <row r="223" spans="14:14" ht="14.25" customHeight="1" x14ac:dyDescent="0.2">
      <c r="N223" s="299"/>
    </row>
    <row r="224" spans="14:14" ht="14.25" customHeight="1" x14ac:dyDescent="0.2">
      <c r="N224" s="299"/>
    </row>
    <row r="225" spans="14:14" ht="14.25" customHeight="1" x14ac:dyDescent="0.2">
      <c r="N225" s="299"/>
    </row>
    <row r="226" spans="14:14" ht="14.25" customHeight="1" x14ac:dyDescent="0.2">
      <c r="N226" s="299"/>
    </row>
    <row r="227" spans="14:14" ht="14.25" customHeight="1" x14ac:dyDescent="0.2">
      <c r="N227" s="299"/>
    </row>
    <row r="228" spans="14:14" ht="14.25" customHeight="1" x14ac:dyDescent="0.2">
      <c r="N228" s="299"/>
    </row>
    <row r="229" spans="14:14" ht="14.25" customHeight="1" x14ac:dyDescent="0.2">
      <c r="N229" s="299"/>
    </row>
    <row r="230" spans="14:14" ht="14.25" customHeight="1" x14ac:dyDescent="0.2">
      <c r="N230" s="299"/>
    </row>
    <row r="231" spans="14:14" ht="14.25" customHeight="1" x14ac:dyDescent="0.2">
      <c r="N231" s="299"/>
    </row>
    <row r="232" spans="14:14" ht="14.25" customHeight="1" x14ac:dyDescent="0.2">
      <c r="N232" s="299"/>
    </row>
    <row r="233" spans="14:14" ht="14.25" customHeight="1" x14ac:dyDescent="0.2">
      <c r="N233" s="299"/>
    </row>
    <row r="234" spans="14:14" ht="14.25" customHeight="1" x14ac:dyDescent="0.2">
      <c r="N234" s="299"/>
    </row>
    <row r="235" spans="14:14" ht="14.25" customHeight="1" x14ac:dyDescent="0.2">
      <c r="N235" s="299"/>
    </row>
    <row r="236" spans="14:14" ht="14.25" customHeight="1" x14ac:dyDescent="0.2">
      <c r="N236" s="299"/>
    </row>
    <row r="237" spans="14:14" ht="14.25" customHeight="1" x14ac:dyDescent="0.2">
      <c r="N237" s="299"/>
    </row>
    <row r="238" spans="14:14" ht="14.25" customHeight="1" x14ac:dyDescent="0.2">
      <c r="N238" s="299"/>
    </row>
    <row r="239" spans="14:14" ht="14.25" customHeight="1" x14ac:dyDescent="0.2">
      <c r="N239" s="299"/>
    </row>
    <row r="240" spans="14:14" ht="14.25" customHeight="1" x14ac:dyDescent="0.2">
      <c r="N240" s="299"/>
    </row>
    <row r="241" spans="14:14" ht="14.25" customHeight="1" x14ac:dyDescent="0.2">
      <c r="N241" s="299"/>
    </row>
    <row r="242" spans="14:14" ht="14.25" customHeight="1" x14ac:dyDescent="0.2">
      <c r="N242" s="299"/>
    </row>
    <row r="243" spans="14:14" ht="14.25" customHeight="1" x14ac:dyDescent="0.2">
      <c r="N243" s="299"/>
    </row>
    <row r="244" spans="14:14" ht="14.25" customHeight="1" x14ac:dyDescent="0.2">
      <c r="N244" s="299"/>
    </row>
    <row r="245" spans="14:14" ht="14.25" customHeight="1" x14ac:dyDescent="0.2">
      <c r="N245" s="299"/>
    </row>
    <row r="246" spans="14:14" ht="14.25" customHeight="1" x14ac:dyDescent="0.2">
      <c r="N246" s="299"/>
    </row>
    <row r="247" spans="14:14" ht="14.25" customHeight="1" x14ac:dyDescent="0.2">
      <c r="N247" s="299"/>
    </row>
    <row r="248" spans="14:14" ht="14.25" customHeight="1" x14ac:dyDescent="0.2">
      <c r="N248" s="299"/>
    </row>
    <row r="249" spans="14:14" ht="14.25" customHeight="1" x14ac:dyDescent="0.2">
      <c r="N249" s="299"/>
    </row>
    <row r="250" spans="14:14" ht="14.25" customHeight="1" x14ac:dyDescent="0.2">
      <c r="N250" s="299"/>
    </row>
    <row r="251" spans="14:14" ht="14.25" customHeight="1" x14ac:dyDescent="0.2">
      <c r="N251" s="299"/>
    </row>
    <row r="252" spans="14:14" ht="14.25" customHeight="1" x14ac:dyDescent="0.2">
      <c r="N252" s="299"/>
    </row>
    <row r="253" spans="14:14" ht="14.25" customHeight="1" x14ac:dyDescent="0.2">
      <c r="N253" s="299"/>
    </row>
    <row r="254" spans="14:14" ht="14.25" customHeight="1" x14ac:dyDescent="0.2">
      <c r="N254" s="299"/>
    </row>
    <row r="255" spans="14:14" ht="14.25" customHeight="1" x14ac:dyDescent="0.2">
      <c r="N255" s="299"/>
    </row>
    <row r="256" spans="14:14" ht="14.25" customHeight="1" x14ac:dyDescent="0.2">
      <c r="N256" s="299"/>
    </row>
    <row r="257" spans="14:14" ht="14.25" customHeight="1" x14ac:dyDescent="0.2">
      <c r="N257" s="299"/>
    </row>
    <row r="258" spans="14:14" ht="14.25" customHeight="1" x14ac:dyDescent="0.2">
      <c r="N258" s="299"/>
    </row>
    <row r="259" spans="14:14" ht="14.25" customHeight="1" x14ac:dyDescent="0.2">
      <c r="N259" s="299"/>
    </row>
    <row r="260" spans="14:14" ht="14.25" customHeight="1" x14ac:dyDescent="0.2">
      <c r="N260" s="299"/>
    </row>
    <row r="261" spans="14:14" ht="14.25" customHeight="1" x14ac:dyDescent="0.2">
      <c r="N261" s="299"/>
    </row>
    <row r="262" spans="14:14" ht="14.25" customHeight="1" x14ac:dyDescent="0.2">
      <c r="N262" s="299"/>
    </row>
    <row r="263" spans="14:14" ht="14.25" customHeight="1" x14ac:dyDescent="0.2">
      <c r="N263" s="299"/>
    </row>
    <row r="264" spans="14:14" ht="14.25" customHeight="1" x14ac:dyDescent="0.2">
      <c r="N264" s="299"/>
    </row>
    <row r="265" spans="14:14" ht="14.25" customHeight="1" x14ac:dyDescent="0.2">
      <c r="N265" s="299"/>
    </row>
    <row r="266" spans="14:14" ht="14.25" customHeight="1" x14ac:dyDescent="0.2">
      <c r="N266" s="299"/>
    </row>
    <row r="267" spans="14:14" ht="14.25" customHeight="1" x14ac:dyDescent="0.2">
      <c r="N267" s="299"/>
    </row>
    <row r="268" spans="14:14" ht="14.25" customHeight="1" x14ac:dyDescent="0.2">
      <c r="N268" s="299"/>
    </row>
    <row r="269" spans="14:14" ht="14.25" customHeight="1" x14ac:dyDescent="0.2">
      <c r="N269" s="299"/>
    </row>
    <row r="270" spans="14:14" ht="14.25" customHeight="1" x14ac:dyDescent="0.2">
      <c r="N270" s="299"/>
    </row>
    <row r="271" spans="14:14" ht="14.25" customHeight="1" x14ac:dyDescent="0.2">
      <c r="N271" s="299"/>
    </row>
    <row r="272" spans="14:14" ht="14.25" customHeight="1" x14ac:dyDescent="0.2">
      <c r="N272" s="299"/>
    </row>
    <row r="273" spans="14:14" ht="14.25" customHeight="1" x14ac:dyDescent="0.2">
      <c r="N273" s="299"/>
    </row>
    <row r="274" spans="14:14" ht="14.25" customHeight="1" x14ac:dyDescent="0.2">
      <c r="N274" s="299"/>
    </row>
    <row r="275" spans="14:14" ht="14.25" customHeight="1" x14ac:dyDescent="0.2">
      <c r="N275" s="299"/>
    </row>
    <row r="276" spans="14:14" ht="14.25" customHeight="1" x14ac:dyDescent="0.2">
      <c r="N276" s="299"/>
    </row>
    <row r="277" spans="14:14" ht="14.25" customHeight="1" x14ac:dyDescent="0.2">
      <c r="N277" s="299"/>
    </row>
    <row r="278" spans="14:14" ht="14.25" customHeight="1" x14ac:dyDescent="0.2">
      <c r="N278" s="299"/>
    </row>
    <row r="279" spans="14:14" ht="14.25" customHeight="1" x14ac:dyDescent="0.2">
      <c r="N279" s="299"/>
    </row>
    <row r="280" spans="14:14" ht="14.25" customHeight="1" x14ac:dyDescent="0.2">
      <c r="N280" s="299"/>
    </row>
    <row r="281" spans="14:14" ht="14.25" customHeight="1" x14ac:dyDescent="0.2">
      <c r="N281" s="299"/>
    </row>
    <row r="282" spans="14:14" ht="14.25" customHeight="1" x14ac:dyDescent="0.2">
      <c r="N282" s="299"/>
    </row>
    <row r="283" spans="14:14" ht="14.25" customHeight="1" x14ac:dyDescent="0.2">
      <c r="N283" s="299"/>
    </row>
    <row r="284" spans="14:14" ht="14.25" customHeight="1" x14ac:dyDescent="0.2">
      <c r="N284" s="299"/>
    </row>
    <row r="285" spans="14:14" ht="14.25" customHeight="1" x14ac:dyDescent="0.2">
      <c r="N285" s="299"/>
    </row>
    <row r="286" spans="14:14" ht="14.25" customHeight="1" x14ac:dyDescent="0.2">
      <c r="N286" s="299"/>
    </row>
    <row r="287" spans="14:14" ht="14.25" customHeight="1" x14ac:dyDescent="0.2">
      <c r="N287" s="299"/>
    </row>
    <row r="288" spans="14:14" ht="14.25" customHeight="1" x14ac:dyDescent="0.2">
      <c r="N288" s="299"/>
    </row>
    <row r="289" spans="14:14" ht="14.25" customHeight="1" x14ac:dyDescent="0.2">
      <c r="N289" s="299"/>
    </row>
    <row r="290" spans="14:14" ht="14.25" customHeight="1" x14ac:dyDescent="0.2">
      <c r="N290" s="299"/>
    </row>
    <row r="291" spans="14:14" ht="14.25" customHeight="1" x14ac:dyDescent="0.2">
      <c r="N291" s="299"/>
    </row>
    <row r="292" spans="14:14" ht="14.25" customHeight="1" x14ac:dyDescent="0.2">
      <c r="N292" s="299"/>
    </row>
    <row r="293" spans="14:14" ht="14.25" customHeight="1" x14ac:dyDescent="0.2">
      <c r="N293" s="299"/>
    </row>
    <row r="294" spans="14:14" ht="14.25" customHeight="1" x14ac:dyDescent="0.2">
      <c r="N294" s="299"/>
    </row>
    <row r="295" spans="14:14" ht="14.25" customHeight="1" x14ac:dyDescent="0.2">
      <c r="N295" s="299"/>
    </row>
    <row r="296" spans="14:14" ht="14.25" customHeight="1" x14ac:dyDescent="0.2">
      <c r="N296" s="299"/>
    </row>
    <row r="297" spans="14:14" ht="14.25" customHeight="1" x14ac:dyDescent="0.2">
      <c r="N297" s="299"/>
    </row>
    <row r="298" spans="14:14" ht="14.25" customHeight="1" x14ac:dyDescent="0.2">
      <c r="N298" s="299"/>
    </row>
    <row r="299" spans="14:14" ht="14.25" customHeight="1" x14ac:dyDescent="0.2">
      <c r="N299" s="299"/>
    </row>
    <row r="300" spans="14:14" ht="14.25" customHeight="1" x14ac:dyDescent="0.2">
      <c r="N300" s="299"/>
    </row>
    <row r="301" spans="14:14" ht="14.25" customHeight="1" x14ac:dyDescent="0.2">
      <c r="N301" s="299"/>
    </row>
    <row r="302" spans="14:14" ht="14.25" customHeight="1" x14ac:dyDescent="0.2">
      <c r="N302" s="299"/>
    </row>
    <row r="303" spans="14:14" ht="14.25" customHeight="1" x14ac:dyDescent="0.2">
      <c r="N303" s="299"/>
    </row>
    <row r="304" spans="14:14" ht="14.25" customHeight="1" x14ac:dyDescent="0.2">
      <c r="N304" s="299"/>
    </row>
    <row r="305" spans="14:14" ht="14.25" customHeight="1" x14ac:dyDescent="0.2">
      <c r="N305" s="299"/>
    </row>
    <row r="306" spans="14:14" ht="14.25" customHeight="1" x14ac:dyDescent="0.2">
      <c r="N306" s="299"/>
    </row>
    <row r="307" spans="14:14" ht="14.25" customHeight="1" x14ac:dyDescent="0.2">
      <c r="N307" s="299"/>
    </row>
    <row r="308" spans="14:14" ht="14.25" customHeight="1" x14ac:dyDescent="0.2">
      <c r="N308" s="299"/>
    </row>
    <row r="309" spans="14:14" ht="14.25" customHeight="1" x14ac:dyDescent="0.2">
      <c r="N309" s="299"/>
    </row>
    <row r="310" spans="14:14" ht="14.25" customHeight="1" x14ac:dyDescent="0.2">
      <c r="N310" s="299"/>
    </row>
    <row r="311" spans="14:14" ht="14.25" customHeight="1" x14ac:dyDescent="0.2">
      <c r="N311" s="299"/>
    </row>
    <row r="312" spans="14:14" ht="14.25" customHeight="1" x14ac:dyDescent="0.2">
      <c r="N312" s="299"/>
    </row>
    <row r="313" spans="14:14" ht="14.25" customHeight="1" x14ac:dyDescent="0.2">
      <c r="N313" s="299"/>
    </row>
    <row r="314" spans="14:14" ht="14.25" customHeight="1" x14ac:dyDescent="0.2">
      <c r="N314" s="299"/>
    </row>
    <row r="315" spans="14:14" ht="14.25" customHeight="1" x14ac:dyDescent="0.2">
      <c r="N315" s="299"/>
    </row>
    <row r="316" spans="14:14" ht="14.25" customHeight="1" x14ac:dyDescent="0.2">
      <c r="N316" s="299"/>
    </row>
    <row r="317" spans="14:14" ht="14.25" customHeight="1" x14ac:dyDescent="0.2">
      <c r="N317" s="299"/>
    </row>
    <row r="318" spans="14:14" ht="14.25" customHeight="1" x14ac:dyDescent="0.2">
      <c r="N318" s="299"/>
    </row>
    <row r="319" spans="14:14" ht="14.25" customHeight="1" x14ac:dyDescent="0.2">
      <c r="N319" s="299"/>
    </row>
    <row r="320" spans="14:14" ht="14.25" customHeight="1" x14ac:dyDescent="0.2">
      <c r="N320" s="299"/>
    </row>
    <row r="321" spans="14:14" ht="14.25" customHeight="1" x14ac:dyDescent="0.2">
      <c r="N321" s="299"/>
    </row>
    <row r="322" spans="14:14" ht="14.25" customHeight="1" x14ac:dyDescent="0.2">
      <c r="N322" s="299"/>
    </row>
    <row r="323" spans="14:14" ht="14.25" customHeight="1" x14ac:dyDescent="0.2">
      <c r="N323" s="299"/>
    </row>
    <row r="324" spans="14:14" ht="14.25" customHeight="1" x14ac:dyDescent="0.2">
      <c r="N324" s="299"/>
    </row>
    <row r="325" spans="14:14" ht="14.25" customHeight="1" x14ac:dyDescent="0.2">
      <c r="N325" s="299"/>
    </row>
    <row r="326" spans="14:14" ht="14.25" customHeight="1" x14ac:dyDescent="0.2">
      <c r="N326" s="299"/>
    </row>
    <row r="327" spans="14:14" ht="14.25" customHeight="1" x14ac:dyDescent="0.2">
      <c r="N327" s="299"/>
    </row>
    <row r="328" spans="14:14" ht="14.25" customHeight="1" x14ac:dyDescent="0.2">
      <c r="N328" s="299"/>
    </row>
    <row r="329" spans="14:14" ht="14.25" customHeight="1" x14ac:dyDescent="0.2">
      <c r="N329" s="299"/>
    </row>
    <row r="330" spans="14:14" ht="14.25" customHeight="1" x14ac:dyDescent="0.2">
      <c r="N330" s="299"/>
    </row>
    <row r="331" spans="14:14" ht="14.25" customHeight="1" x14ac:dyDescent="0.2">
      <c r="N331" s="299"/>
    </row>
    <row r="332" spans="14:14" ht="14.25" customHeight="1" x14ac:dyDescent="0.2">
      <c r="N332" s="299"/>
    </row>
    <row r="333" spans="14:14" ht="14.25" customHeight="1" x14ac:dyDescent="0.2">
      <c r="N333" s="299"/>
    </row>
    <row r="334" spans="14:14" ht="14.25" customHeight="1" x14ac:dyDescent="0.2">
      <c r="N334" s="299"/>
    </row>
    <row r="335" spans="14:14" ht="14.25" customHeight="1" x14ac:dyDescent="0.2">
      <c r="N335" s="299"/>
    </row>
    <row r="336" spans="14:14" ht="14.25" customHeight="1" x14ac:dyDescent="0.2">
      <c r="N336" s="299"/>
    </row>
    <row r="337" spans="14:14" ht="14.25" customHeight="1" x14ac:dyDescent="0.2">
      <c r="N337" s="299"/>
    </row>
    <row r="338" spans="14:14" ht="14.25" customHeight="1" x14ac:dyDescent="0.2">
      <c r="N338" s="299"/>
    </row>
    <row r="339" spans="14:14" ht="14.25" customHeight="1" x14ac:dyDescent="0.2">
      <c r="N339" s="299"/>
    </row>
    <row r="340" spans="14:14" ht="14.25" customHeight="1" x14ac:dyDescent="0.2">
      <c r="N340" s="299"/>
    </row>
    <row r="341" spans="14:14" ht="14.25" customHeight="1" x14ac:dyDescent="0.2">
      <c r="N341" s="299"/>
    </row>
    <row r="342" spans="14:14" ht="14.25" customHeight="1" x14ac:dyDescent="0.2">
      <c r="N342" s="299"/>
    </row>
    <row r="343" spans="14:14" ht="14.25" customHeight="1" x14ac:dyDescent="0.2">
      <c r="N343" s="299"/>
    </row>
    <row r="344" spans="14:14" ht="14.25" customHeight="1" x14ac:dyDescent="0.2">
      <c r="N344" s="299"/>
    </row>
    <row r="345" spans="14:14" ht="14.25" customHeight="1" x14ac:dyDescent="0.2">
      <c r="N345" s="299"/>
    </row>
    <row r="346" spans="14:14" ht="14.25" customHeight="1" x14ac:dyDescent="0.2">
      <c r="N346" s="299"/>
    </row>
    <row r="347" spans="14:14" ht="14.25" customHeight="1" x14ac:dyDescent="0.2">
      <c r="N347" s="299"/>
    </row>
    <row r="348" spans="14:14" ht="14.25" customHeight="1" x14ac:dyDescent="0.2">
      <c r="N348" s="299"/>
    </row>
    <row r="349" spans="14:14" ht="14.25" customHeight="1" x14ac:dyDescent="0.2">
      <c r="N349" s="299"/>
    </row>
    <row r="350" spans="14:14" ht="14.25" customHeight="1" x14ac:dyDescent="0.2">
      <c r="N350" s="299"/>
    </row>
    <row r="351" spans="14:14" ht="14.25" customHeight="1" x14ac:dyDescent="0.2">
      <c r="N351" s="299"/>
    </row>
    <row r="352" spans="14:14" ht="14.25" customHeight="1" x14ac:dyDescent="0.2">
      <c r="N352" s="299"/>
    </row>
    <row r="353" spans="14:14" ht="14.25" customHeight="1" x14ac:dyDescent="0.2">
      <c r="N353" s="299"/>
    </row>
    <row r="354" spans="14:14" ht="14.25" customHeight="1" x14ac:dyDescent="0.2">
      <c r="N354" s="299"/>
    </row>
    <row r="355" spans="14:14" ht="14.25" customHeight="1" x14ac:dyDescent="0.2">
      <c r="N355" s="299"/>
    </row>
    <row r="356" spans="14:14" ht="14.25" customHeight="1" x14ac:dyDescent="0.2">
      <c r="N356" s="299"/>
    </row>
    <row r="357" spans="14:14" ht="14.25" customHeight="1" x14ac:dyDescent="0.2">
      <c r="N357" s="299"/>
    </row>
    <row r="358" spans="14:14" ht="14.25" customHeight="1" x14ac:dyDescent="0.2">
      <c r="N358" s="299"/>
    </row>
    <row r="359" spans="14:14" ht="14.25" customHeight="1" x14ac:dyDescent="0.2">
      <c r="N359" s="299"/>
    </row>
    <row r="360" spans="14:14" ht="14.25" customHeight="1" x14ac:dyDescent="0.2">
      <c r="N360" s="299"/>
    </row>
    <row r="361" spans="14:14" ht="14.25" customHeight="1" x14ac:dyDescent="0.2">
      <c r="N361" s="299"/>
    </row>
    <row r="362" spans="14:14" ht="14.25" customHeight="1" x14ac:dyDescent="0.2">
      <c r="N362" s="299"/>
    </row>
    <row r="363" spans="14:14" ht="14.25" customHeight="1" x14ac:dyDescent="0.2">
      <c r="N363" s="299"/>
    </row>
    <row r="364" spans="14:14" ht="14.25" customHeight="1" x14ac:dyDescent="0.2">
      <c r="N364" s="299"/>
    </row>
    <row r="365" spans="14:14" ht="14.25" customHeight="1" x14ac:dyDescent="0.2">
      <c r="N365" s="299"/>
    </row>
    <row r="366" spans="14:14" ht="14.25" customHeight="1" x14ac:dyDescent="0.2">
      <c r="N366" s="299"/>
    </row>
    <row r="367" spans="14:14" ht="14.25" customHeight="1" x14ac:dyDescent="0.2">
      <c r="N367" s="299"/>
    </row>
    <row r="368" spans="14:14" ht="14.25" customHeight="1" x14ac:dyDescent="0.2">
      <c r="N368" s="299"/>
    </row>
    <row r="369" spans="14:14" ht="14.25" customHeight="1" x14ac:dyDescent="0.2">
      <c r="N369" s="299"/>
    </row>
    <row r="370" spans="14:14" ht="14.25" customHeight="1" x14ac:dyDescent="0.2">
      <c r="N370" s="299"/>
    </row>
    <row r="371" spans="14:14" ht="14.25" customHeight="1" x14ac:dyDescent="0.2">
      <c r="N371" s="299"/>
    </row>
    <row r="372" spans="14:14" ht="14.25" customHeight="1" x14ac:dyDescent="0.2">
      <c r="N372" s="299"/>
    </row>
    <row r="373" spans="14:14" ht="14.25" customHeight="1" x14ac:dyDescent="0.2">
      <c r="N373" s="299"/>
    </row>
    <row r="374" spans="14:14" ht="14.25" customHeight="1" x14ac:dyDescent="0.2">
      <c r="N374" s="299"/>
    </row>
    <row r="375" spans="14:14" ht="14.25" customHeight="1" x14ac:dyDescent="0.2">
      <c r="N375" s="299"/>
    </row>
    <row r="376" spans="14:14" ht="14.25" customHeight="1" x14ac:dyDescent="0.2">
      <c r="N376" s="299"/>
    </row>
    <row r="377" spans="14:14" ht="14.25" customHeight="1" x14ac:dyDescent="0.2">
      <c r="N377" s="299"/>
    </row>
    <row r="378" spans="14:14" ht="14.25" customHeight="1" x14ac:dyDescent="0.2">
      <c r="N378" s="299"/>
    </row>
    <row r="379" spans="14:14" ht="14.25" customHeight="1" x14ac:dyDescent="0.2">
      <c r="N379" s="299"/>
    </row>
    <row r="380" spans="14:14" ht="14.25" customHeight="1" x14ac:dyDescent="0.2">
      <c r="N380" s="299"/>
    </row>
    <row r="381" spans="14:14" ht="14.25" customHeight="1" x14ac:dyDescent="0.2">
      <c r="N381" s="299"/>
    </row>
    <row r="382" spans="14:14" ht="14.25" customHeight="1" x14ac:dyDescent="0.2">
      <c r="N382" s="299"/>
    </row>
    <row r="383" spans="14:14" ht="14.25" customHeight="1" x14ac:dyDescent="0.2">
      <c r="N383" s="299"/>
    </row>
    <row r="384" spans="14:14" ht="14.25" customHeight="1" x14ac:dyDescent="0.2">
      <c r="N384" s="299"/>
    </row>
    <row r="385" spans="14:14" ht="14.25" customHeight="1" x14ac:dyDescent="0.2">
      <c r="N385" s="299"/>
    </row>
    <row r="386" spans="14:14" ht="14.25" customHeight="1" x14ac:dyDescent="0.2">
      <c r="N386" s="299"/>
    </row>
    <row r="387" spans="14:14" ht="14.25" customHeight="1" x14ac:dyDescent="0.2">
      <c r="N387" s="299"/>
    </row>
    <row r="388" spans="14:14" ht="14.25" customHeight="1" x14ac:dyDescent="0.2">
      <c r="N388" s="299"/>
    </row>
    <row r="389" spans="14:14" ht="14.25" customHeight="1" x14ac:dyDescent="0.2">
      <c r="N389" s="299"/>
    </row>
    <row r="390" spans="14:14" ht="14.25" customHeight="1" x14ac:dyDescent="0.2">
      <c r="N390" s="299"/>
    </row>
    <row r="391" spans="14:14" ht="14.25" customHeight="1" x14ac:dyDescent="0.2">
      <c r="N391" s="299"/>
    </row>
    <row r="392" spans="14:14" ht="14.25" customHeight="1" x14ac:dyDescent="0.2">
      <c r="N392" s="299"/>
    </row>
    <row r="393" spans="14:14" ht="14.25" customHeight="1" x14ac:dyDescent="0.2">
      <c r="N393" s="299"/>
    </row>
    <row r="394" spans="14:14" ht="14.25" customHeight="1" x14ac:dyDescent="0.2">
      <c r="N394" s="299"/>
    </row>
    <row r="395" spans="14:14" ht="14.25" customHeight="1" x14ac:dyDescent="0.2">
      <c r="N395" s="299"/>
    </row>
    <row r="396" spans="14:14" ht="14.25" customHeight="1" x14ac:dyDescent="0.2">
      <c r="N396" s="299"/>
    </row>
    <row r="397" spans="14:14" ht="14.25" customHeight="1" x14ac:dyDescent="0.2">
      <c r="N397" s="299"/>
    </row>
    <row r="398" spans="14:14" ht="14.25" customHeight="1" x14ac:dyDescent="0.2">
      <c r="N398" s="299"/>
    </row>
    <row r="399" spans="14:14" ht="14.25" customHeight="1" x14ac:dyDescent="0.2">
      <c r="N399" s="299"/>
    </row>
    <row r="400" spans="14:14" ht="14.25" customHeight="1" x14ac:dyDescent="0.2">
      <c r="N400" s="299"/>
    </row>
    <row r="401" spans="14:14" ht="14.25" customHeight="1" x14ac:dyDescent="0.2">
      <c r="N401" s="299"/>
    </row>
    <row r="402" spans="14:14" ht="14.25" customHeight="1" x14ac:dyDescent="0.2">
      <c r="N402" s="299"/>
    </row>
    <row r="403" spans="14:14" ht="14.25" customHeight="1" x14ac:dyDescent="0.2">
      <c r="N403" s="299"/>
    </row>
    <row r="404" spans="14:14" ht="14.25" customHeight="1" x14ac:dyDescent="0.2">
      <c r="N404" s="299"/>
    </row>
    <row r="405" spans="14:14" ht="14.25" customHeight="1" x14ac:dyDescent="0.2">
      <c r="N405" s="299"/>
    </row>
    <row r="406" spans="14:14" ht="14.25" customHeight="1" x14ac:dyDescent="0.2">
      <c r="N406" s="299"/>
    </row>
    <row r="407" spans="14:14" ht="14.25" customHeight="1" x14ac:dyDescent="0.2">
      <c r="N407" s="299"/>
    </row>
    <row r="408" spans="14:14" ht="14.25" customHeight="1" x14ac:dyDescent="0.2">
      <c r="N408" s="299"/>
    </row>
    <row r="409" spans="14:14" ht="14.25" customHeight="1" x14ac:dyDescent="0.2">
      <c r="N409" s="299"/>
    </row>
    <row r="410" spans="14:14" ht="14.25" customHeight="1" x14ac:dyDescent="0.2">
      <c r="N410" s="299"/>
    </row>
    <row r="411" spans="14:14" ht="14.25" customHeight="1" x14ac:dyDescent="0.2">
      <c r="N411" s="299"/>
    </row>
    <row r="412" spans="14:14" ht="14.25" customHeight="1" x14ac:dyDescent="0.2">
      <c r="N412" s="299"/>
    </row>
    <row r="413" spans="14:14" ht="14.25" customHeight="1" x14ac:dyDescent="0.2">
      <c r="N413" s="299"/>
    </row>
    <row r="414" spans="14:14" ht="14.25" customHeight="1" x14ac:dyDescent="0.2">
      <c r="N414" s="299"/>
    </row>
    <row r="415" spans="14:14" ht="14.25" customHeight="1" x14ac:dyDescent="0.2">
      <c r="N415" s="299"/>
    </row>
    <row r="416" spans="14:14" ht="14.25" customHeight="1" x14ac:dyDescent="0.2">
      <c r="N416" s="299"/>
    </row>
    <row r="417" spans="14:14" ht="14.25" customHeight="1" x14ac:dyDescent="0.2">
      <c r="N417" s="299"/>
    </row>
    <row r="418" spans="14:14" ht="14.25" customHeight="1" x14ac:dyDescent="0.2">
      <c r="N418" s="299"/>
    </row>
    <row r="419" spans="14:14" ht="14.25" customHeight="1" x14ac:dyDescent="0.2">
      <c r="N419" s="299"/>
    </row>
    <row r="420" spans="14:14" ht="14.25" customHeight="1" x14ac:dyDescent="0.2">
      <c r="N420" s="299"/>
    </row>
    <row r="421" spans="14:14" ht="14.25" customHeight="1" x14ac:dyDescent="0.2">
      <c r="N421" s="299"/>
    </row>
    <row r="422" spans="14:14" ht="14.25" customHeight="1" x14ac:dyDescent="0.2">
      <c r="N422" s="299"/>
    </row>
    <row r="423" spans="14:14" ht="14.25" customHeight="1" x14ac:dyDescent="0.2">
      <c r="N423" s="299"/>
    </row>
    <row r="424" spans="14:14" ht="14.25" customHeight="1" x14ac:dyDescent="0.2">
      <c r="N424" s="299"/>
    </row>
    <row r="425" spans="14:14" ht="14.25" customHeight="1" x14ac:dyDescent="0.2">
      <c r="N425" s="299"/>
    </row>
    <row r="426" spans="14:14" ht="14.25" customHeight="1" x14ac:dyDescent="0.2">
      <c r="N426" s="299"/>
    </row>
    <row r="427" spans="14:14" ht="14.25" customHeight="1" x14ac:dyDescent="0.2">
      <c r="N427" s="299"/>
    </row>
    <row r="428" spans="14:14" ht="14.25" customHeight="1" x14ac:dyDescent="0.2">
      <c r="N428" s="299"/>
    </row>
    <row r="429" spans="14:14" ht="14.25" customHeight="1" x14ac:dyDescent="0.2">
      <c r="N429" s="299"/>
    </row>
    <row r="430" spans="14:14" ht="14.25" customHeight="1" x14ac:dyDescent="0.2">
      <c r="N430" s="299"/>
    </row>
    <row r="431" spans="14:14" ht="14.25" customHeight="1" x14ac:dyDescent="0.2">
      <c r="N431" s="299"/>
    </row>
    <row r="432" spans="14:14" ht="14.25" customHeight="1" x14ac:dyDescent="0.2">
      <c r="N432" s="299"/>
    </row>
    <row r="433" spans="14:14" ht="14.25" customHeight="1" x14ac:dyDescent="0.2">
      <c r="N433" s="299"/>
    </row>
    <row r="434" spans="14:14" ht="14.25" customHeight="1" x14ac:dyDescent="0.2">
      <c r="N434" s="299"/>
    </row>
    <row r="435" spans="14:14" ht="14.25" customHeight="1" x14ac:dyDescent="0.2">
      <c r="N435" s="299"/>
    </row>
    <row r="436" spans="14:14" ht="14.25" customHeight="1" x14ac:dyDescent="0.2">
      <c r="N436" s="299"/>
    </row>
    <row r="437" spans="14:14" ht="14.25" customHeight="1" x14ac:dyDescent="0.2">
      <c r="N437" s="299"/>
    </row>
    <row r="438" spans="14:14" ht="14.25" customHeight="1" x14ac:dyDescent="0.2">
      <c r="N438" s="299"/>
    </row>
    <row r="439" spans="14:14" ht="14.25" customHeight="1" x14ac:dyDescent="0.2">
      <c r="N439" s="299"/>
    </row>
    <row r="440" spans="14:14" ht="14.25" customHeight="1" x14ac:dyDescent="0.2">
      <c r="N440" s="299"/>
    </row>
    <row r="441" spans="14:14" ht="14.25" customHeight="1" x14ac:dyDescent="0.2">
      <c r="N441" s="299"/>
    </row>
    <row r="442" spans="14:14" ht="14.25" customHeight="1" x14ac:dyDescent="0.2">
      <c r="N442" s="299"/>
    </row>
    <row r="443" spans="14:14" ht="14.25" customHeight="1" x14ac:dyDescent="0.2">
      <c r="N443" s="299"/>
    </row>
    <row r="444" spans="14:14" ht="14.25" customHeight="1" x14ac:dyDescent="0.2">
      <c r="N444" s="299"/>
    </row>
    <row r="445" spans="14:14" ht="14.25" customHeight="1" x14ac:dyDescent="0.2">
      <c r="N445" s="299"/>
    </row>
    <row r="446" spans="14:14" ht="14.25" customHeight="1" x14ac:dyDescent="0.2">
      <c r="N446" s="299"/>
    </row>
    <row r="447" spans="14:14" ht="14.25" customHeight="1" x14ac:dyDescent="0.2">
      <c r="N447" s="299"/>
    </row>
    <row r="448" spans="14:14" ht="14.25" customHeight="1" x14ac:dyDescent="0.2">
      <c r="N448" s="299"/>
    </row>
    <row r="449" spans="14:14" ht="14.25" customHeight="1" x14ac:dyDescent="0.2">
      <c r="N449" s="299"/>
    </row>
    <row r="450" spans="14:14" ht="14.25" customHeight="1" x14ac:dyDescent="0.2">
      <c r="N450" s="299"/>
    </row>
    <row r="451" spans="14:14" ht="14.25" customHeight="1" x14ac:dyDescent="0.2">
      <c r="N451" s="299"/>
    </row>
    <row r="452" spans="14:14" ht="14.25" customHeight="1" x14ac:dyDescent="0.2">
      <c r="N452" s="299"/>
    </row>
    <row r="453" spans="14:14" ht="14.25" customHeight="1" x14ac:dyDescent="0.2">
      <c r="N453" s="299"/>
    </row>
    <row r="454" spans="14:14" ht="14.25" customHeight="1" x14ac:dyDescent="0.2">
      <c r="N454" s="299"/>
    </row>
    <row r="455" spans="14:14" ht="14.25" customHeight="1" x14ac:dyDescent="0.2">
      <c r="N455" s="299"/>
    </row>
    <row r="456" spans="14:14" ht="14.25" customHeight="1" x14ac:dyDescent="0.2">
      <c r="N456" s="299"/>
    </row>
    <row r="457" spans="14:14" ht="14.25" customHeight="1" x14ac:dyDescent="0.2">
      <c r="N457" s="299"/>
    </row>
    <row r="458" spans="14:14" ht="14.25" customHeight="1" x14ac:dyDescent="0.2">
      <c r="N458" s="299"/>
    </row>
    <row r="459" spans="14:14" ht="14.25" customHeight="1" x14ac:dyDescent="0.2">
      <c r="N459" s="299"/>
    </row>
    <row r="460" spans="14:14" ht="14.25" customHeight="1" x14ac:dyDescent="0.2">
      <c r="N460" s="299"/>
    </row>
    <row r="461" spans="14:14" ht="14.25" customHeight="1" x14ac:dyDescent="0.2">
      <c r="N461" s="299"/>
    </row>
    <row r="462" spans="14:14" ht="14.25" customHeight="1" x14ac:dyDescent="0.2">
      <c r="N462" s="299"/>
    </row>
    <row r="463" spans="14:14" ht="14.25" customHeight="1" x14ac:dyDescent="0.2">
      <c r="N463" s="299"/>
    </row>
    <row r="464" spans="14:14" ht="14.25" customHeight="1" x14ac:dyDescent="0.2">
      <c r="N464" s="299"/>
    </row>
    <row r="465" spans="14:14" ht="14.25" customHeight="1" x14ac:dyDescent="0.2">
      <c r="N465" s="299"/>
    </row>
    <row r="466" spans="14:14" ht="14.25" customHeight="1" x14ac:dyDescent="0.2">
      <c r="N466" s="299"/>
    </row>
    <row r="467" spans="14:14" ht="14.25" customHeight="1" x14ac:dyDescent="0.2">
      <c r="N467" s="299"/>
    </row>
    <row r="468" spans="14:14" ht="14.25" customHeight="1" x14ac:dyDescent="0.2">
      <c r="N468" s="299"/>
    </row>
    <row r="469" spans="14:14" ht="14.25" customHeight="1" x14ac:dyDescent="0.2">
      <c r="N469" s="299"/>
    </row>
    <row r="470" spans="14:14" ht="14.25" customHeight="1" x14ac:dyDescent="0.2">
      <c r="N470" s="299"/>
    </row>
    <row r="471" spans="14:14" ht="14.25" customHeight="1" x14ac:dyDescent="0.2">
      <c r="N471" s="299"/>
    </row>
    <row r="472" spans="14:14" ht="14.25" customHeight="1" x14ac:dyDescent="0.2">
      <c r="N472" s="299"/>
    </row>
    <row r="473" spans="14:14" ht="14.25" customHeight="1" x14ac:dyDescent="0.2">
      <c r="N473" s="299"/>
    </row>
    <row r="474" spans="14:14" ht="14.25" customHeight="1" x14ac:dyDescent="0.2">
      <c r="N474" s="299"/>
    </row>
    <row r="475" spans="14:14" ht="14.25" customHeight="1" x14ac:dyDescent="0.2">
      <c r="N475" s="299"/>
    </row>
    <row r="476" spans="14:14" ht="14.25" customHeight="1" x14ac:dyDescent="0.2">
      <c r="N476" s="299"/>
    </row>
    <row r="477" spans="14:14" ht="14.25" customHeight="1" x14ac:dyDescent="0.2">
      <c r="N477" s="299"/>
    </row>
    <row r="478" spans="14:14" ht="14.25" customHeight="1" x14ac:dyDescent="0.2">
      <c r="N478" s="299"/>
    </row>
    <row r="479" spans="14:14" ht="14.25" customHeight="1" x14ac:dyDescent="0.2">
      <c r="N479" s="299"/>
    </row>
    <row r="480" spans="14:14" ht="14.25" customHeight="1" x14ac:dyDescent="0.2">
      <c r="N480" s="299"/>
    </row>
    <row r="481" spans="14:14" ht="14.25" customHeight="1" x14ac:dyDescent="0.2">
      <c r="N481" s="299"/>
    </row>
    <row r="482" spans="14:14" ht="14.25" customHeight="1" x14ac:dyDescent="0.2">
      <c r="N482" s="299"/>
    </row>
    <row r="483" spans="14:14" ht="14.25" customHeight="1" x14ac:dyDescent="0.2">
      <c r="N483" s="299"/>
    </row>
    <row r="484" spans="14:14" ht="14.25" customHeight="1" x14ac:dyDescent="0.2">
      <c r="N484" s="299"/>
    </row>
    <row r="485" spans="14:14" ht="14.25" customHeight="1" x14ac:dyDescent="0.2">
      <c r="N485" s="299"/>
    </row>
    <row r="486" spans="14:14" ht="14.25" customHeight="1" x14ac:dyDescent="0.2">
      <c r="N486" s="299"/>
    </row>
    <row r="487" spans="14:14" ht="14.25" customHeight="1" x14ac:dyDescent="0.2">
      <c r="N487" s="299"/>
    </row>
    <row r="488" spans="14:14" ht="14.25" customHeight="1" x14ac:dyDescent="0.2">
      <c r="N488" s="299"/>
    </row>
    <row r="489" spans="14:14" ht="14.25" customHeight="1" x14ac:dyDescent="0.2">
      <c r="N489" s="299"/>
    </row>
    <row r="490" spans="14:14" ht="14.25" customHeight="1" x14ac:dyDescent="0.2">
      <c r="N490" s="299"/>
    </row>
    <row r="491" spans="14:14" ht="14.25" customHeight="1" x14ac:dyDescent="0.2">
      <c r="N491" s="299"/>
    </row>
    <row r="492" spans="14:14" ht="14.25" customHeight="1" x14ac:dyDescent="0.2">
      <c r="N492" s="299"/>
    </row>
    <row r="493" spans="14:14" ht="14.25" customHeight="1" x14ac:dyDescent="0.2">
      <c r="N493" s="299"/>
    </row>
    <row r="494" spans="14:14" ht="14.25" customHeight="1" x14ac:dyDescent="0.2">
      <c r="N494" s="299"/>
    </row>
    <row r="495" spans="14:14" ht="14.25" customHeight="1" x14ac:dyDescent="0.2">
      <c r="N495" s="299"/>
    </row>
    <row r="496" spans="14:14" ht="14.25" customHeight="1" x14ac:dyDescent="0.2">
      <c r="N496" s="299"/>
    </row>
    <row r="497" spans="14:14" ht="14.25" customHeight="1" x14ac:dyDescent="0.2">
      <c r="N497" s="299"/>
    </row>
    <row r="498" spans="14:14" ht="14.25" customHeight="1" x14ac:dyDescent="0.2">
      <c r="N498" s="299"/>
    </row>
    <row r="499" spans="14:14" ht="14.25" customHeight="1" x14ac:dyDescent="0.2">
      <c r="N499" s="299"/>
    </row>
    <row r="500" spans="14:14" ht="14.25" customHeight="1" x14ac:dyDescent="0.2">
      <c r="N500" s="299"/>
    </row>
    <row r="501" spans="14:14" ht="14.25" customHeight="1" x14ac:dyDescent="0.2">
      <c r="N501" s="299"/>
    </row>
    <row r="502" spans="14:14" ht="14.25" customHeight="1" x14ac:dyDescent="0.2">
      <c r="N502" s="299"/>
    </row>
    <row r="503" spans="14:14" ht="14.25" customHeight="1" x14ac:dyDescent="0.2">
      <c r="N503" s="299"/>
    </row>
    <row r="504" spans="14:14" ht="14.25" customHeight="1" x14ac:dyDescent="0.2">
      <c r="N504" s="299"/>
    </row>
    <row r="505" spans="14:14" ht="14.25" customHeight="1" x14ac:dyDescent="0.2">
      <c r="N505" s="299"/>
    </row>
    <row r="506" spans="14:14" ht="14.25" customHeight="1" x14ac:dyDescent="0.2">
      <c r="N506" s="299"/>
    </row>
    <row r="507" spans="14:14" ht="14.25" customHeight="1" x14ac:dyDescent="0.2">
      <c r="N507" s="299"/>
    </row>
    <row r="508" spans="14:14" ht="14.25" customHeight="1" x14ac:dyDescent="0.2">
      <c r="N508" s="299"/>
    </row>
    <row r="509" spans="14:14" ht="14.25" customHeight="1" x14ac:dyDescent="0.2">
      <c r="N509" s="299"/>
    </row>
    <row r="510" spans="14:14" ht="14.25" customHeight="1" x14ac:dyDescent="0.2">
      <c r="N510" s="299"/>
    </row>
    <row r="511" spans="14:14" ht="14.25" customHeight="1" x14ac:dyDescent="0.2">
      <c r="N511" s="299"/>
    </row>
    <row r="512" spans="14:14" ht="14.25" customHeight="1" x14ac:dyDescent="0.2">
      <c r="N512" s="299"/>
    </row>
    <row r="513" spans="14:14" ht="14.25" customHeight="1" x14ac:dyDescent="0.2">
      <c r="N513" s="299"/>
    </row>
    <row r="514" spans="14:14" ht="14.25" customHeight="1" x14ac:dyDescent="0.2">
      <c r="N514" s="299"/>
    </row>
    <row r="515" spans="14:14" ht="14.25" customHeight="1" x14ac:dyDescent="0.2">
      <c r="N515" s="299"/>
    </row>
    <row r="516" spans="14:14" ht="14.25" customHeight="1" x14ac:dyDescent="0.2">
      <c r="N516" s="299"/>
    </row>
    <row r="517" spans="14:14" ht="14.25" customHeight="1" x14ac:dyDescent="0.2">
      <c r="N517" s="299"/>
    </row>
    <row r="518" spans="14:14" ht="14.25" customHeight="1" x14ac:dyDescent="0.2">
      <c r="N518" s="299"/>
    </row>
    <row r="519" spans="14:14" ht="14.25" customHeight="1" x14ac:dyDescent="0.2">
      <c r="N519" s="299"/>
    </row>
    <row r="520" spans="14:14" ht="14.25" customHeight="1" x14ac:dyDescent="0.2">
      <c r="N520" s="299"/>
    </row>
    <row r="521" spans="14:14" ht="14.25" customHeight="1" x14ac:dyDescent="0.2">
      <c r="N521" s="299"/>
    </row>
    <row r="522" spans="14:14" ht="14.25" customHeight="1" x14ac:dyDescent="0.2">
      <c r="N522" s="299"/>
    </row>
    <row r="523" spans="14:14" ht="14.25" customHeight="1" x14ac:dyDescent="0.2">
      <c r="N523" s="299"/>
    </row>
    <row r="524" spans="14:14" ht="14.25" customHeight="1" x14ac:dyDescent="0.2">
      <c r="N524" s="299"/>
    </row>
    <row r="525" spans="14:14" ht="14.25" customHeight="1" x14ac:dyDescent="0.2">
      <c r="N525" s="299"/>
    </row>
    <row r="526" spans="14:14" ht="14.25" customHeight="1" x14ac:dyDescent="0.2">
      <c r="N526" s="299"/>
    </row>
    <row r="527" spans="14:14" ht="14.25" customHeight="1" x14ac:dyDescent="0.2">
      <c r="N527" s="299"/>
    </row>
    <row r="528" spans="14:14" ht="14.25" customHeight="1" x14ac:dyDescent="0.2">
      <c r="N528" s="299"/>
    </row>
    <row r="529" spans="14:14" ht="14.25" customHeight="1" x14ac:dyDescent="0.2">
      <c r="N529" s="299"/>
    </row>
    <row r="530" spans="14:14" ht="14.25" customHeight="1" x14ac:dyDescent="0.2">
      <c r="N530" s="299"/>
    </row>
    <row r="531" spans="14:14" ht="14.25" customHeight="1" x14ac:dyDescent="0.2">
      <c r="N531" s="299"/>
    </row>
    <row r="532" spans="14:14" ht="14.25" customHeight="1" x14ac:dyDescent="0.2">
      <c r="N532" s="299"/>
    </row>
    <row r="533" spans="14:14" ht="14.25" customHeight="1" x14ac:dyDescent="0.2">
      <c r="N533" s="299"/>
    </row>
    <row r="534" spans="14:14" ht="14.25" customHeight="1" x14ac:dyDescent="0.2">
      <c r="N534" s="299"/>
    </row>
    <row r="535" spans="14:14" ht="14.25" customHeight="1" x14ac:dyDescent="0.2">
      <c r="N535" s="299"/>
    </row>
    <row r="536" spans="14:14" ht="14.25" customHeight="1" x14ac:dyDescent="0.2">
      <c r="N536" s="299"/>
    </row>
    <row r="537" spans="14:14" ht="14.25" customHeight="1" x14ac:dyDescent="0.2">
      <c r="N537" s="299"/>
    </row>
    <row r="538" spans="14:14" ht="14.25" customHeight="1" x14ac:dyDescent="0.2">
      <c r="N538" s="299"/>
    </row>
    <row r="539" spans="14:14" ht="14.25" customHeight="1" x14ac:dyDescent="0.2">
      <c r="N539" s="299"/>
    </row>
    <row r="540" spans="14:14" ht="14.25" customHeight="1" x14ac:dyDescent="0.2">
      <c r="N540" s="299"/>
    </row>
    <row r="541" spans="14:14" ht="14.25" customHeight="1" x14ac:dyDescent="0.2">
      <c r="N541" s="299"/>
    </row>
    <row r="542" spans="14:14" ht="14.25" customHeight="1" x14ac:dyDescent="0.2">
      <c r="N542" s="299"/>
    </row>
    <row r="543" spans="14:14" ht="14.25" customHeight="1" x14ac:dyDescent="0.2">
      <c r="N543" s="299"/>
    </row>
    <row r="544" spans="14:14" ht="14.25" customHeight="1" x14ac:dyDescent="0.2">
      <c r="N544" s="299"/>
    </row>
    <row r="545" spans="14:14" ht="14.25" customHeight="1" x14ac:dyDescent="0.2">
      <c r="N545" s="299"/>
    </row>
    <row r="546" spans="14:14" ht="14.25" customHeight="1" x14ac:dyDescent="0.2">
      <c r="N546" s="299"/>
    </row>
    <row r="547" spans="14:14" ht="14.25" customHeight="1" x14ac:dyDescent="0.2">
      <c r="N547" s="299"/>
    </row>
    <row r="548" spans="14:14" ht="14.25" customHeight="1" x14ac:dyDescent="0.2">
      <c r="N548" s="299"/>
    </row>
    <row r="549" spans="14:14" ht="14.25" customHeight="1" x14ac:dyDescent="0.2">
      <c r="N549" s="299"/>
    </row>
    <row r="550" spans="14:14" ht="14.25" customHeight="1" x14ac:dyDescent="0.2">
      <c r="N550" s="299"/>
    </row>
    <row r="551" spans="14:14" ht="14.25" customHeight="1" x14ac:dyDescent="0.2">
      <c r="N551" s="299"/>
    </row>
    <row r="552" spans="14:14" ht="14.25" customHeight="1" x14ac:dyDescent="0.2">
      <c r="N552" s="299"/>
    </row>
    <row r="553" spans="14:14" ht="14.25" customHeight="1" x14ac:dyDescent="0.2">
      <c r="N553" s="299"/>
    </row>
    <row r="554" spans="14:14" ht="14.25" customHeight="1" x14ac:dyDescent="0.2">
      <c r="N554" s="299"/>
    </row>
    <row r="555" spans="14:14" ht="14.25" customHeight="1" x14ac:dyDescent="0.2">
      <c r="N555" s="299"/>
    </row>
    <row r="556" spans="14:14" ht="14.25" customHeight="1" x14ac:dyDescent="0.2">
      <c r="N556" s="299"/>
    </row>
    <row r="557" spans="14:14" ht="14.25" customHeight="1" x14ac:dyDescent="0.2">
      <c r="N557" s="299"/>
    </row>
    <row r="558" spans="14:14" ht="14.25" customHeight="1" x14ac:dyDescent="0.2">
      <c r="N558" s="299"/>
    </row>
    <row r="559" spans="14:14" ht="14.25" customHeight="1" x14ac:dyDescent="0.2">
      <c r="N559" s="299"/>
    </row>
    <row r="560" spans="14:14" ht="14.25" customHeight="1" x14ac:dyDescent="0.2">
      <c r="N560" s="299"/>
    </row>
    <row r="561" spans="14:14" ht="14.25" customHeight="1" x14ac:dyDescent="0.2">
      <c r="N561" s="299"/>
    </row>
    <row r="562" spans="14:14" ht="14.25" customHeight="1" x14ac:dyDescent="0.2">
      <c r="N562" s="299"/>
    </row>
    <row r="563" spans="14:14" ht="14.25" customHeight="1" x14ac:dyDescent="0.2">
      <c r="N563" s="299"/>
    </row>
    <row r="564" spans="14:14" ht="14.25" customHeight="1" x14ac:dyDescent="0.2">
      <c r="N564" s="299"/>
    </row>
    <row r="565" spans="14:14" ht="14.25" customHeight="1" x14ac:dyDescent="0.2">
      <c r="N565" s="299"/>
    </row>
    <row r="566" spans="14:14" ht="14.25" customHeight="1" x14ac:dyDescent="0.2">
      <c r="N566" s="299"/>
    </row>
    <row r="567" spans="14:14" ht="14.25" customHeight="1" x14ac:dyDescent="0.2">
      <c r="N567" s="299"/>
    </row>
    <row r="568" spans="14:14" ht="14.25" customHeight="1" x14ac:dyDescent="0.2">
      <c r="N568" s="299"/>
    </row>
    <row r="569" spans="14:14" ht="14.25" customHeight="1" x14ac:dyDescent="0.2">
      <c r="N569" s="299"/>
    </row>
    <row r="570" spans="14:14" ht="14.25" customHeight="1" x14ac:dyDescent="0.2">
      <c r="N570" s="299"/>
    </row>
    <row r="571" spans="14:14" ht="14.25" customHeight="1" x14ac:dyDescent="0.2">
      <c r="N571" s="299"/>
    </row>
    <row r="572" spans="14:14" ht="14.25" customHeight="1" x14ac:dyDescent="0.2">
      <c r="N572" s="299"/>
    </row>
    <row r="573" spans="14:14" ht="14.25" customHeight="1" x14ac:dyDescent="0.2">
      <c r="N573" s="299"/>
    </row>
    <row r="574" spans="14:14" ht="14.25" customHeight="1" x14ac:dyDescent="0.2">
      <c r="N574" s="299"/>
    </row>
    <row r="575" spans="14:14" ht="14.25" customHeight="1" x14ac:dyDescent="0.2">
      <c r="N575" s="299"/>
    </row>
    <row r="576" spans="14:14" ht="14.25" customHeight="1" x14ac:dyDescent="0.2">
      <c r="N576" s="299"/>
    </row>
    <row r="577" spans="14:14" ht="14.25" customHeight="1" x14ac:dyDescent="0.2">
      <c r="N577" s="299"/>
    </row>
    <row r="578" spans="14:14" ht="14.25" customHeight="1" x14ac:dyDescent="0.2">
      <c r="N578" s="299"/>
    </row>
    <row r="579" spans="14:14" ht="14.25" customHeight="1" x14ac:dyDescent="0.2">
      <c r="N579" s="299"/>
    </row>
    <row r="580" spans="14:14" ht="14.25" customHeight="1" x14ac:dyDescent="0.2">
      <c r="N580" s="299"/>
    </row>
    <row r="581" spans="14:14" ht="14.25" customHeight="1" x14ac:dyDescent="0.2">
      <c r="N581" s="299"/>
    </row>
    <row r="582" spans="14:14" ht="14.25" customHeight="1" x14ac:dyDescent="0.2">
      <c r="N582" s="299"/>
    </row>
    <row r="583" spans="14:14" ht="14.25" customHeight="1" x14ac:dyDescent="0.2">
      <c r="N583" s="299"/>
    </row>
    <row r="584" spans="14:14" ht="14.25" customHeight="1" x14ac:dyDescent="0.2">
      <c r="N584" s="299"/>
    </row>
    <row r="585" spans="14:14" ht="14.25" customHeight="1" x14ac:dyDescent="0.2">
      <c r="N585" s="299"/>
    </row>
    <row r="586" spans="14:14" ht="14.25" customHeight="1" x14ac:dyDescent="0.2">
      <c r="N586" s="299"/>
    </row>
    <row r="587" spans="14:14" ht="14.25" customHeight="1" x14ac:dyDescent="0.2">
      <c r="N587" s="299"/>
    </row>
    <row r="588" spans="14:14" ht="14.25" customHeight="1" x14ac:dyDescent="0.2">
      <c r="N588" s="299"/>
    </row>
    <row r="589" spans="14:14" ht="14.25" customHeight="1" x14ac:dyDescent="0.2">
      <c r="N589" s="299"/>
    </row>
    <row r="590" spans="14:14" ht="14.25" customHeight="1" x14ac:dyDescent="0.2">
      <c r="N590" s="299"/>
    </row>
    <row r="591" spans="14:14" ht="14.25" customHeight="1" x14ac:dyDescent="0.2">
      <c r="N591" s="299"/>
    </row>
    <row r="592" spans="14:14" ht="14.25" customHeight="1" x14ac:dyDescent="0.2">
      <c r="N592" s="299"/>
    </row>
    <row r="593" spans="14:14" ht="14.25" customHeight="1" x14ac:dyDescent="0.2">
      <c r="N593" s="299"/>
    </row>
    <row r="594" spans="14:14" ht="14.25" customHeight="1" x14ac:dyDescent="0.2">
      <c r="N594" s="299"/>
    </row>
    <row r="595" spans="14:14" ht="14.25" customHeight="1" x14ac:dyDescent="0.2">
      <c r="N595" s="299"/>
    </row>
    <row r="596" spans="14:14" ht="14.25" customHeight="1" x14ac:dyDescent="0.2">
      <c r="N596" s="299"/>
    </row>
    <row r="597" spans="14:14" ht="14.25" customHeight="1" x14ac:dyDescent="0.2">
      <c r="N597" s="299"/>
    </row>
    <row r="598" spans="14:14" ht="14.25" customHeight="1" x14ac:dyDescent="0.2">
      <c r="N598" s="299"/>
    </row>
    <row r="599" spans="14:14" ht="14.25" customHeight="1" x14ac:dyDescent="0.2">
      <c r="N599" s="299"/>
    </row>
    <row r="600" spans="14:14" ht="14.25" customHeight="1" x14ac:dyDescent="0.2">
      <c r="N600" s="299"/>
    </row>
    <row r="601" spans="14:14" ht="14.25" customHeight="1" x14ac:dyDescent="0.2">
      <c r="N601" s="299"/>
    </row>
    <row r="602" spans="14:14" ht="14.25" customHeight="1" x14ac:dyDescent="0.2">
      <c r="N602" s="299"/>
    </row>
    <row r="603" spans="14:14" ht="14.25" customHeight="1" x14ac:dyDescent="0.2">
      <c r="N603" s="299"/>
    </row>
    <row r="604" spans="14:14" ht="14.25" customHeight="1" x14ac:dyDescent="0.2">
      <c r="N604" s="299"/>
    </row>
    <row r="605" spans="14:14" ht="14.25" customHeight="1" x14ac:dyDescent="0.2">
      <c r="N605" s="299"/>
    </row>
    <row r="606" spans="14:14" ht="14.25" customHeight="1" x14ac:dyDescent="0.2">
      <c r="N606" s="299"/>
    </row>
    <row r="607" spans="14:14" ht="14.25" customHeight="1" x14ac:dyDescent="0.2">
      <c r="N607" s="299"/>
    </row>
    <row r="608" spans="14:14" ht="14.25" customHeight="1" x14ac:dyDescent="0.2">
      <c r="N608" s="299"/>
    </row>
    <row r="609" spans="14:14" ht="14.25" customHeight="1" x14ac:dyDescent="0.2">
      <c r="N609" s="299"/>
    </row>
    <row r="610" spans="14:14" ht="14.25" customHeight="1" x14ac:dyDescent="0.2">
      <c r="N610" s="299"/>
    </row>
    <row r="611" spans="14:14" ht="14.25" customHeight="1" x14ac:dyDescent="0.2">
      <c r="N611" s="299"/>
    </row>
    <row r="612" spans="14:14" ht="14.25" customHeight="1" x14ac:dyDescent="0.2">
      <c r="N612" s="299"/>
    </row>
    <row r="613" spans="14:14" ht="14.25" customHeight="1" x14ac:dyDescent="0.2">
      <c r="N613" s="299"/>
    </row>
    <row r="614" spans="14:14" ht="14.25" customHeight="1" x14ac:dyDescent="0.2">
      <c r="N614" s="299"/>
    </row>
    <row r="615" spans="14:14" ht="14.25" customHeight="1" x14ac:dyDescent="0.2">
      <c r="N615" s="299"/>
    </row>
    <row r="616" spans="14:14" ht="14.25" customHeight="1" x14ac:dyDescent="0.2">
      <c r="N616" s="299"/>
    </row>
    <row r="617" spans="14:14" ht="14.25" customHeight="1" x14ac:dyDescent="0.2">
      <c r="N617" s="299"/>
    </row>
    <row r="618" spans="14:14" ht="14.25" customHeight="1" x14ac:dyDescent="0.2">
      <c r="N618" s="299"/>
    </row>
    <row r="619" spans="14:14" ht="14.25" customHeight="1" x14ac:dyDescent="0.2">
      <c r="N619" s="299"/>
    </row>
    <row r="620" spans="14:14" ht="14.25" customHeight="1" x14ac:dyDescent="0.2">
      <c r="N620" s="299"/>
    </row>
    <row r="621" spans="14:14" ht="14.25" customHeight="1" x14ac:dyDescent="0.2">
      <c r="N621" s="299"/>
    </row>
    <row r="622" spans="14:14" ht="14.25" customHeight="1" x14ac:dyDescent="0.2">
      <c r="N622" s="299"/>
    </row>
    <row r="623" spans="14:14" ht="14.25" customHeight="1" x14ac:dyDescent="0.2">
      <c r="N623" s="299"/>
    </row>
    <row r="624" spans="14:14" ht="14.25" customHeight="1" x14ac:dyDescent="0.2">
      <c r="N624" s="299"/>
    </row>
    <row r="625" spans="14:14" ht="14.25" customHeight="1" x14ac:dyDescent="0.2">
      <c r="N625" s="299"/>
    </row>
    <row r="626" spans="14:14" ht="14.25" customHeight="1" x14ac:dyDescent="0.2">
      <c r="N626" s="299"/>
    </row>
    <row r="627" spans="14:14" ht="14.25" customHeight="1" x14ac:dyDescent="0.2">
      <c r="N627" s="299"/>
    </row>
    <row r="628" spans="14:14" ht="14.25" customHeight="1" x14ac:dyDescent="0.2">
      <c r="N628" s="299"/>
    </row>
    <row r="629" spans="14:14" ht="14.25" customHeight="1" x14ac:dyDescent="0.2">
      <c r="N629" s="299"/>
    </row>
    <row r="630" spans="14:14" ht="14.25" customHeight="1" x14ac:dyDescent="0.2">
      <c r="N630" s="299"/>
    </row>
    <row r="631" spans="14:14" ht="14.25" customHeight="1" x14ac:dyDescent="0.2">
      <c r="N631" s="299"/>
    </row>
    <row r="632" spans="14:14" ht="14.25" customHeight="1" x14ac:dyDescent="0.2">
      <c r="N632" s="299"/>
    </row>
    <row r="633" spans="14:14" ht="14.25" customHeight="1" x14ac:dyDescent="0.2">
      <c r="N633" s="299"/>
    </row>
    <row r="634" spans="14:14" ht="14.25" customHeight="1" x14ac:dyDescent="0.2">
      <c r="N634" s="299"/>
    </row>
    <row r="635" spans="14:14" ht="14.25" customHeight="1" x14ac:dyDescent="0.2">
      <c r="N635" s="299"/>
    </row>
    <row r="636" spans="14:14" ht="14.25" customHeight="1" x14ac:dyDescent="0.2">
      <c r="N636" s="299"/>
    </row>
    <row r="637" spans="14:14" ht="14.25" customHeight="1" x14ac:dyDescent="0.2">
      <c r="N637" s="299"/>
    </row>
    <row r="638" spans="14:14" ht="14.25" customHeight="1" x14ac:dyDescent="0.2">
      <c r="N638" s="299"/>
    </row>
    <row r="639" spans="14:14" ht="14.25" customHeight="1" x14ac:dyDescent="0.2">
      <c r="N639" s="299"/>
    </row>
    <row r="640" spans="14:14" ht="14.25" customHeight="1" x14ac:dyDescent="0.2">
      <c r="N640" s="299"/>
    </row>
    <row r="641" spans="14:14" ht="14.25" customHeight="1" x14ac:dyDescent="0.2">
      <c r="N641" s="299"/>
    </row>
    <row r="642" spans="14:14" ht="14.25" customHeight="1" x14ac:dyDescent="0.2">
      <c r="N642" s="299"/>
    </row>
    <row r="643" spans="14:14" ht="14.25" customHeight="1" x14ac:dyDescent="0.2">
      <c r="N643" s="299"/>
    </row>
    <row r="644" spans="14:14" ht="14.25" customHeight="1" x14ac:dyDescent="0.2">
      <c r="N644" s="299"/>
    </row>
    <row r="645" spans="14:14" ht="14.25" customHeight="1" x14ac:dyDescent="0.2">
      <c r="N645" s="299"/>
    </row>
    <row r="646" spans="14:14" ht="14.25" customHeight="1" x14ac:dyDescent="0.2">
      <c r="N646" s="299"/>
    </row>
    <row r="647" spans="14:14" ht="14.25" customHeight="1" x14ac:dyDescent="0.2">
      <c r="N647" s="299"/>
    </row>
    <row r="648" spans="14:14" ht="14.25" customHeight="1" x14ac:dyDescent="0.2">
      <c r="N648" s="299"/>
    </row>
    <row r="649" spans="14:14" ht="14.25" customHeight="1" x14ac:dyDescent="0.2">
      <c r="N649" s="299"/>
    </row>
    <row r="650" spans="14:14" ht="14.25" customHeight="1" x14ac:dyDescent="0.2">
      <c r="N650" s="299"/>
    </row>
    <row r="651" spans="14:14" ht="14.25" customHeight="1" x14ac:dyDescent="0.2">
      <c r="N651" s="299"/>
    </row>
    <row r="652" spans="14:14" ht="14.25" customHeight="1" x14ac:dyDescent="0.2">
      <c r="N652" s="299"/>
    </row>
    <row r="653" spans="14:14" ht="14.25" customHeight="1" x14ac:dyDescent="0.2">
      <c r="N653" s="299"/>
    </row>
    <row r="654" spans="14:14" ht="14.25" customHeight="1" x14ac:dyDescent="0.2">
      <c r="N654" s="299"/>
    </row>
    <row r="655" spans="14:14" ht="14.25" customHeight="1" x14ac:dyDescent="0.2">
      <c r="N655" s="299"/>
    </row>
    <row r="656" spans="14:14" ht="14.25" customHeight="1" x14ac:dyDescent="0.2">
      <c r="N656" s="299"/>
    </row>
    <row r="657" spans="14:14" ht="14.25" customHeight="1" x14ac:dyDescent="0.2">
      <c r="N657" s="299"/>
    </row>
    <row r="658" spans="14:14" ht="14.25" customHeight="1" x14ac:dyDescent="0.2">
      <c r="N658" s="299"/>
    </row>
    <row r="659" spans="14:14" ht="14.25" customHeight="1" x14ac:dyDescent="0.2">
      <c r="N659" s="299"/>
    </row>
    <row r="660" spans="14:14" ht="14.25" customHeight="1" x14ac:dyDescent="0.2">
      <c r="N660" s="299"/>
    </row>
    <row r="661" spans="14:14" ht="14.25" customHeight="1" x14ac:dyDescent="0.2">
      <c r="N661" s="299"/>
    </row>
    <row r="662" spans="14:14" ht="14.25" customHeight="1" x14ac:dyDescent="0.2">
      <c r="N662" s="299"/>
    </row>
    <row r="663" spans="14:14" ht="14.25" customHeight="1" x14ac:dyDescent="0.2">
      <c r="N663" s="299"/>
    </row>
    <row r="664" spans="14:14" ht="14.25" customHeight="1" x14ac:dyDescent="0.2">
      <c r="N664" s="299"/>
    </row>
    <row r="665" spans="14:14" ht="14.25" customHeight="1" x14ac:dyDescent="0.2">
      <c r="N665" s="299"/>
    </row>
    <row r="666" spans="14:14" ht="14.25" customHeight="1" x14ac:dyDescent="0.2">
      <c r="N666" s="299"/>
    </row>
    <row r="667" spans="14:14" ht="14.25" customHeight="1" x14ac:dyDescent="0.2">
      <c r="N667" s="299"/>
    </row>
    <row r="668" spans="14:14" ht="14.25" customHeight="1" x14ac:dyDescent="0.2">
      <c r="N668" s="299"/>
    </row>
    <row r="669" spans="14:14" ht="14.25" customHeight="1" x14ac:dyDescent="0.2">
      <c r="N669" s="299"/>
    </row>
    <row r="670" spans="14:14" ht="14.25" customHeight="1" x14ac:dyDescent="0.2">
      <c r="N670" s="299"/>
    </row>
    <row r="671" spans="14:14" ht="14.25" customHeight="1" x14ac:dyDescent="0.2">
      <c r="N671" s="299"/>
    </row>
    <row r="672" spans="14:14" ht="14.25" customHeight="1" x14ac:dyDescent="0.2">
      <c r="N672" s="299"/>
    </row>
    <row r="673" spans="14:14" ht="14.25" customHeight="1" x14ac:dyDescent="0.2">
      <c r="N673" s="299"/>
    </row>
    <row r="674" spans="14:14" ht="14.25" customHeight="1" x14ac:dyDescent="0.2">
      <c r="N674" s="299"/>
    </row>
    <row r="675" spans="14:14" ht="14.25" customHeight="1" x14ac:dyDescent="0.2">
      <c r="N675" s="299"/>
    </row>
    <row r="676" spans="14:14" ht="14.25" customHeight="1" x14ac:dyDescent="0.2">
      <c r="N676" s="299"/>
    </row>
    <row r="677" spans="14:14" ht="14.25" customHeight="1" x14ac:dyDescent="0.2">
      <c r="N677" s="299"/>
    </row>
    <row r="678" spans="14:14" ht="14.25" customHeight="1" x14ac:dyDescent="0.2">
      <c r="N678" s="299"/>
    </row>
    <row r="679" spans="14:14" ht="14.25" customHeight="1" x14ac:dyDescent="0.2">
      <c r="N679" s="299"/>
    </row>
    <row r="680" spans="14:14" ht="14.25" customHeight="1" x14ac:dyDescent="0.2">
      <c r="N680" s="299"/>
    </row>
    <row r="681" spans="14:14" ht="14.25" customHeight="1" x14ac:dyDescent="0.2">
      <c r="N681" s="299"/>
    </row>
    <row r="682" spans="14:14" ht="14.25" customHeight="1" x14ac:dyDescent="0.2">
      <c r="N682" s="299"/>
    </row>
    <row r="683" spans="14:14" ht="14.25" customHeight="1" x14ac:dyDescent="0.2">
      <c r="N683" s="299"/>
    </row>
    <row r="684" spans="14:14" ht="14.25" customHeight="1" x14ac:dyDescent="0.2">
      <c r="N684" s="299"/>
    </row>
    <row r="685" spans="14:14" ht="14.25" customHeight="1" x14ac:dyDescent="0.2">
      <c r="N685" s="299"/>
    </row>
    <row r="686" spans="14:14" ht="14.25" customHeight="1" x14ac:dyDescent="0.2">
      <c r="N686" s="299"/>
    </row>
    <row r="687" spans="14:14" ht="14.25" customHeight="1" x14ac:dyDescent="0.2">
      <c r="N687" s="299"/>
    </row>
    <row r="688" spans="14:14" ht="14.25" customHeight="1" x14ac:dyDescent="0.2">
      <c r="N688" s="299"/>
    </row>
    <row r="689" spans="14:14" ht="14.25" customHeight="1" x14ac:dyDescent="0.2">
      <c r="N689" s="299"/>
    </row>
    <row r="690" spans="14:14" ht="14.25" customHeight="1" x14ac:dyDescent="0.2">
      <c r="N690" s="299"/>
    </row>
    <row r="691" spans="14:14" ht="14.25" customHeight="1" x14ac:dyDescent="0.2">
      <c r="N691" s="299"/>
    </row>
    <row r="692" spans="14:14" ht="14.25" customHeight="1" x14ac:dyDescent="0.2">
      <c r="N692" s="299"/>
    </row>
    <row r="693" spans="14:14" ht="14.25" customHeight="1" x14ac:dyDescent="0.2">
      <c r="N693" s="299"/>
    </row>
    <row r="694" spans="14:14" ht="14.25" customHeight="1" x14ac:dyDescent="0.2">
      <c r="N694" s="299"/>
    </row>
    <row r="695" spans="14:14" ht="14.25" customHeight="1" x14ac:dyDescent="0.2">
      <c r="N695" s="299"/>
    </row>
    <row r="696" spans="14:14" ht="14.25" customHeight="1" x14ac:dyDescent="0.2">
      <c r="N696" s="299"/>
    </row>
    <row r="697" spans="14:14" ht="14.25" customHeight="1" x14ac:dyDescent="0.2">
      <c r="N697" s="299"/>
    </row>
    <row r="698" spans="14:14" ht="14.25" customHeight="1" x14ac:dyDescent="0.2">
      <c r="N698" s="299"/>
    </row>
    <row r="699" spans="14:14" ht="14.25" customHeight="1" x14ac:dyDescent="0.2">
      <c r="N699" s="299"/>
    </row>
    <row r="700" spans="14:14" ht="14.25" customHeight="1" x14ac:dyDescent="0.2">
      <c r="N700" s="299"/>
    </row>
    <row r="701" spans="14:14" ht="14.25" customHeight="1" x14ac:dyDescent="0.2">
      <c r="N701" s="299"/>
    </row>
    <row r="702" spans="14:14" ht="14.25" customHeight="1" x14ac:dyDescent="0.2">
      <c r="N702" s="299"/>
    </row>
    <row r="703" spans="14:14" ht="14.25" customHeight="1" x14ac:dyDescent="0.2">
      <c r="N703" s="299"/>
    </row>
    <row r="704" spans="14:14" ht="14.25" customHeight="1" x14ac:dyDescent="0.2">
      <c r="N704" s="299"/>
    </row>
    <row r="705" spans="14:14" ht="14.25" customHeight="1" x14ac:dyDescent="0.2">
      <c r="N705" s="299"/>
    </row>
    <row r="706" spans="14:14" ht="14.25" customHeight="1" x14ac:dyDescent="0.2">
      <c r="N706" s="299"/>
    </row>
    <row r="707" spans="14:14" ht="14.25" customHeight="1" x14ac:dyDescent="0.2">
      <c r="N707" s="299"/>
    </row>
    <row r="708" spans="14:14" ht="14.25" customHeight="1" x14ac:dyDescent="0.2">
      <c r="N708" s="299"/>
    </row>
    <row r="709" spans="14:14" ht="14.25" customHeight="1" x14ac:dyDescent="0.2">
      <c r="N709" s="299"/>
    </row>
    <row r="710" spans="14:14" ht="14.25" customHeight="1" x14ac:dyDescent="0.2">
      <c r="N710" s="299"/>
    </row>
    <row r="711" spans="14:14" ht="14.25" customHeight="1" x14ac:dyDescent="0.2">
      <c r="N711" s="299"/>
    </row>
    <row r="712" spans="14:14" ht="14.25" customHeight="1" x14ac:dyDescent="0.2">
      <c r="N712" s="299"/>
    </row>
    <row r="713" spans="14:14" ht="14.25" customHeight="1" x14ac:dyDescent="0.2">
      <c r="N713" s="299"/>
    </row>
    <row r="714" spans="14:14" ht="14.25" customHeight="1" x14ac:dyDescent="0.2">
      <c r="N714" s="299"/>
    </row>
    <row r="715" spans="14:14" ht="14.25" customHeight="1" x14ac:dyDescent="0.2">
      <c r="N715" s="299"/>
    </row>
    <row r="716" spans="14:14" ht="14.25" customHeight="1" x14ac:dyDescent="0.2">
      <c r="N716" s="299"/>
    </row>
    <row r="717" spans="14:14" ht="14.25" customHeight="1" x14ac:dyDescent="0.2">
      <c r="N717" s="299"/>
    </row>
    <row r="718" spans="14:14" ht="14.25" customHeight="1" x14ac:dyDescent="0.2">
      <c r="N718" s="299"/>
    </row>
    <row r="719" spans="14:14" ht="14.25" customHeight="1" x14ac:dyDescent="0.2">
      <c r="N719" s="299"/>
    </row>
    <row r="720" spans="14:14" ht="14.25" customHeight="1" x14ac:dyDescent="0.2">
      <c r="N720" s="299"/>
    </row>
    <row r="721" spans="14:14" ht="14.25" customHeight="1" x14ac:dyDescent="0.2">
      <c r="N721" s="299"/>
    </row>
    <row r="722" spans="14:14" ht="14.25" customHeight="1" x14ac:dyDescent="0.2">
      <c r="N722" s="299"/>
    </row>
    <row r="723" spans="14:14" ht="14.25" customHeight="1" x14ac:dyDescent="0.2">
      <c r="N723" s="299"/>
    </row>
    <row r="724" spans="14:14" ht="14.25" customHeight="1" x14ac:dyDescent="0.2">
      <c r="N724" s="299"/>
    </row>
    <row r="725" spans="14:14" ht="14.25" customHeight="1" x14ac:dyDescent="0.2">
      <c r="N725" s="299"/>
    </row>
    <row r="726" spans="14:14" ht="14.25" customHeight="1" x14ac:dyDescent="0.2">
      <c r="N726" s="299"/>
    </row>
    <row r="727" spans="14:14" ht="14.25" customHeight="1" x14ac:dyDescent="0.2">
      <c r="N727" s="299"/>
    </row>
    <row r="728" spans="14:14" ht="14.25" customHeight="1" x14ac:dyDescent="0.2">
      <c r="N728" s="299"/>
    </row>
    <row r="729" spans="14:14" ht="14.25" customHeight="1" x14ac:dyDescent="0.2">
      <c r="N729" s="299"/>
    </row>
    <row r="730" spans="14:14" ht="14.25" customHeight="1" x14ac:dyDescent="0.2">
      <c r="N730" s="299"/>
    </row>
    <row r="731" spans="14:14" ht="14.25" customHeight="1" x14ac:dyDescent="0.2">
      <c r="N731" s="299"/>
    </row>
    <row r="732" spans="14:14" ht="14.25" customHeight="1" x14ac:dyDescent="0.2">
      <c r="N732" s="299"/>
    </row>
    <row r="733" spans="14:14" ht="14.25" customHeight="1" x14ac:dyDescent="0.2">
      <c r="N733" s="299"/>
    </row>
    <row r="734" spans="14:14" ht="14.25" customHeight="1" x14ac:dyDescent="0.2">
      <c r="N734" s="299"/>
    </row>
    <row r="735" spans="14:14" ht="14.25" customHeight="1" x14ac:dyDescent="0.2">
      <c r="N735" s="299"/>
    </row>
    <row r="736" spans="14:14" ht="14.25" customHeight="1" x14ac:dyDescent="0.2">
      <c r="N736" s="299"/>
    </row>
    <row r="737" spans="14:14" ht="14.25" customHeight="1" x14ac:dyDescent="0.2">
      <c r="N737" s="299"/>
    </row>
    <row r="738" spans="14:14" ht="14.25" customHeight="1" x14ac:dyDescent="0.2">
      <c r="N738" s="299"/>
    </row>
    <row r="739" spans="14:14" ht="14.25" customHeight="1" x14ac:dyDescent="0.2">
      <c r="N739" s="299"/>
    </row>
    <row r="740" spans="14:14" ht="14.25" customHeight="1" x14ac:dyDescent="0.2">
      <c r="N740" s="299"/>
    </row>
    <row r="741" spans="14:14" ht="14.25" customHeight="1" x14ac:dyDescent="0.2">
      <c r="N741" s="299"/>
    </row>
    <row r="742" spans="14:14" ht="14.25" customHeight="1" x14ac:dyDescent="0.2">
      <c r="N742" s="299"/>
    </row>
    <row r="743" spans="14:14" ht="14.25" customHeight="1" x14ac:dyDescent="0.2">
      <c r="N743" s="299"/>
    </row>
    <row r="744" spans="14:14" ht="14.25" customHeight="1" x14ac:dyDescent="0.2">
      <c r="N744" s="299"/>
    </row>
    <row r="745" spans="14:14" ht="14.25" customHeight="1" x14ac:dyDescent="0.2">
      <c r="N745" s="299"/>
    </row>
    <row r="746" spans="14:14" ht="14.25" customHeight="1" x14ac:dyDescent="0.2">
      <c r="N746" s="299"/>
    </row>
    <row r="747" spans="14:14" ht="14.25" customHeight="1" x14ac:dyDescent="0.2">
      <c r="N747" s="299"/>
    </row>
    <row r="748" spans="14:14" ht="14.25" customHeight="1" x14ac:dyDescent="0.2">
      <c r="N748" s="299"/>
    </row>
    <row r="749" spans="14:14" ht="14.25" customHeight="1" x14ac:dyDescent="0.2">
      <c r="N749" s="299"/>
    </row>
    <row r="750" spans="14:14" ht="14.25" customHeight="1" x14ac:dyDescent="0.2">
      <c r="N750" s="299"/>
    </row>
    <row r="751" spans="14:14" ht="14.25" customHeight="1" x14ac:dyDescent="0.2">
      <c r="N751" s="299"/>
    </row>
    <row r="752" spans="14:14" ht="14.25" customHeight="1" x14ac:dyDescent="0.2">
      <c r="N752" s="299"/>
    </row>
    <row r="753" spans="14:14" ht="14.25" customHeight="1" x14ac:dyDescent="0.2">
      <c r="N753" s="299"/>
    </row>
    <row r="754" spans="14:14" ht="14.25" customHeight="1" x14ac:dyDescent="0.2">
      <c r="N754" s="299"/>
    </row>
    <row r="755" spans="14:14" ht="14.25" customHeight="1" x14ac:dyDescent="0.2">
      <c r="N755" s="299"/>
    </row>
    <row r="756" spans="14:14" ht="14.25" customHeight="1" x14ac:dyDescent="0.2">
      <c r="N756" s="299"/>
    </row>
    <row r="757" spans="14:14" ht="14.25" customHeight="1" x14ac:dyDescent="0.2">
      <c r="N757" s="299"/>
    </row>
    <row r="758" spans="14:14" ht="14.25" customHeight="1" x14ac:dyDescent="0.2">
      <c r="N758" s="299"/>
    </row>
    <row r="759" spans="14:14" ht="14.25" customHeight="1" x14ac:dyDescent="0.2">
      <c r="N759" s="299"/>
    </row>
    <row r="760" spans="14:14" ht="14.25" customHeight="1" x14ac:dyDescent="0.2">
      <c r="N760" s="299"/>
    </row>
    <row r="761" spans="14:14" ht="14.25" customHeight="1" x14ac:dyDescent="0.2">
      <c r="N761" s="299"/>
    </row>
    <row r="762" spans="14:14" ht="14.25" customHeight="1" x14ac:dyDescent="0.2">
      <c r="N762" s="299"/>
    </row>
    <row r="763" spans="14:14" ht="14.25" customHeight="1" x14ac:dyDescent="0.2">
      <c r="N763" s="299"/>
    </row>
    <row r="764" spans="14:14" ht="14.25" customHeight="1" x14ac:dyDescent="0.2">
      <c r="N764" s="299"/>
    </row>
    <row r="765" spans="14:14" ht="14.25" customHeight="1" x14ac:dyDescent="0.2">
      <c r="N765" s="299"/>
    </row>
    <row r="766" spans="14:14" ht="14.25" customHeight="1" x14ac:dyDescent="0.2">
      <c r="N766" s="299"/>
    </row>
    <row r="767" spans="14:14" ht="14.25" customHeight="1" x14ac:dyDescent="0.2">
      <c r="N767" s="299"/>
    </row>
    <row r="768" spans="14:14" ht="14.25" customHeight="1" x14ac:dyDescent="0.2">
      <c r="N768" s="299"/>
    </row>
    <row r="769" spans="14:14" ht="14.25" customHeight="1" x14ac:dyDescent="0.2">
      <c r="N769" s="299"/>
    </row>
    <row r="770" spans="14:14" ht="14.25" customHeight="1" x14ac:dyDescent="0.2">
      <c r="N770" s="299"/>
    </row>
    <row r="771" spans="14:14" ht="14.25" customHeight="1" x14ac:dyDescent="0.2">
      <c r="N771" s="299"/>
    </row>
    <row r="772" spans="14:14" ht="14.25" customHeight="1" x14ac:dyDescent="0.2">
      <c r="N772" s="299"/>
    </row>
    <row r="773" spans="14:14" ht="14.25" customHeight="1" x14ac:dyDescent="0.2">
      <c r="N773" s="299"/>
    </row>
    <row r="774" spans="14:14" ht="14.25" customHeight="1" x14ac:dyDescent="0.2">
      <c r="N774" s="299"/>
    </row>
    <row r="775" spans="14:14" ht="14.25" customHeight="1" x14ac:dyDescent="0.2">
      <c r="N775" s="299"/>
    </row>
    <row r="776" spans="14:14" ht="14.25" customHeight="1" x14ac:dyDescent="0.2">
      <c r="N776" s="299"/>
    </row>
    <row r="777" spans="14:14" ht="14.25" customHeight="1" x14ac:dyDescent="0.2">
      <c r="N777" s="299"/>
    </row>
    <row r="778" spans="14:14" ht="14.25" customHeight="1" x14ac:dyDescent="0.2">
      <c r="N778" s="299"/>
    </row>
    <row r="779" spans="14:14" ht="14.25" customHeight="1" x14ac:dyDescent="0.2">
      <c r="N779" s="299"/>
    </row>
    <row r="780" spans="14:14" ht="14.25" customHeight="1" x14ac:dyDescent="0.2">
      <c r="N780" s="299"/>
    </row>
    <row r="781" spans="14:14" ht="14.25" customHeight="1" x14ac:dyDescent="0.2">
      <c r="N781" s="299"/>
    </row>
    <row r="782" spans="14:14" ht="14.25" customHeight="1" x14ac:dyDescent="0.2">
      <c r="N782" s="299"/>
    </row>
    <row r="783" spans="14:14" ht="14.25" customHeight="1" x14ac:dyDescent="0.2">
      <c r="N783" s="299"/>
    </row>
    <row r="784" spans="14:14" ht="14.25" customHeight="1" x14ac:dyDescent="0.2">
      <c r="N784" s="299"/>
    </row>
    <row r="785" spans="14:14" ht="14.25" customHeight="1" x14ac:dyDescent="0.2">
      <c r="N785" s="299"/>
    </row>
    <row r="786" spans="14:14" ht="14.25" customHeight="1" x14ac:dyDescent="0.2">
      <c r="N786" s="299"/>
    </row>
    <row r="787" spans="14:14" ht="14.25" customHeight="1" x14ac:dyDescent="0.2">
      <c r="N787" s="299"/>
    </row>
    <row r="788" spans="14:14" ht="14.25" customHeight="1" x14ac:dyDescent="0.2">
      <c r="N788" s="299"/>
    </row>
    <row r="789" spans="14:14" ht="14.25" customHeight="1" x14ac:dyDescent="0.2">
      <c r="N789" s="299"/>
    </row>
    <row r="790" spans="14:14" ht="14.25" customHeight="1" x14ac:dyDescent="0.2">
      <c r="N790" s="299"/>
    </row>
    <row r="791" spans="14:14" ht="14.25" customHeight="1" x14ac:dyDescent="0.2">
      <c r="N791" s="299"/>
    </row>
    <row r="792" spans="14:14" ht="14.25" customHeight="1" x14ac:dyDescent="0.2">
      <c r="N792" s="299"/>
    </row>
    <row r="793" spans="14:14" ht="14.25" customHeight="1" x14ac:dyDescent="0.2">
      <c r="N793" s="299"/>
    </row>
    <row r="794" spans="14:14" ht="14.25" customHeight="1" x14ac:dyDescent="0.2">
      <c r="N794" s="299"/>
    </row>
    <row r="795" spans="14:14" ht="14.25" customHeight="1" x14ac:dyDescent="0.2">
      <c r="N795" s="299"/>
    </row>
    <row r="796" spans="14:14" ht="14.25" customHeight="1" x14ac:dyDescent="0.2">
      <c r="N796" s="299"/>
    </row>
    <row r="797" spans="14:14" ht="14.25" customHeight="1" x14ac:dyDescent="0.2">
      <c r="N797" s="299"/>
    </row>
    <row r="798" spans="14:14" ht="14.25" customHeight="1" x14ac:dyDescent="0.2">
      <c r="N798" s="299"/>
    </row>
    <row r="799" spans="14:14" ht="14.25" customHeight="1" x14ac:dyDescent="0.2">
      <c r="N799" s="299"/>
    </row>
    <row r="800" spans="14:14" ht="14.25" customHeight="1" x14ac:dyDescent="0.2">
      <c r="N800" s="299"/>
    </row>
    <row r="801" spans="14:14" ht="14.25" customHeight="1" x14ac:dyDescent="0.2">
      <c r="N801" s="299"/>
    </row>
    <row r="802" spans="14:14" ht="14.25" customHeight="1" x14ac:dyDescent="0.2">
      <c r="N802" s="299"/>
    </row>
    <row r="803" spans="14:14" ht="14.25" customHeight="1" x14ac:dyDescent="0.2">
      <c r="N803" s="299"/>
    </row>
    <row r="804" spans="14:14" ht="14.25" customHeight="1" x14ac:dyDescent="0.2">
      <c r="N804" s="299"/>
    </row>
    <row r="805" spans="14:14" ht="14.25" customHeight="1" x14ac:dyDescent="0.2">
      <c r="N805" s="299"/>
    </row>
    <row r="806" spans="14:14" ht="14.25" customHeight="1" x14ac:dyDescent="0.2">
      <c r="N806" s="299"/>
    </row>
    <row r="807" spans="14:14" ht="14.25" customHeight="1" x14ac:dyDescent="0.2">
      <c r="N807" s="299"/>
    </row>
    <row r="808" spans="14:14" ht="14.25" customHeight="1" x14ac:dyDescent="0.2">
      <c r="N808" s="299"/>
    </row>
    <row r="809" spans="14:14" ht="14.25" customHeight="1" x14ac:dyDescent="0.2">
      <c r="N809" s="299"/>
    </row>
    <row r="810" spans="14:14" ht="14.25" customHeight="1" x14ac:dyDescent="0.2">
      <c r="N810" s="299"/>
    </row>
    <row r="811" spans="14:14" ht="14.25" customHeight="1" x14ac:dyDescent="0.2">
      <c r="N811" s="299"/>
    </row>
    <row r="812" spans="14:14" ht="14.25" customHeight="1" x14ac:dyDescent="0.2">
      <c r="N812" s="299"/>
    </row>
    <row r="813" spans="14:14" ht="14.25" customHeight="1" x14ac:dyDescent="0.2">
      <c r="N813" s="299"/>
    </row>
    <row r="814" spans="14:14" ht="14.25" customHeight="1" x14ac:dyDescent="0.2">
      <c r="N814" s="299"/>
    </row>
    <row r="815" spans="14:14" ht="14.25" customHeight="1" x14ac:dyDescent="0.2">
      <c r="N815" s="299"/>
    </row>
    <row r="816" spans="14:14" ht="14.25" customHeight="1" x14ac:dyDescent="0.2">
      <c r="N816" s="299"/>
    </row>
    <row r="817" spans="14:14" ht="14.25" customHeight="1" x14ac:dyDescent="0.2">
      <c r="N817" s="299"/>
    </row>
    <row r="818" spans="14:14" ht="14.25" customHeight="1" x14ac:dyDescent="0.2">
      <c r="N818" s="299"/>
    </row>
    <row r="819" spans="14:14" ht="14.25" customHeight="1" x14ac:dyDescent="0.2">
      <c r="N819" s="299"/>
    </row>
    <row r="820" spans="14:14" ht="14.25" customHeight="1" x14ac:dyDescent="0.2">
      <c r="N820" s="299"/>
    </row>
    <row r="821" spans="14:14" ht="14.25" customHeight="1" x14ac:dyDescent="0.2">
      <c r="N821" s="299"/>
    </row>
    <row r="822" spans="14:14" ht="14.25" customHeight="1" x14ac:dyDescent="0.2">
      <c r="N822" s="299"/>
    </row>
    <row r="823" spans="14:14" ht="14.25" customHeight="1" x14ac:dyDescent="0.2">
      <c r="N823" s="299"/>
    </row>
    <row r="824" spans="14:14" ht="14.25" customHeight="1" x14ac:dyDescent="0.2">
      <c r="N824" s="299"/>
    </row>
    <row r="825" spans="14:14" ht="14.25" customHeight="1" x14ac:dyDescent="0.2">
      <c r="N825" s="299"/>
    </row>
    <row r="826" spans="14:14" ht="14.25" customHeight="1" x14ac:dyDescent="0.2">
      <c r="N826" s="299"/>
    </row>
    <row r="827" spans="14:14" ht="14.25" customHeight="1" x14ac:dyDescent="0.2">
      <c r="N827" s="299"/>
    </row>
    <row r="828" spans="14:14" ht="14.25" customHeight="1" x14ac:dyDescent="0.2">
      <c r="N828" s="299"/>
    </row>
    <row r="829" spans="14:14" ht="14.25" customHeight="1" x14ac:dyDescent="0.2">
      <c r="N829" s="299"/>
    </row>
    <row r="830" spans="14:14" ht="14.25" customHeight="1" x14ac:dyDescent="0.2">
      <c r="N830" s="299"/>
    </row>
    <row r="831" spans="14:14" ht="14.25" customHeight="1" x14ac:dyDescent="0.2">
      <c r="N831" s="299"/>
    </row>
    <row r="832" spans="14:14" ht="14.25" customHeight="1" x14ac:dyDescent="0.2">
      <c r="N832" s="299"/>
    </row>
    <row r="833" spans="14:14" ht="14.25" customHeight="1" x14ac:dyDescent="0.2">
      <c r="N833" s="299"/>
    </row>
    <row r="834" spans="14:14" ht="14.25" customHeight="1" x14ac:dyDescent="0.2">
      <c r="N834" s="299"/>
    </row>
    <row r="835" spans="14:14" ht="14.25" customHeight="1" x14ac:dyDescent="0.2">
      <c r="N835" s="299"/>
    </row>
    <row r="836" spans="14:14" ht="14.25" customHeight="1" x14ac:dyDescent="0.2">
      <c r="N836" s="299"/>
    </row>
    <row r="837" spans="14:14" ht="14.25" customHeight="1" x14ac:dyDescent="0.2">
      <c r="N837" s="299"/>
    </row>
    <row r="838" spans="14:14" ht="14.25" customHeight="1" x14ac:dyDescent="0.2">
      <c r="N838" s="299"/>
    </row>
    <row r="839" spans="14:14" ht="14.25" customHeight="1" x14ac:dyDescent="0.2">
      <c r="N839" s="299"/>
    </row>
    <row r="840" spans="14:14" ht="14.25" customHeight="1" x14ac:dyDescent="0.2">
      <c r="N840" s="299"/>
    </row>
    <row r="841" spans="14:14" ht="14.25" customHeight="1" x14ac:dyDescent="0.2">
      <c r="N841" s="299"/>
    </row>
    <row r="842" spans="14:14" ht="14.25" customHeight="1" x14ac:dyDescent="0.2">
      <c r="N842" s="299"/>
    </row>
    <row r="843" spans="14:14" ht="14.25" customHeight="1" x14ac:dyDescent="0.2">
      <c r="N843" s="299"/>
    </row>
    <row r="844" spans="14:14" ht="14.25" customHeight="1" x14ac:dyDescent="0.2">
      <c r="N844" s="299"/>
    </row>
    <row r="845" spans="14:14" ht="14.25" customHeight="1" x14ac:dyDescent="0.2">
      <c r="N845" s="299"/>
    </row>
    <row r="846" spans="14:14" ht="14.25" customHeight="1" x14ac:dyDescent="0.2">
      <c r="N846" s="299"/>
    </row>
    <row r="847" spans="14:14" ht="14.25" customHeight="1" x14ac:dyDescent="0.2">
      <c r="N847" s="299"/>
    </row>
    <row r="848" spans="14:14" ht="14.25" customHeight="1" x14ac:dyDescent="0.2">
      <c r="N848" s="299"/>
    </row>
    <row r="849" spans="14:14" ht="14.25" customHeight="1" x14ac:dyDescent="0.2">
      <c r="N849" s="299"/>
    </row>
    <row r="850" spans="14:14" ht="14.25" customHeight="1" x14ac:dyDescent="0.2">
      <c r="N850" s="299"/>
    </row>
    <row r="851" spans="14:14" ht="14.25" customHeight="1" x14ac:dyDescent="0.2">
      <c r="N851" s="299"/>
    </row>
    <row r="852" spans="14:14" ht="14.25" customHeight="1" x14ac:dyDescent="0.2">
      <c r="N852" s="299"/>
    </row>
    <row r="853" spans="14:14" ht="14.25" customHeight="1" x14ac:dyDescent="0.2">
      <c r="N853" s="299"/>
    </row>
    <row r="854" spans="14:14" ht="14.25" customHeight="1" x14ac:dyDescent="0.2">
      <c r="N854" s="299"/>
    </row>
    <row r="855" spans="14:14" ht="14.25" customHeight="1" x14ac:dyDescent="0.2">
      <c r="N855" s="299"/>
    </row>
    <row r="856" spans="14:14" ht="14.25" customHeight="1" x14ac:dyDescent="0.2">
      <c r="N856" s="299"/>
    </row>
    <row r="857" spans="14:14" ht="14.25" customHeight="1" x14ac:dyDescent="0.2">
      <c r="N857" s="299"/>
    </row>
    <row r="858" spans="14:14" ht="14.25" customHeight="1" x14ac:dyDescent="0.2">
      <c r="N858" s="299"/>
    </row>
    <row r="859" spans="14:14" ht="14.25" customHeight="1" x14ac:dyDescent="0.2">
      <c r="N859" s="299"/>
    </row>
    <row r="860" spans="14:14" ht="14.25" customHeight="1" x14ac:dyDescent="0.2">
      <c r="N860" s="299"/>
    </row>
    <row r="861" spans="14:14" ht="14.25" customHeight="1" x14ac:dyDescent="0.2">
      <c r="N861" s="299"/>
    </row>
    <row r="862" spans="14:14" ht="14.25" customHeight="1" x14ac:dyDescent="0.2">
      <c r="N862" s="299"/>
    </row>
    <row r="863" spans="14:14" ht="14.25" customHeight="1" x14ac:dyDescent="0.2">
      <c r="N863" s="299"/>
    </row>
    <row r="864" spans="14:14" ht="14.25" customHeight="1" x14ac:dyDescent="0.2">
      <c r="N864" s="299"/>
    </row>
    <row r="865" spans="14:14" ht="14.25" customHeight="1" x14ac:dyDescent="0.2">
      <c r="N865" s="299"/>
    </row>
    <row r="866" spans="14:14" ht="14.25" customHeight="1" x14ac:dyDescent="0.2">
      <c r="N866" s="299"/>
    </row>
    <row r="867" spans="14:14" ht="14.25" customHeight="1" x14ac:dyDescent="0.2">
      <c r="N867" s="299"/>
    </row>
    <row r="868" spans="14:14" ht="14.25" customHeight="1" x14ac:dyDescent="0.2">
      <c r="N868" s="299"/>
    </row>
    <row r="869" spans="14:14" ht="14.25" customHeight="1" x14ac:dyDescent="0.2">
      <c r="N869" s="299"/>
    </row>
    <row r="870" spans="14:14" ht="14.25" customHeight="1" x14ac:dyDescent="0.2">
      <c r="N870" s="299"/>
    </row>
    <row r="871" spans="14:14" ht="14.25" customHeight="1" x14ac:dyDescent="0.2">
      <c r="N871" s="299"/>
    </row>
    <row r="872" spans="14:14" ht="14.25" customHeight="1" x14ac:dyDescent="0.2">
      <c r="N872" s="299"/>
    </row>
    <row r="873" spans="14:14" ht="14.25" customHeight="1" x14ac:dyDescent="0.2">
      <c r="N873" s="299"/>
    </row>
    <row r="874" spans="14:14" ht="14.25" customHeight="1" x14ac:dyDescent="0.2">
      <c r="N874" s="299"/>
    </row>
    <row r="875" spans="14:14" ht="14.25" customHeight="1" x14ac:dyDescent="0.2">
      <c r="N875" s="299"/>
    </row>
    <row r="876" spans="14:14" ht="14.25" customHeight="1" x14ac:dyDescent="0.2">
      <c r="N876" s="299"/>
    </row>
    <row r="877" spans="14:14" ht="14.25" customHeight="1" x14ac:dyDescent="0.2">
      <c r="N877" s="299"/>
    </row>
    <row r="878" spans="14:14" ht="14.25" customHeight="1" x14ac:dyDescent="0.2">
      <c r="N878" s="299"/>
    </row>
    <row r="879" spans="14:14" ht="14.25" customHeight="1" x14ac:dyDescent="0.2">
      <c r="N879" s="299"/>
    </row>
    <row r="880" spans="14:14" ht="14.25" customHeight="1" x14ac:dyDescent="0.2">
      <c r="N880" s="299"/>
    </row>
    <row r="881" spans="14:14" ht="14.25" customHeight="1" x14ac:dyDescent="0.2">
      <c r="N881" s="299"/>
    </row>
    <row r="882" spans="14:14" ht="14.25" customHeight="1" x14ac:dyDescent="0.2">
      <c r="N882" s="299"/>
    </row>
    <row r="883" spans="14:14" ht="14.25" customHeight="1" x14ac:dyDescent="0.2">
      <c r="N883" s="299"/>
    </row>
    <row r="884" spans="14:14" ht="14.25" customHeight="1" x14ac:dyDescent="0.2">
      <c r="N884" s="299"/>
    </row>
    <row r="885" spans="14:14" ht="14.25" customHeight="1" x14ac:dyDescent="0.2">
      <c r="N885" s="299"/>
    </row>
    <row r="886" spans="14:14" ht="14.25" customHeight="1" x14ac:dyDescent="0.2">
      <c r="N886" s="299"/>
    </row>
    <row r="887" spans="14:14" ht="14.25" customHeight="1" x14ac:dyDescent="0.2">
      <c r="N887" s="299"/>
    </row>
    <row r="888" spans="14:14" ht="14.25" customHeight="1" x14ac:dyDescent="0.2">
      <c r="N888" s="299"/>
    </row>
    <row r="889" spans="14:14" ht="14.25" customHeight="1" x14ac:dyDescent="0.2">
      <c r="N889" s="299"/>
    </row>
    <row r="890" spans="14:14" ht="14.25" customHeight="1" x14ac:dyDescent="0.2">
      <c r="N890" s="299"/>
    </row>
    <row r="891" spans="14:14" ht="14.25" customHeight="1" x14ac:dyDescent="0.2">
      <c r="N891" s="299"/>
    </row>
    <row r="892" spans="14:14" ht="14.25" customHeight="1" x14ac:dyDescent="0.2">
      <c r="N892" s="299"/>
    </row>
    <row r="893" spans="14:14" ht="14.25" customHeight="1" x14ac:dyDescent="0.2">
      <c r="N893" s="299"/>
    </row>
    <row r="894" spans="14:14" ht="14.25" customHeight="1" x14ac:dyDescent="0.2">
      <c r="N894" s="299"/>
    </row>
    <row r="895" spans="14:14" ht="14.25" customHeight="1" x14ac:dyDescent="0.2">
      <c r="N895" s="299"/>
    </row>
    <row r="896" spans="14:14" ht="14.25" customHeight="1" x14ac:dyDescent="0.2">
      <c r="N896" s="299"/>
    </row>
    <row r="897" spans="14:14" ht="14.25" customHeight="1" x14ac:dyDescent="0.2">
      <c r="N897" s="299"/>
    </row>
    <row r="898" spans="14:14" ht="14.25" customHeight="1" x14ac:dyDescent="0.2">
      <c r="N898" s="299"/>
    </row>
    <row r="899" spans="14:14" ht="14.25" customHeight="1" x14ac:dyDescent="0.2">
      <c r="N899" s="299"/>
    </row>
    <row r="900" spans="14:14" ht="14.25" customHeight="1" x14ac:dyDescent="0.2">
      <c r="N900" s="299"/>
    </row>
    <row r="901" spans="14:14" ht="14.25" customHeight="1" x14ac:dyDescent="0.2">
      <c r="N901" s="299"/>
    </row>
    <row r="902" spans="14:14" ht="14.25" customHeight="1" x14ac:dyDescent="0.2">
      <c r="N902" s="299"/>
    </row>
    <row r="903" spans="14:14" ht="14.25" customHeight="1" x14ac:dyDescent="0.2">
      <c r="N903" s="299"/>
    </row>
    <row r="904" spans="14:14" ht="14.25" customHeight="1" x14ac:dyDescent="0.2">
      <c r="N904" s="299"/>
    </row>
    <row r="905" spans="14:14" ht="14.25" customHeight="1" x14ac:dyDescent="0.2">
      <c r="N905" s="299"/>
    </row>
    <row r="906" spans="14:14" ht="14.25" customHeight="1" x14ac:dyDescent="0.2">
      <c r="N906" s="299"/>
    </row>
    <row r="907" spans="14:14" ht="14.25" customHeight="1" x14ac:dyDescent="0.2">
      <c r="N907" s="299"/>
    </row>
    <row r="908" spans="14:14" ht="14.25" customHeight="1" x14ac:dyDescent="0.2">
      <c r="N908" s="299"/>
    </row>
    <row r="909" spans="14:14" ht="14.25" customHeight="1" x14ac:dyDescent="0.2">
      <c r="N909" s="299"/>
    </row>
    <row r="910" spans="14:14" ht="14.25" customHeight="1" x14ac:dyDescent="0.2">
      <c r="N910" s="299"/>
    </row>
    <row r="911" spans="14:14" ht="14.25" customHeight="1" x14ac:dyDescent="0.2">
      <c r="N911" s="299"/>
    </row>
    <row r="912" spans="14:14" ht="14.25" customHeight="1" x14ac:dyDescent="0.2">
      <c r="N912" s="299"/>
    </row>
    <row r="913" spans="14:14" ht="14.25" customHeight="1" x14ac:dyDescent="0.2">
      <c r="N913" s="299"/>
    </row>
    <row r="914" spans="14:14" ht="14.25" customHeight="1" x14ac:dyDescent="0.2">
      <c r="N914" s="299"/>
    </row>
    <row r="915" spans="14:14" ht="14.25" customHeight="1" x14ac:dyDescent="0.2">
      <c r="N915" s="299"/>
    </row>
    <row r="916" spans="14:14" ht="14.25" customHeight="1" x14ac:dyDescent="0.2">
      <c r="N916" s="299"/>
    </row>
    <row r="917" spans="14:14" ht="14.25" customHeight="1" x14ac:dyDescent="0.2">
      <c r="N917" s="299"/>
    </row>
    <row r="918" spans="14:14" ht="14.25" customHeight="1" x14ac:dyDescent="0.2">
      <c r="N918" s="299"/>
    </row>
    <row r="919" spans="14:14" ht="14.25" customHeight="1" x14ac:dyDescent="0.2">
      <c r="N919" s="299"/>
    </row>
    <row r="920" spans="14:14" ht="14.25" customHeight="1" x14ac:dyDescent="0.2">
      <c r="N920" s="299"/>
    </row>
    <row r="921" spans="14:14" ht="14.25" customHeight="1" x14ac:dyDescent="0.2">
      <c r="N921" s="299"/>
    </row>
    <row r="922" spans="14:14" ht="14.25" customHeight="1" x14ac:dyDescent="0.2">
      <c r="N922" s="299"/>
    </row>
    <row r="923" spans="14:14" ht="14.25" customHeight="1" x14ac:dyDescent="0.2">
      <c r="N923" s="299"/>
    </row>
    <row r="924" spans="14:14" ht="14.25" customHeight="1" x14ac:dyDescent="0.2">
      <c r="N924" s="299"/>
    </row>
    <row r="925" spans="14:14" ht="14.25" customHeight="1" x14ac:dyDescent="0.2">
      <c r="N925" s="299"/>
    </row>
    <row r="926" spans="14:14" ht="14.25" customHeight="1" x14ac:dyDescent="0.2">
      <c r="N926" s="299"/>
    </row>
    <row r="927" spans="14:14" ht="14.25" customHeight="1" x14ac:dyDescent="0.2">
      <c r="N927" s="299"/>
    </row>
    <row r="928" spans="14:14" ht="14.25" customHeight="1" x14ac:dyDescent="0.2">
      <c r="N928" s="299"/>
    </row>
    <row r="929" spans="14:14" ht="14.25" customHeight="1" x14ac:dyDescent="0.2">
      <c r="N929" s="299"/>
    </row>
    <row r="930" spans="14:14" ht="14.25" customHeight="1" x14ac:dyDescent="0.2">
      <c r="N930" s="299"/>
    </row>
    <row r="931" spans="14:14" ht="14.25" customHeight="1" x14ac:dyDescent="0.2">
      <c r="N931" s="299"/>
    </row>
    <row r="932" spans="14:14" ht="14.25" customHeight="1" x14ac:dyDescent="0.2">
      <c r="N932" s="299"/>
    </row>
    <row r="933" spans="14:14" ht="14.25" customHeight="1" x14ac:dyDescent="0.2">
      <c r="N933" s="299"/>
    </row>
    <row r="934" spans="14:14" ht="14.25" customHeight="1" x14ac:dyDescent="0.2">
      <c r="N934" s="299"/>
    </row>
    <row r="935" spans="14:14" ht="14.25" customHeight="1" x14ac:dyDescent="0.2">
      <c r="N935" s="299"/>
    </row>
    <row r="936" spans="14:14" ht="14.25" customHeight="1" x14ac:dyDescent="0.2">
      <c r="N936" s="299"/>
    </row>
    <row r="937" spans="14:14" ht="14.25" customHeight="1" x14ac:dyDescent="0.2">
      <c r="N937" s="299"/>
    </row>
    <row r="938" spans="14:14" ht="14.25" customHeight="1" x14ac:dyDescent="0.2">
      <c r="N938" s="299"/>
    </row>
    <row r="939" spans="14:14" ht="14.25" customHeight="1" x14ac:dyDescent="0.2">
      <c r="N939" s="299"/>
    </row>
    <row r="940" spans="14:14" ht="14.25" customHeight="1" x14ac:dyDescent="0.2">
      <c r="N940" s="299"/>
    </row>
    <row r="941" spans="14:14" ht="14.25" customHeight="1" x14ac:dyDescent="0.2">
      <c r="N941" s="299"/>
    </row>
    <row r="942" spans="14:14" ht="14.25" customHeight="1" x14ac:dyDescent="0.2">
      <c r="N942" s="299"/>
    </row>
    <row r="943" spans="14:14" ht="14.25" customHeight="1" x14ac:dyDescent="0.2">
      <c r="N943" s="299"/>
    </row>
    <row r="944" spans="14:14" ht="14.25" customHeight="1" x14ac:dyDescent="0.2">
      <c r="N944" s="299"/>
    </row>
    <row r="945" spans="14:14" ht="14.25" customHeight="1" x14ac:dyDescent="0.2">
      <c r="N945" s="299"/>
    </row>
    <row r="946" spans="14:14" ht="14.25" customHeight="1" x14ac:dyDescent="0.2">
      <c r="N946" s="299"/>
    </row>
    <row r="947" spans="14:14" ht="14.25" customHeight="1" x14ac:dyDescent="0.2">
      <c r="N947" s="299"/>
    </row>
    <row r="948" spans="14:14" ht="14.25" customHeight="1" x14ac:dyDescent="0.2">
      <c r="N948" s="299"/>
    </row>
    <row r="949" spans="14:14" ht="14.25" customHeight="1" x14ac:dyDescent="0.2">
      <c r="N949" s="299"/>
    </row>
    <row r="950" spans="14:14" ht="14.25" customHeight="1" x14ac:dyDescent="0.2">
      <c r="N950" s="299"/>
    </row>
    <row r="951" spans="14:14" ht="14.25" customHeight="1" x14ac:dyDescent="0.2">
      <c r="N951" s="299"/>
    </row>
    <row r="952" spans="14:14" ht="14.25" customHeight="1" x14ac:dyDescent="0.2">
      <c r="N952" s="299"/>
    </row>
    <row r="953" spans="14:14" ht="14.25" customHeight="1" x14ac:dyDescent="0.2">
      <c r="N953" s="299"/>
    </row>
    <row r="954" spans="14:14" ht="14.25" customHeight="1" x14ac:dyDescent="0.2">
      <c r="N954" s="299"/>
    </row>
    <row r="955" spans="14:14" ht="14.25" customHeight="1" x14ac:dyDescent="0.2">
      <c r="N955" s="299"/>
    </row>
    <row r="956" spans="14:14" ht="14.25" customHeight="1" x14ac:dyDescent="0.2">
      <c r="N956" s="299"/>
    </row>
    <row r="957" spans="14:14" ht="14.25" customHeight="1" x14ac:dyDescent="0.2">
      <c r="N957" s="299"/>
    </row>
    <row r="958" spans="14:14" ht="14.25" customHeight="1" x14ac:dyDescent="0.2">
      <c r="N958" s="299"/>
    </row>
    <row r="959" spans="14:14" ht="14.25" customHeight="1" x14ac:dyDescent="0.2">
      <c r="N959" s="299"/>
    </row>
    <row r="960" spans="14:14" ht="14.25" customHeight="1" x14ac:dyDescent="0.2">
      <c r="N960" s="299"/>
    </row>
    <row r="961" spans="14:14" ht="14.25" customHeight="1" x14ac:dyDescent="0.2">
      <c r="N961" s="299"/>
    </row>
    <row r="962" spans="14:14" ht="14.25" customHeight="1" x14ac:dyDescent="0.2">
      <c r="N962" s="299"/>
    </row>
    <row r="963" spans="14:14" ht="14.25" customHeight="1" x14ac:dyDescent="0.2">
      <c r="N963" s="299"/>
    </row>
    <row r="964" spans="14:14" ht="14.25" customHeight="1" x14ac:dyDescent="0.2">
      <c r="N964" s="299"/>
    </row>
    <row r="965" spans="14:14" ht="14.25" customHeight="1" x14ac:dyDescent="0.2">
      <c r="N965" s="299"/>
    </row>
    <row r="966" spans="14:14" ht="14.25" customHeight="1" x14ac:dyDescent="0.2">
      <c r="N966" s="299"/>
    </row>
    <row r="967" spans="14:14" ht="14.25" customHeight="1" x14ac:dyDescent="0.2">
      <c r="N967" s="299"/>
    </row>
    <row r="968" spans="14:14" ht="14.25" customHeight="1" x14ac:dyDescent="0.2">
      <c r="N968" s="299"/>
    </row>
    <row r="969" spans="14:14" ht="14.25" customHeight="1" x14ac:dyDescent="0.2">
      <c r="N969" s="299"/>
    </row>
    <row r="970" spans="14:14" ht="14.25" customHeight="1" x14ac:dyDescent="0.2">
      <c r="N970" s="299"/>
    </row>
    <row r="971" spans="14:14" ht="14.25" customHeight="1" x14ac:dyDescent="0.2">
      <c r="N971" s="299"/>
    </row>
    <row r="972" spans="14:14" ht="14.25" customHeight="1" x14ac:dyDescent="0.2">
      <c r="N972" s="299"/>
    </row>
    <row r="973" spans="14:14" ht="14.25" customHeight="1" x14ac:dyDescent="0.2">
      <c r="N973" s="299"/>
    </row>
    <row r="974" spans="14:14" ht="14.25" customHeight="1" x14ac:dyDescent="0.2">
      <c r="N974" s="299"/>
    </row>
    <row r="975" spans="14:14" ht="14.25" customHeight="1" x14ac:dyDescent="0.2">
      <c r="N975" s="299"/>
    </row>
    <row r="976" spans="14:14" ht="14.25" customHeight="1" x14ac:dyDescent="0.2">
      <c r="N976" s="299"/>
    </row>
    <row r="977" spans="14:14" ht="14.25" customHeight="1" x14ac:dyDescent="0.2">
      <c r="N977" s="299"/>
    </row>
    <row r="978" spans="14:14" ht="14.25" customHeight="1" x14ac:dyDescent="0.2">
      <c r="N978" s="299"/>
    </row>
    <row r="979" spans="14:14" ht="14.25" customHeight="1" x14ac:dyDescent="0.2">
      <c r="N979" s="299"/>
    </row>
    <row r="980" spans="14:14" ht="14.25" customHeight="1" x14ac:dyDescent="0.2">
      <c r="N980" s="299"/>
    </row>
    <row r="981" spans="14:14" ht="14.25" customHeight="1" x14ac:dyDescent="0.2">
      <c r="N981" s="299"/>
    </row>
    <row r="982" spans="14:14" ht="14.25" customHeight="1" x14ac:dyDescent="0.2">
      <c r="N982" s="299"/>
    </row>
    <row r="983" spans="14:14" ht="14.25" customHeight="1" x14ac:dyDescent="0.2">
      <c r="N983" s="299"/>
    </row>
    <row r="984" spans="14:14" ht="14.25" customHeight="1" x14ac:dyDescent="0.2">
      <c r="N984" s="299"/>
    </row>
    <row r="985" spans="14:14" ht="14.25" customHeight="1" x14ac:dyDescent="0.2">
      <c r="N985" s="299"/>
    </row>
    <row r="986" spans="14:14" ht="14.25" customHeight="1" x14ac:dyDescent="0.2">
      <c r="N986" s="299"/>
    </row>
    <row r="987" spans="14:14" ht="14.25" customHeight="1" x14ac:dyDescent="0.2">
      <c r="N987" s="299"/>
    </row>
    <row r="988" spans="14:14" ht="14.25" customHeight="1" x14ac:dyDescent="0.2">
      <c r="N988" s="299"/>
    </row>
    <row r="989" spans="14:14" ht="14.25" customHeight="1" x14ac:dyDescent="0.2">
      <c r="N989" s="299"/>
    </row>
    <row r="990" spans="14:14" ht="14.25" customHeight="1" x14ac:dyDescent="0.2">
      <c r="N990" s="299"/>
    </row>
    <row r="991" spans="14:14" ht="14.25" customHeight="1" x14ac:dyDescent="0.2">
      <c r="N991" s="299"/>
    </row>
    <row r="992" spans="14:14" ht="14.25" customHeight="1" x14ac:dyDescent="0.2">
      <c r="N992" s="299"/>
    </row>
    <row r="993" spans="14:14" ht="14.25" customHeight="1" x14ac:dyDescent="0.2">
      <c r="N993" s="299"/>
    </row>
    <row r="994" spans="14:14" ht="14.25" customHeight="1" x14ac:dyDescent="0.2">
      <c r="N994" s="299"/>
    </row>
    <row r="995" spans="14:14" ht="14.25" customHeight="1" x14ac:dyDescent="0.2">
      <c r="N995" s="299"/>
    </row>
    <row r="996" spans="14:14" ht="14.25" customHeight="1" x14ac:dyDescent="0.2">
      <c r="N996" s="299"/>
    </row>
    <row r="997" spans="14:14" ht="14.25" customHeight="1" x14ac:dyDescent="0.2">
      <c r="N997" s="299"/>
    </row>
    <row r="998" spans="14:14" ht="14.25" customHeight="1" x14ac:dyDescent="0.2">
      <c r="N998" s="299"/>
    </row>
    <row r="999" spans="14:14" ht="14.25" customHeight="1" x14ac:dyDescent="0.2">
      <c r="N999" s="299"/>
    </row>
    <row r="1000" spans="14:14" ht="14.25" customHeight="1" x14ac:dyDescent="0.2">
      <c r="N1000" s="299"/>
    </row>
    <row r="1001" spans="14:14" ht="14.25" customHeight="1" x14ac:dyDescent="0.2">
      <c r="N1001" s="299"/>
    </row>
    <row r="1002" spans="14:14" ht="14.25" customHeight="1" x14ac:dyDescent="0.2">
      <c r="N1002" s="299"/>
    </row>
    <row r="1003" spans="14:14" ht="14.25" customHeight="1" x14ac:dyDescent="0.2">
      <c r="N1003" s="299"/>
    </row>
    <row r="1004" spans="14:14" ht="14.25" customHeight="1" x14ac:dyDescent="0.2">
      <c r="N1004" s="299"/>
    </row>
  </sheetData>
  <autoFilter ref="A8:CY97" xr:uid="{00000000-0009-0000-0000-000004000000}"/>
  <conditionalFormatting sqref="A3:XFD3">
    <cfRule type="containsText" dxfId="3" priority="1" operator="containsText" text="Current Week">
      <formula>NOT(ISERROR(SEARCH("Current Week",A3)))</formula>
    </cfRule>
  </conditionalFormatting>
  <pageMargins left="0.7" right="0.7" top="0.75" bottom="0.75" header="0" footer="0"/>
  <pageSetup orientation="landscape"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sheetPr>
  <dimension ref="A1:AO1003"/>
  <sheetViews>
    <sheetView showGridLines="0" zoomScale="110" zoomScaleNormal="100" workbookViewId="0">
      <pane xSplit="3" ySplit="3" topLeftCell="D4" activePane="bottomRight" state="frozen"/>
      <selection pane="topRight" activeCell="AA52" sqref="AA52"/>
      <selection pane="bottomLeft" activeCell="AA52" sqref="AA52"/>
      <selection pane="bottomRight" activeCell="F20" sqref="F20"/>
    </sheetView>
  </sheetViews>
  <sheetFormatPr baseColWidth="10" defaultColWidth="14.5" defaultRowHeight="15" customHeight="1" outlineLevelRow="1" x14ac:dyDescent="0.2"/>
  <cols>
    <col min="1" max="1" width="2.6640625" customWidth="1"/>
    <col min="2" max="2" width="31.1640625" customWidth="1"/>
    <col min="3" max="3" width="26.1640625" customWidth="1"/>
    <col min="4" max="4" width="20.6640625" customWidth="1"/>
    <col min="5" max="5" width="17.1640625" customWidth="1"/>
    <col min="6" max="6" width="15.33203125" customWidth="1"/>
    <col min="7" max="15" width="15.83203125" customWidth="1"/>
    <col min="16" max="16" width="16.5" customWidth="1"/>
    <col min="17" max="17" width="5.5" customWidth="1"/>
    <col min="18" max="40" width="16.5" customWidth="1"/>
  </cols>
  <sheetData>
    <row r="1" spans="2:41" ht="14.25" customHeight="1" x14ac:dyDescent="0.2">
      <c r="C1" s="15"/>
      <c r="D1" s="16">
        <v>1</v>
      </c>
      <c r="E1" s="16">
        <f t="shared" ref="E1:P1" si="0">D1+1</f>
        <v>2</v>
      </c>
      <c r="F1" s="16">
        <f t="shared" si="0"/>
        <v>3</v>
      </c>
      <c r="G1" s="16">
        <f t="shared" si="0"/>
        <v>4</v>
      </c>
      <c r="H1" s="16">
        <v>5</v>
      </c>
      <c r="I1" s="16">
        <f t="shared" si="0"/>
        <v>6</v>
      </c>
      <c r="J1" s="16">
        <f t="shared" si="0"/>
        <v>7</v>
      </c>
      <c r="K1" s="16">
        <f t="shared" si="0"/>
        <v>8</v>
      </c>
      <c r="L1" s="16">
        <f t="shared" si="0"/>
        <v>9</v>
      </c>
      <c r="M1" s="16">
        <f t="shared" si="0"/>
        <v>10</v>
      </c>
      <c r="N1" s="16">
        <f t="shared" si="0"/>
        <v>11</v>
      </c>
      <c r="O1" s="16">
        <f t="shared" si="0"/>
        <v>12</v>
      </c>
      <c r="P1" s="16">
        <f t="shared" si="0"/>
        <v>13</v>
      </c>
      <c r="Q1" s="249" t="s">
        <v>217</v>
      </c>
      <c r="R1" s="16">
        <f>+P1+1</f>
        <v>14</v>
      </c>
      <c r="S1" s="357">
        <f>+R1+1</f>
        <v>15</v>
      </c>
      <c r="T1" s="357">
        <f t="shared" ref="T1:AN1" si="1">+S1+1</f>
        <v>16</v>
      </c>
      <c r="U1" s="357">
        <f t="shared" si="1"/>
        <v>17</v>
      </c>
      <c r="V1" s="357">
        <f t="shared" si="1"/>
        <v>18</v>
      </c>
      <c r="W1" s="357">
        <f t="shared" si="1"/>
        <v>19</v>
      </c>
      <c r="X1" s="357">
        <f t="shared" si="1"/>
        <v>20</v>
      </c>
      <c r="Y1" s="357">
        <f t="shared" si="1"/>
        <v>21</v>
      </c>
      <c r="Z1" s="357">
        <f t="shared" si="1"/>
        <v>22</v>
      </c>
      <c r="AA1" s="357">
        <f t="shared" si="1"/>
        <v>23</v>
      </c>
      <c r="AB1" s="357">
        <f t="shared" si="1"/>
        <v>24</v>
      </c>
      <c r="AC1" s="357">
        <f t="shared" si="1"/>
        <v>25</v>
      </c>
      <c r="AD1" s="357">
        <f t="shared" si="1"/>
        <v>26</v>
      </c>
      <c r="AE1" s="357">
        <f t="shared" si="1"/>
        <v>27</v>
      </c>
      <c r="AF1" s="357">
        <f t="shared" si="1"/>
        <v>28</v>
      </c>
      <c r="AG1" s="357">
        <f t="shared" si="1"/>
        <v>29</v>
      </c>
      <c r="AH1" s="357">
        <f t="shared" si="1"/>
        <v>30</v>
      </c>
      <c r="AI1" s="357">
        <f t="shared" si="1"/>
        <v>31</v>
      </c>
      <c r="AJ1" s="357">
        <f t="shared" si="1"/>
        <v>32</v>
      </c>
      <c r="AK1" s="357">
        <f t="shared" si="1"/>
        <v>33</v>
      </c>
      <c r="AL1" s="357">
        <f t="shared" si="1"/>
        <v>34</v>
      </c>
      <c r="AM1" s="357">
        <f t="shared" si="1"/>
        <v>35</v>
      </c>
      <c r="AN1" s="357">
        <f t="shared" si="1"/>
        <v>36</v>
      </c>
    </row>
    <row r="2" spans="2:41" ht="14.25" customHeight="1" x14ac:dyDescent="0.2">
      <c r="B2" s="19"/>
      <c r="C2" s="19"/>
      <c r="D2" s="20" t="str">
        <f t="shared" ref="D2:P2" si="2">"Week"&amp;" "&amp;D1</f>
        <v>Week 1</v>
      </c>
      <c r="E2" s="20" t="str">
        <f t="shared" si="2"/>
        <v>Week 2</v>
      </c>
      <c r="F2" s="20" t="str">
        <f t="shared" si="2"/>
        <v>Week 3</v>
      </c>
      <c r="G2" s="20" t="str">
        <f t="shared" si="2"/>
        <v>Week 4</v>
      </c>
      <c r="H2" s="20" t="str">
        <f t="shared" si="2"/>
        <v>Week 5</v>
      </c>
      <c r="I2" s="20" t="str">
        <f t="shared" si="2"/>
        <v>Week 6</v>
      </c>
      <c r="J2" s="20" t="str">
        <f t="shared" si="2"/>
        <v>Week 7</v>
      </c>
      <c r="K2" s="20" t="str">
        <f t="shared" si="2"/>
        <v>Week 8</v>
      </c>
      <c r="L2" s="20" t="str">
        <f t="shared" si="2"/>
        <v>Week 9</v>
      </c>
      <c r="M2" s="20" t="str">
        <f t="shared" si="2"/>
        <v>Week 10</v>
      </c>
      <c r="N2" s="20" t="str">
        <f t="shared" si="2"/>
        <v>Week 11</v>
      </c>
      <c r="O2" s="20" t="str">
        <f t="shared" si="2"/>
        <v>Week 12</v>
      </c>
      <c r="P2" s="20" t="str">
        <f t="shared" si="2"/>
        <v>Week 13</v>
      </c>
      <c r="R2" s="20" t="str">
        <f>"Week"&amp;" "&amp;S1</f>
        <v>Week 15</v>
      </c>
      <c r="S2" s="20" t="str">
        <f>"Week"&amp;" "&amp;T1</f>
        <v>Week 16</v>
      </c>
      <c r="T2" s="20" t="str">
        <f t="shared" ref="T2:AN2" si="3">"Week"&amp;" "&amp;U1</f>
        <v>Week 17</v>
      </c>
      <c r="U2" s="20" t="str">
        <f t="shared" si="3"/>
        <v>Week 18</v>
      </c>
      <c r="V2" s="20" t="str">
        <f t="shared" si="3"/>
        <v>Week 19</v>
      </c>
      <c r="W2" s="20" t="str">
        <f t="shared" si="3"/>
        <v>Week 20</v>
      </c>
      <c r="X2" s="20" t="str">
        <f t="shared" si="3"/>
        <v>Week 21</v>
      </c>
      <c r="Y2" s="20" t="str">
        <f t="shared" si="3"/>
        <v>Week 22</v>
      </c>
      <c r="Z2" s="20" t="str">
        <f t="shared" si="3"/>
        <v>Week 23</v>
      </c>
      <c r="AA2" s="20" t="str">
        <f t="shared" si="3"/>
        <v>Week 24</v>
      </c>
      <c r="AB2" s="20" t="str">
        <f t="shared" si="3"/>
        <v>Week 25</v>
      </c>
      <c r="AC2" s="20" t="str">
        <f t="shared" si="3"/>
        <v>Week 26</v>
      </c>
      <c r="AD2" s="20" t="str">
        <f t="shared" si="3"/>
        <v>Week 27</v>
      </c>
      <c r="AE2" s="20" t="str">
        <f t="shared" si="3"/>
        <v>Week 28</v>
      </c>
      <c r="AF2" s="20" t="str">
        <f t="shared" si="3"/>
        <v>Week 29</v>
      </c>
      <c r="AG2" s="20" t="str">
        <f t="shared" si="3"/>
        <v>Week 30</v>
      </c>
      <c r="AH2" s="20" t="str">
        <f t="shared" si="3"/>
        <v>Week 31</v>
      </c>
      <c r="AI2" s="20" t="str">
        <f t="shared" si="3"/>
        <v>Week 32</v>
      </c>
      <c r="AJ2" s="20" t="str">
        <f t="shared" si="3"/>
        <v>Week 33</v>
      </c>
      <c r="AK2" s="20" t="str">
        <f t="shared" si="3"/>
        <v>Week 34</v>
      </c>
      <c r="AL2" s="20" t="str">
        <f t="shared" si="3"/>
        <v>Week 35</v>
      </c>
      <c r="AM2" s="20" t="str">
        <f t="shared" si="3"/>
        <v>Week 36</v>
      </c>
      <c r="AN2" s="20" t="str">
        <f t="shared" si="3"/>
        <v xml:space="preserve">Week </v>
      </c>
    </row>
    <row r="3" spans="2:41" ht="14.25" customHeight="1" x14ac:dyDescent="0.2">
      <c r="B3" s="19"/>
      <c r="C3" s="19" t="s">
        <v>218</v>
      </c>
      <c r="D3" s="21">
        <f>'CURRENT FORECAST START DATE'!C4</f>
        <v>45971</v>
      </c>
      <c r="E3" s="21">
        <f t="shared" ref="E3:P3" si="4">D3+7</f>
        <v>45978</v>
      </c>
      <c r="F3" s="21">
        <f t="shared" si="4"/>
        <v>45985</v>
      </c>
      <c r="G3" s="21">
        <f t="shared" si="4"/>
        <v>45992</v>
      </c>
      <c r="H3" s="21">
        <f t="shared" si="4"/>
        <v>45999</v>
      </c>
      <c r="I3" s="21">
        <f t="shared" si="4"/>
        <v>46006</v>
      </c>
      <c r="J3" s="21">
        <f t="shared" si="4"/>
        <v>46013</v>
      </c>
      <c r="K3" s="21">
        <f t="shared" si="4"/>
        <v>46020</v>
      </c>
      <c r="L3" s="21">
        <f t="shared" si="4"/>
        <v>46027</v>
      </c>
      <c r="M3" s="21">
        <f t="shared" si="4"/>
        <v>46034</v>
      </c>
      <c r="N3" s="21">
        <f t="shared" si="4"/>
        <v>46041</v>
      </c>
      <c r="O3" s="21">
        <f t="shared" si="4"/>
        <v>46048</v>
      </c>
      <c r="P3" s="21">
        <f t="shared" si="4"/>
        <v>46055</v>
      </c>
      <c r="R3" s="21">
        <f>P3+7</f>
        <v>46062</v>
      </c>
      <c r="S3" s="21">
        <f t="shared" ref="S3:AN3" si="5">R3+7</f>
        <v>46069</v>
      </c>
      <c r="T3" s="21">
        <f t="shared" si="5"/>
        <v>46076</v>
      </c>
      <c r="U3" s="21">
        <f t="shared" si="5"/>
        <v>46083</v>
      </c>
      <c r="V3" s="21">
        <f t="shared" si="5"/>
        <v>46090</v>
      </c>
      <c r="W3" s="21">
        <f t="shared" si="5"/>
        <v>46097</v>
      </c>
      <c r="X3" s="21">
        <f t="shared" si="5"/>
        <v>46104</v>
      </c>
      <c r="Y3" s="21">
        <f t="shared" si="5"/>
        <v>46111</v>
      </c>
      <c r="Z3" s="21">
        <f t="shared" si="5"/>
        <v>46118</v>
      </c>
      <c r="AA3" s="21">
        <f t="shared" si="5"/>
        <v>46125</v>
      </c>
      <c r="AB3" s="21">
        <f t="shared" si="5"/>
        <v>46132</v>
      </c>
      <c r="AC3" s="21">
        <f t="shared" si="5"/>
        <v>46139</v>
      </c>
      <c r="AD3" s="21">
        <f t="shared" si="5"/>
        <v>46146</v>
      </c>
      <c r="AE3" s="21">
        <f t="shared" si="5"/>
        <v>46153</v>
      </c>
      <c r="AF3" s="21">
        <f t="shared" si="5"/>
        <v>46160</v>
      </c>
      <c r="AG3" s="21">
        <f t="shared" si="5"/>
        <v>46167</v>
      </c>
      <c r="AH3" s="21">
        <f t="shared" si="5"/>
        <v>46174</v>
      </c>
      <c r="AI3" s="21">
        <f t="shared" si="5"/>
        <v>46181</v>
      </c>
      <c r="AJ3" s="21">
        <f t="shared" si="5"/>
        <v>46188</v>
      </c>
      <c r="AK3" s="21">
        <f t="shared" si="5"/>
        <v>46195</v>
      </c>
      <c r="AL3" s="21">
        <f t="shared" si="5"/>
        <v>46202</v>
      </c>
      <c r="AM3" s="21">
        <f t="shared" si="5"/>
        <v>46209</v>
      </c>
      <c r="AN3" s="21">
        <f t="shared" si="5"/>
        <v>46216</v>
      </c>
    </row>
    <row r="4" spans="2:41" ht="14.25" customHeight="1" x14ac:dyDescent="0.2">
      <c r="B4" s="22" t="s">
        <v>2</v>
      </c>
      <c r="C4" s="198"/>
      <c r="D4" s="23"/>
      <c r="E4" s="23"/>
      <c r="F4" s="23"/>
      <c r="G4" s="23"/>
      <c r="H4" s="23"/>
      <c r="I4" s="23"/>
      <c r="J4" s="23"/>
      <c r="K4" s="23"/>
      <c r="L4" s="23"/>
      <c r="M4" s="23"/>
      <c r="N4" s="23"/>
      <c r="O4" s="23"/>
      <c r="P4" s="23"/>
      <c r="R4" s="23"/>
      <c r="S4" s="23"/>
      <c r="T4" s="23"/>
      <c r="U4" s="23"/>
      <c r="V4" s="23"/>
      <c r="W4" s="23"/>
      <c r="X4" s="23"/>
      <c r="Y4" s="23"/>
      <c r="Z4" s="23"/>
      <c r="AA4" s="23"/>
      <c r="AB4" s="23"/>
      <c r="AC4" s="23"/>
      <c r="AD4" s="23"/>
      <c r="AE4" s="23"/>
      <c r="AF4" s="23"/>
      <c r="AG4" s="23"/>
      <c r="AH4" s="23"/>
      <c r="AI4" s="23"/>
      <c r="AJ4" s="23"/>
      <c r="AK4" s="23"/>
      <c r="AL4" s="23"/>
      <c r="AM4" s="23"/>
      <c r="AN4" s="23"/>
    </row>
    <row r="5" spans="2:41" ht="14.5" customHeight="1" x14ac:dyDescent="0.2">
      <c r="B5" s="24" t="s">
        <v>3</v>
      </c>
      <c r="C5" s="199"/>
      <c r="D5" s="25"/>
      <c r="E5" s="25"/>
      <c r="F5" s="25"/>
      <c r="G5" s="25"/>
      <c r="H5" s="25"/>
      <c r="I5" s="25"/>
      <c r="J5" s="25"/>
      <c r="K5" s="25"/>
      <c r="L5" s="25"/>
      <c r="M5" s="25"/>
      <c r="N5" s="25"/>
      <c r="O5" s="25"/>
      <c r="P5" s="25"/>
      <c r="R5" s="25"/>
      <c r="S5" s="25"/>
      <c r="T5" s="25"/>
      <c r="U5" s="25"/>
      <c r="V5" s="25"/>
      <c r="W5" s="25"/>
      <c r="X5" s="25"/>
      <c r="Y5" s="25"/>
      <c r="Z5" s="25"/>
      <c r="AA5" s="25"/>
      <c r="AB5" s="25"/>
      <c r="AC5" s="25"/>
      <c r="AD5" s="25"/>
      <c r="AE5" s="25"/>
      <c r="AF5" s="25"/>
      <c r="AG5" s="25"/>
      <c r="AH5" s="25"/>
      <c r="AI5" s="25"/>
      <c r="AJ5" s="25"/>
      <c r="AK5" s="25"/>
      <c r="AL5" s="25"/>
      <c r="AM5" s="25"/>
      <c r="AN5" s="25"/>
    </row>
    <row r="6" spans="2:41" ht="14.25" customHeight="1" x14ac:dyDescent="0.2">
      <c r="B6" s="26" t="s">
        <v>4</v>
      </c>
      <c r="C6" s="15" t="s">
        <v>219</v>
      </c>
      <c r="D6" s="144">
        <v>9000</v>
      </c>
      <c r="E6" s="144"/>
      <c r="F6" s="144">
        <v>32000</v>
      </c>
      <c r="G6" s="144"/>
      <c r="H6" s="144">
        <v>80000</v>
      </c>
      <c r="I6" s="144"/>
      <c r="J6" s="144">
        <v>96000</v>
      </c>
      <c r="K6" s="144"/>
      <c r="L6" s="246">
        <v>140000</v>
      </c>
      <c r="M6" s="246"/>
      <c r="N6" s="246">
        <v>160000</v>
      </c>
      <c r="P6" s="246">
        <v>180000</v>
      </c>
      <c r="Q6" s="246"/>
      <c r="R6" s="246"/>
      <c r="S6" s="246">
        <v>200000</v>
      </c>
      <c r="T6" s="246"/>
      <c r="U6" s="246">
        <v>220000</v>
      </c>
      <c r="V6" s="246"/>
      <c r="W6" s="246">
        <v>240000</v>
      </c>
      <c r="X6" s="246"/>
      <c r="Y6" s="246">
        <v>260000</v>
      </c>
      <c r="Z6" s="246"/>
      <c r="AA6" s="246">
        <v>260000</v>
      </c>
      <c r="AB6" s="246"/>
      <c r="AC6" s="246">
        <v>260000</v>
      </c>
      <c r="AD6" s="246"/>
      <c r="AE6" s="246">
        <v>286957</v>
      </c>
      <c r="AF6" s="246"/>
      <c r="AG6" s="246">
        <v>286957</v>
      </c>
      <c r="AH6" s="246">
        <f>AF6</f>
        <v>0</v>
      </c>
      <c r="AI6" s="246">
        <v>286957</v>
      </c>
      <c r="AJ6" s="246">
        <f>AH6</f>
        <v>0</v>
      </c>
      <c r="AK6" s="246">
        <f>AI6</f>
        <v>286957</v>
      </c>
      <c r="AL6" s="246">
        <f>AJ6</f>
        <v>0</v>
      </c>
      <c r="AM6" s="246">
        <f>AK6</f>
        <v>286957</v>
      </c>
      <c r="AN6" s="246">
        <f>AL6</f>
        <v>0</v>
      </c>
      <c r="AO6" s="246"/>
    </row>
    <row r="7" spans="2:41" ht="14.25" customHeight="1" x14ac:dyDescent="0.2">
      <c r="B7" s="26" t="s">
        <v>6</v>
      </c>
      <c r="C7" s="15" t="s">
        <v>220</v>
      </c>
      <c r="D7" s="245"/>
      <c r="E7" s="245"/>
      <c r="F7" s="245">
        <v>0</v>
      </c>
      <c r="G7" s="245">
        <v>0</v>
      </c>
      <c r="H7" s="245">
        <v>0</v>
      </c>
      <c r="I7" s="245">
        <v>0</v>
      </c>
      <c r="J7" s="245">
        <v>0</v>
      </c>
      <c r="K7" s="245">
        <v>0</v>
      </c>
      <c r="L7" s="245">
        <v>0</v>
      </c>
      <c r="M7" s="245">
        <v>0</v>
      </c>
      <c r="N7" s="245">
        <v>0</v>
      </c>
      <c r="O7" s="245">
        <v>0</v>
      </c>
      <c r="P7" s="245">
        <v>0</v>
      </c>
      <c r="R7" s="247">
        <v>0</v>
      </c>
      <c r="S7" s="247">
        <v>0</v>
      </c>
      <c r="T7" s="247">
        <v>0</v>
      </c>
      <c r="U7" s="247"/>
      <c r="V7" s="247"/>
      <c r="W7" s="247"/>
      <c r="X7" s="247">
        <v>0</v>
      </c>
      <c r="Y7" s="247">
        <v>0</v>
      </c>
      <c r="Z7" s="247">
        <v>0</v>
      </c>
      <c r="AA7" s="247">
        <v>0</v>
      </c>
      <c r="AB7" s="247">
        <v>0</v>
      </c>
      <c r="AC7" s="247">
        <v>0</v>
      </c>
      <c r="AD7" s="247">
        <v>0</v>
      </c>
      <c r="AE7" s="247">
        <v>0</v>
      </c>
      <c r="AF7" s="247">
        <v>0</v>
      </c>
      <c r="AG7" s="247">
        <v>0</v>
      </c>
      <c r="AH7" s="247">
        <v>0</v>
      </c>
      <c r="AI7" s="247">
        <v>0</v>
      </c>
      <c r="AJ7" s="247">
        <v>0</v>
      </c>
      <c r="AK7" s="247">
        <v>0</v>
      </c>
      <c r="AL7" s="247">
        <v>0</v>
      </c>
      <c r="AM7" s="247">
        <v>0</v>
      </c>
      <c r="AN7" s="247">
        <v>0</v>
      </c>
    </row>
    <row r="8" spans="2:41" ht="14.25" customHeight="1" x14ac:dyDescent="0.2">
      <c r="B8" s="26" t="s">
        <v>8</v>
      </c>
      <c r="C8" s="15" t="s">
        <v>221</v>
      </c>
      <c r="D8" s="144">
        <f>56952</f>
        <v>56952</v>
      </c>
      <c r="E8" s="144">
        <v>43968</v>
      </c>
      <c r="F8" s="144">
        <v>5763</v>
      </c>
      <c r="G8" s="245"/>
      <c r="H8" s="245">
        <v>50000</v>
      </c>
      <c r="I8" s="245">
        <v>0</v>
      </c>
      <c r="J8" s="245">
        <v>0</v>
      </c>
      <c r="K8" s="245">
        <v>30000</v>
      </c>
      <c r="L8" s="245"/>
      <c r="M8" s="245">
        <v>0</v>
      </c>
      <c r="O8" s="247">
        <v>0</v>
      </c>
      <c r="P8" s="247">
        <v>330000</v>
      </c>
      <c r="Q8" s="247"/>
      <c r="R8" s="247"/>
      <c r="S8" s="247"/>
      <c r="T8" s="247"/>
      <c r="U8" s="247">
        <v>130000</v>
      </c>
      <c r="V8" s="247">
        <v>0</v>
      </c>
      <c r="W8" s="247">
        <v>0</v>
      </c>
      <c r="X8" s="247">
        <v>0</v>
      </c>
      <c r="Y8" s="247">
        <v>0</v>
      </c>
      <c r="Z8" s="247">
        <v>180000</v>
      </c>
      <c r="AA8" s="247">
        <v>0</v>
      </c>
      <c r="AB8" s="247">
        <v>0</v>
      </c>
      <c r="AC8" s="247">
        <v>0</v>
      </c>
      <c r="AD8" s="247">
        <v>230000</v>
      </c>
      <c r="AE8" s="247">
        <v>0</v>
      </c>
      <c r="AF8" s="247">
        <v>0</v>
      </c>
      <c r="AG8" s="359">
        <v>0</v>
      </c>
      <c r="AH8" s="247">
        <v>30000</v>
      </c>
      <c r="AI8" s="247"/>
      <c r="AJ8" s="247"/>
      <c r="AK8" s="247">
        <v>1200000</v>
      </c>
      <c r="AL8" s="247"/>
      <c r="AM8" s="247"/>
      <c r="AN8" s="247"/>
    </row>
    <row r="9" spans="2:41" ht="14.25" customHeight="1" x14ac:dyDescent="0.2">
      <c r="B9" s="200" t="s">
        <v>10</v>
      </c>
      <c r="C9" s="201" t="s">
        <v>222</v>
      </c>
      <c r="D9" s="221">
        <v>0</v>
      </c>
      <c r="E9" s="221">
        <v>0</v>
      </c>
      <c r="F9" s="221">
        <v>0</v>
      </c>
      <c r="G9" s="221">
        <v>0</v>
      </c>
      <c r="H9" s="221">
        <v>0</v>
      </c>
      <c r="I9" s="221">
        <v>0</v>
      </c>
      <c r="J9" s="221">
        <v>0</v>
      </c>
      <c r="K9" s="221"/>
      <c r="L9" s="221"/>
      <c r="M9" s="221"/>
      <c r="N9" s="221"/>
      <c r="O9" s="221"/>
      <c r="P9" s="221"/>
      <c r="R9" s="221"/>
      <c r="S9" s="221"/>
      <c r="T9" s="221"/>
      <c r="U9" s="221"/>
      <c r="V9" s="221"/>
      <c r="W9" s="221"/>
      <c r="X9" s="221"/>
      <c r="Y9" s="221"/>
      <c r="Z9" s="221"/>
      <c r="AA9" s="221"/>
      <c r="AB9" s="221"/>
      <c r="AC9" s="221"/>
      <c r="AD9" s="221"/>
      <c r="AE9" s="221"/>
      <c r="AF9" s="221"/>
      <c r="AG9" s="221"/>
      <c r="AH9" s="221"/>
      <c r="AI9" s="221"/>
      <c r="AJ9" s="221"/>
      <c r="AK9" s="221"/>
      <c r="AL9" s="221"/>
      <c r="AM9" s="221"/>
      <c r="AN9" s="221"/>
    </row>
    <row r="10" spans="2:41" ht="14.25" customHeight="1" x14ac:dyDescent="0.2">
      <c r="B10" s="24" t="s">
        <v>12</v>
      </c>
      <c r="C10" s="15"/>
      <c r="D10" s="248">
        <f t="shared" ref="D10:M10" si="6">SUM(D6:D9)</f>
        <v>65952</v>
      </c>
      <c r="E10" s="248">
        <f t="shared" si="6"/>
        <v>43968</v>
      </c>
      <c r="F10" s="248">
        <f t="shared" si="6"/>
        <v>37763</v>
      </c>
      <c r="G10" s="248">
        <f t="shared" si="6"/>
        <v>0</v>
      </c>
      <c r="H10" s="248">
        <f t="shared" si="6"/>
        <v>130000</v>
      </c>
      <c r="I10" s="248">
        <f t="shared" si="6"/>
        <v>0</v>
      </c>
      <c r="J10" s="248">
        <f t="shared" si="6"/>
        <v>96000</v>
      </c>
      <c r="K10" s="248">
        <f t="shared" si="6"/>
        <v>30000</v>
      </c>
      <c r="L10" s="248">
        <f t="shared" si="6"/>
        <v>140000</v>
      </c>
      <c r="M10" s="248">
        <f t="shared" si="6"/>
        <v>0</v>
      </c>
      <c r="N10" s="248">
        <f>SUM(N6:N9)</f>
        <v>160000</v>
      </c>
      <c r="O10" s="248">
        <f>SUM(O6:O9)</f>
        <v>0</v>
      </c>
      <c r="P10" s="248">
        <f>SUM(P6:P9)</f>
        <v>510000</v>
      </c>
      <c r="R10" s="248">
        <f t="shared" ref="R10:AN10" si="7">SUM(R6:R9)</f>
        <v>0</v>
      </c>
      <c r="S10" s="248">
        <f>SUM(S6:S9)</f>
        <v>200000</v>
      </c>
      <c r="T10" s="248">
        <f>SUM(T6:T9)</f>
        <v>0</v>
      </c>
      <c r="U10" s="248">
        <f>SUM(U6:U9)</f>
        <v>350000</v>
      </c>
      <c r="V10" s="248">
        <f>SUM(V6:V9)</f>
        <v>0</v>
      </c>
      <c r="W10" s="248">
        <f>SUM(W6:W9)</f>
        <v>240000</v>
      </c>
      <c r="X10" s="248">
        <f t="shared" si="7"/>
        <v>0</v>
      </c>
      <c r="Y10" s="248">
        <f t="shared" ref="Y10:AM10" si="8">SUM(Y6:Y9)</f>
        <v>260000</v>
      </c>
      <c r="Z10" s="248">
        <f t="shared" si="8"/>
        <v>180000</v>
      </c>
      <c r="AA10" s="248">
        <f t="shared" si="8"/>
        <v>260000</v>
      </c>
      <c r="AB10" s="248">
        <f t="shared" si="8"/>
        <v>0</v>
      </c>
      <c r="AC10" s="248">
        <f t="shared" si="8"/>
        <v>260000</v>
      </c>
      <c r="AD10" s="248">
        <f t="shared" si="8"/>
        <v>230000</v>
      </c>
      <c r="AE10" s="248">
        <f t="shared" si="8"/>
        <v>286957</v>
      </c>
      <c r="AF10" s="248">
        <f t="shared" si="8"/>
        <v>0</v>
      </c>
      <c r="AG10" s="248">
        <f t="shared" si="8"/>
        <v>286957</v>
      </c>
      <c r="AH10" s="248">
        <f t="shared" si="8"/>
        <v>30000</v>
      </c>
      <c r="AI10" s="248">
        <f t="shared" si="8"/>
        <v>286957</v>
      </c>
      <c r="AJ10" s="248">
        <f t="shared" si="8"/>
        <v>0</v>
      </c>
      <c r="AK10" s="248">
        <f t="shared" ref="AK10" si="9">SUM(AK6:AK9)</f>
        <v>1486957</v>
      </c>
      <c r="AL10" s="248">
        <f t="shared" si="8"/>
        <v>0</v>
      </c>
      <c r="AM10" s="248">
        <f t="shared" si="8"/>
        <v>286957</v>
      </c>
      <c r="AN10" s="248">
        <f t="shared" si="7"/>
        <v>0</v>
      </c>
    </row>
    <row r="11" spans="2:41" ht="14.25" customHeight="1" x14ac:dyDescent="0.2">
      <c r="B11" s="24"/>
      <c r="C11" s="15"/>
      <c r="D11" s="27"/>
      <c r="E11" s="27"/>
      <c r="F11" s="27"/>
      <c r="G11" s="27"/>
      <c r="H11" s="27"/>
      <c r="I11" s="27"/>
      <c r="J11" s="27"/>
      <c r="K11" s="27"/>
      <c r="L11" s="27"/>
      <c r="M11" s="27"/>
      <c r="N11" s="27"/>
      <c r="O11" s="27"/>
      <c r="P11" s="27"/>
      <c r="R11" s="27"/>
      <c r="S11" s="27"/>
      <c r="T11" s="27"/>
      <c r="U11" s="27"/>
      <c r="V11" s="27"/>
      <c r="W11" s="27"/>
      <c r="X11" s="27"/>
      <c r="Y11" s="27"/>
      <c r="Z11" s="27"/>
      <c r="AA11" s="27"/>
      <c r="AB11" s="27"/>
      <c r="AC11" s="27"/>
      <c r="AD11" s="27"/>
      <c r="AE11" s="27"/>
      <c r="AF11" s="27"/>
      <c r="AG11" s="27"/>
      <c r="AH11" s="27"/>
      <c r="AI11" s="27"/>
      <c r="AJ11" s="27"/>
      <c r="AK11" s="27"/>
      <c r="AL11" s="27"/>
      <c r="AM11" s="27"/>
      <c r="AN11" s="27"/>
    </row>
    <row r="12" spans="2:41" ht="14.25" customHeight="1" x14ac:dyDescent="0.2">
      <c r="B12" s="22" t="s">
        <v>13</v>
      </c>
      <c r="C12" s="29"/>
      <c r="D12" s="30"/>
      <c r="E12" s="30"/>
      <c r="F12" s="30"/>
      <c r="G12" s="30"/>
      <c r="H12" s="30"/>
      <c r="I12" s="30"/>
      <c r="J12" s="30"/>
      <c r="K12" s="30"/>
      <c r="L12" s="30"/>
      <c r="M12" s="30"/>
      <c r="N12" s="30"/>
      <c r="O12" s="30"/>
      <c r="P12" s="30"/>
      <c r="R12" s="30"/>
      <c r="S12" s="30"/>
      <c r="T12" s="30"/>
      <c r="U12" s="30"/>
      <c r="V12" s="30"/>
      <c r="W12" s="30"/>
      <c r="X12" s="30"/>
      <c r="Y12" s="30"/>
      <c r="Z12" s="30"/>
      <c r="AA12" s="30"/>
      <c r="AB12" s="30"/>
      <c r="AC12" s="30"/>
      <c r="AD12" s="30"/>
      <c r="AE12" s="30"/>
      <c r="AF12" s="30"/>
      <c r="AG12" s="30"/>
      <c r="AH12" s="30"/>
      <c r="AI12" s="30"/>
      <c r="AJ12" s="30"/>
      <c r="AK12" s="30"/>
      <c r="AL12" s="30"/>
      <c r="AM12" s="30"/>
      <c r="AN12" s="30"/>
    </row>
    <row r="13" spans="2:41" ht="14.25" customHeight="1" x14ac:dyDescent="0.2">
      <c r="B13" s="24" t="s">
        <v>14</v>
      </c>
      <c r="C13" s="31"/>
      <c r="D13" s="27"/>
      <c r="E13" s="27"/>
      <c r="F13" s="27"/>
      <c r="G13" s="27"/>
      <c r="H13" s="27"/>
      <c r="I13" s="27"/>
      <c r="J13" s="27"/>
      <c r="K13" s="27"/>
      <c r="L13" s="27"/>
      <c r="M13" s="27"/>
      <c r="N13" s="27"/>
      <c r="O13" s="27"/>
      <c r="P13" s="27"/>
      <c r="R13" s="27"/>
      <c r="S13" s="27"/>
      <c r="T13" s="27"/>
      <c r="U13" s="27"/>
      <c r="V13" s="27"/>
      <c r="W13" s="27"/>
      <c r="X13" s="27"/>
      <c r="Y13" s="27"/>
      <c r="Z13" s="27"/>
      <c r="AA13" s="27"/>
      <c r="AB13" s="27"/>
      <c r="AC13" s="27"/>
      <c r="AD13" s="27"/>
      <c r="AE13" s="27"/>
      <c r="AF13" s="27"/>
      <c r="AG13" s="27"/>
      <c r="AH13" s="27"/>
      <c r="AI13" s="27"/>
      <c r="AJ13" s="27"/>
      <c r="AK13" s="27"/>
      <c r="AL13" s="27"/>
      <c r="AM13" s="27"/>
      <c r="AN13" s="27"/>
    </row>
    <row r="14" spans="2:41" ht="14.25" customHeight="1" x14ac:dyDescent="0.2">
      <c r="B14" s="26" t="s">
        <v>64</v>
      </c>
      <c r="C14" s="15" t="s">
        <v>223</v>
      </c>
      <c r="D14" s="27">
        <f t="array" ref="D14">INDEX('Weekly Spend'!$F$86:$CV$94,MATCH($B14,'Weekly Spend'!$F$86:$F$94,0),MATCH(D$3,'Weekly Spend'!$F$86:$CV$86,0))</f>
        <v>0</v>
      </c>
      <c r="E14" s="27"/>
      <c r="F14" s="27">
        <f t="array" ref="F14">INDEX('Weekly Spend'!$F$86:$CV$94,MATCH($B14,'Weekly Spend'!$F$86:$F$94,0),MATCH(F$3,'Weekly Spend'!$F$86:$CV$86,0))</f>
        <v>4500</v>
      </c>
      <c r="G14" s="27">
        <f t="array" ref="G14">INDEX('Weekly Spend'!$F$86:$CV$94,MATCH($B14,'Weekly Spend'!$F$86:$F$94,0),MATCH(G$3,'Weekly Spend'!$F$86:$CV$86,0))</f>
        <v>98566.692307692312</v>
      </c>
      <c r="H14" s="27">
        <f t="array" ref="H14">INDEX('Weekly Spend'!$F$86:$CV$94,MATCH($B14,'Weekly Spend'!$F$86:$F$94,0),MATCH(H$3,'Weekly Spend'!$F$86:$CV$86,0))</f>
        <v>0</v>
      </c>
      <c r="I14" s="27">
        <f t="array" ref="I14">INDEX('Weekly Spend'!$F$86:$CV$94,MATCH($B14,'Weekly Spend'!$F$86:$F$94,0),MATCH(I$3,'Weekly Spend'!$F$86:$CV$86,0))</f>
        <v>93566.692307692312</v>
      </c>
      <c r="J14" s="27">
        <f t="array" ref="J14">INDEX('Weekly Spend'!$F$86:$CV$94,MATCH($B14,'Weekly Spend'!$F$86:$F$94,0),MATCH(J$3,'Weekly Spend'!$F$86:$CV$86,0))</f>
        <v>0</v>
      </c>
      <c r="K14" s="27">
        <f t="array" ref="K14">INDEX('Weekly Spend'!$F$86:$CV$94,MATCH($B14,'Weekly Spend'!$F$86:$F$94,0),MATCH(K$3,'Weekly Spend'!$F$86:$CV$86,0))</f>
        <v>92316.692307692312</v>
      </c>
      <c r="L14" s="27">
        <f t="array" ref="L14">INDEX('Weekly Spend'!$F$86:$CV$94,MATCH($B14,'Weekly Spend'!$F$86:$F$94,0),MATCH(L$3,'Weekly Spend'!$F$86:$CV$86,0))</f>
        <v>0</v>
      </c>
      <c r="M14" s="27">
        <f t="array" ref="M14">INDEX('Weekly Spend'!$F$86:$CV$94,MATCH($B14,'Weekly Spend'!$F$86:$F$94,0),MATCH(M$3,'Weekly Spend'!$F$86:$CV$86,0))</f>
        <v>90816.692307692312</v>
      </c>
      <c r="N14" s="27">
        <f t="array" ref="N14">INDEX('Weekly Spend'!$F$86:$CV$94,MATCH($B14,'Weekly Spend'!$F$86:$F$94,0),MATCH(N$3,'Weekly Spend'!$F$86:$CV$86,0))</f>
        <v>0</v>
      </c>
      <c r="O14" s="27">
        <f t="array" ref="O14">INDEX('Weekly Spend'!$F$86:$CV$94,MATCH($B14,'Weekly Spend'!$F$86:$F$94,0),MATCH(O$3,'Weekly Spend'!$F$86:$CV$86,0))</f>
        <v>99816.692307692312</v>
      </c>
      <c r="P14" s="27">
        <f t="array" ref="P14">INDEX('Weekly Spend'!$F$86:$CV$94,MATCH($B14,'Weekly Spend'!$F$86:$F$94,0),MATCH(P$3,'Weekly Spend'!$F$86:$CV$86,0))</f>
        <v>0</v>
      </c>
      <c r="R14" s="336">
        <f t="array" ref="R14">INDEX('Weekly Spend'!$F$86:$CV$94,MATCH($B14,'Weekly Spend'!$F$86:$F$94,0),MATCH(R$3,'Weekly Spend'!$F$86:$CV$86,0))</f>
        <v>103716.69230769231</v>
      </c>
      <c r="S14" s="27">
        <f t="array" ref="S14">INDEX('Weekly Spend'!$F$86:$CV$94,MATCH($B14,'Weekly Spend'!$F$86:$F$94,0),MATCH(S$3,'Weekly Spend'!$F$86:$CV$86,0))</f>
        <v>0</v>
      </c>
      <c r="T14" s="27">
        <f t="array" ref="T14">INDEX('Weekly Spend'!$F$86:$CV$94,MATCH($B14,'Weekly Spend'!$F$86:$F$94,0),MATCH(T$3,'Weekly Spend'!$F$86:$CV$86,0))</f>
        <v>100813.69230769231</v>
      </c>
      <c r="U14" s="27">
        <f t="array" ref="U14">INDEX('Weekly Spend'!$F$86:$CV$94,MATCH($B14,'Weekly Spend'!$F$86:$F$94,0),MATCH(U$3,'Weekly Spend'!$F$86:$CV$86,0))</f>
        <v>0</v>
      </c>
      <c r="V14" s="27">
        <f t="array" ref="V14">INDEX('Weekly Spend'!$F$86:$CV$94,MATCH($B14,'Weekly Spend'!$F$86:$F$94,0),MATCH(V$3,'Weekly Spend'!$F$86:$CV$86,0))</f>
        <v>91813.692307692312</v>
      </c>
      <c r="W14" s="27">
        <f t="array" ref="W14">INDEX('Weekly Spend'!$F$86:$CV$94,MATCH($B14,'Weekly Spend'!$F$86:$F$94,0),MATCH(W$3,'Weekly Spend'!$F$86:$CV$86,0))</f>
        <v>0</v>
      </c>
      <c r="X14" s="27">
        <f t="array" ref="X14">INDEX('Weekly Spend'!$F$86:$CV$94,MATCH($B14,'Weekly Spend'!$F$86:$F$94,0),MATCH(X$3,'Weekly Spend'!$F$86:$CV$86,0))</f>
        <v>100813.69230769231</v>
      </c>
      <c r="Y14" s="339">
        <f t="array" ref="Y14">INDEX('Weekly Spend'!$F$86:$CV$94,MATCH($B14,'Weekly Spend'!$F$86:$F$94,0),MATCH(Y$3,'Weekly Spend'!$F$86:$CV$86,0))</f>
        <v>0</v>
      </c>
      <c r="Z14" s="27">
        <f t="array" ref="Z14">INDEX('Weekly Spend'!$F$86:$CV$94,MATCH($B14,'Weekly Spend'!$F$86:$F$94,0),MATCH(Z$3,'Weekly Spend'!$F$86:$CV$86,0))</f>
        <v>416086.29647435894</v>
      </c>
      <c r="AA14" s="338">
        <f t="array" ref="AA14">INDEX('Weekly Spend'!$F$86:$CV$94,MATCH($B14,'Weekly Spend'!$F$86:$F$94,0),MATCH(AA$3,'Weekly Spend'!$F$86:$CV$86,0))</f>
        <v>0</v>
      </c>
      <c r="AB14" s="27">
        <f t="array" ref="AB14">INDEX('Weekly Spend'!$F$86:$CV$94,MATCH($B14,'Weekly Spend'!$F$86:$F$94,0),MATCH(AB$3,'Weekly Spend'!$F$86:$CV$86,0))</f>
        <v>100813.69230769231</v>
      </c>
      <c r="AC14" s="338">
        <f t="array" ref="AC14">INDEX('Weekly Spend'!$F$86:$CV$94,MATCH($B14,'Weekly Spend'!$F$86:$F$94,0),MATCH(AC$3,'Weekly Spend'!$F$86:$CV$86,0))</f>
        <v>0</v>
      </c>
      <c r="AD14" s="27">
        <f t="array" ref="AD14">INDEX('Weekly Spend'!$F$86:$CV$94,MATCH($B14,'Weekly Spend'!$F$86:$F$94,0),MATCH(AD$3,'Weekly Spend'!$F$86:$CV$86,0))</f>
        <v>91813.692307692312</v>
      </c>
      <c r="AE14" s="27">
        <f t="array" ref="AE14">INDEX('Weekly Spend'!$F$86:$CV$94,MATCH($B14,'Weekly Spend'!$F$86:$F$94,0),MATCH(AE$3,'Weekly Spend'!$F$86:$CV$86,0))</f>
        <v>0</v>
      </c>
      <c r="AF14" s="27">
        <f t="array" ref="AF14">INDEX('Weekly Spend'!$F$86:$CV$94,MATCH($B14,'Weekly Spend'!$F$86:$F$94,0),MATCH(AF$3,'Weekly Spend'!$F$86:$CV$86,0))</f>
        <v>100813.69230769231</v>
      </c>
      <c r="AG14" s="27">
        <f t="array" ref="AG14">INDEX('Weekly Spend'!$F$86:$CV$94,MATCH($B14,'Weekly Spend'!$F$86:$F$94,0),MATCH(AG$3,'Weekly Spend'!$F$86:$CV$86,0))</f>
        <v>0</v>
      </c>
      <c r="AH14" s="27">
        <f t="array" ref="AH14">INDEX('Weekly Spend'!$F$86:$CV$94,MATCH($B14,'Weekly Spend'!$F$86:$F$94,0),MATCH(AH$3,'Weekly Spend'!$F$86:$CV$86,0))</f>
        <v>103813.69230769231</v>
      </c>
      <c r="AI14" s="27">
        <f t="array" ref="AI14">INDEX('Weekly Spend'!$F$86:$CV$94,MATCH($B14,'Weekly Spend'!$F$86:$F$94,0),MATCH(AI$3,'Weekly Spend'!$F$86:$CV$86,0))</f>
        <v>0</v>
      </c>
      <c r="AJ14" s="27">
        <f t="array" ref="AJ14">INDEX('Weekly Spend'!$F$86:$CV$94,MATCH($B14,'Weekly Spend'!$F$86:$F$94,0),MATCH(AJ$3,'Weekly Spend'!$F$86:$CV$86,0))</f>
        <v>91716.692307692312</v>
      </c>
      <c r="AK14" s="27">
        <f t="array" ref="AK14">INDEX('Weekly Spend'!$F$86:$CV$94,MATCH($B14,'Weekly Spend'!$F$86:$F$94,0),MATCH(AK$3,'Weekly Spend'!$F$86:$CV$86,0))</f>
        <v>0</v>
      </c>
      <c r="AL14" s="27">
        <f t="array" ref="AL14">INDEX('Weekly Spend'!$F$86:$CV$94,MATCH($B14,'Weekly Spend'!$F$86:$F$94,0),MATCH(AL$3,'Weekly Spend'!$F$86:$CV$86,0))</f>
        <v>100716.69230769231</v>
      </c>
      <c r="AM14" s="27">
        <f t="array" ref="AM14">INDEX('Weekly Spend'!$F$86:$CV$94,MATCH($B14,'Weekly Spend'!$F$86:$F$94,0),MATCH(AM$3,'Weekly Spend'!$F$86:$CV$86,0))</f>
        <v>0</v>
      </c>
      <c r="AN14" s="27">
        <f t="array" ref="AN14">INDEX('Weekly Spend'!$F$86:$CV$94,MATCH($B14,'Weekly Spend'!$F$86:$F$94,0),MATCH(AN$3,'Weekly Spend'!$F$86:$CV$86,0))</f>
        <v>91716.692307692312</v>
      </c>
    </row>
    <row r="15" spans="2:41" ht="14.25" customHeight="1" x14ac:dyDescent="0.2">
      <c r="B15" s="26" t="s">
        <v>126</v>
      </c>
      <c r="C15" s="15" t="s">
        <v>224</v>
      </c>
      <c r="D15" s="27">
        <f t="array" ref="D15">INDEX('Weekly Spend'!$F$86:$CV$94,MATCH($B15,'Weekly Spend'!$F$86:$F$94,0),MATCH(D$3,'Weekly Spend'!$F$86:$CV$86,0))</f>
        <v>5505.8</v>
      </c>
      <c r="E15" s="27">
        <f t="array" ref="E15">INDEX('Weekly Spend'!$F$86:$CV$94,MATCH($B15,'Weekly Spend'!$F$86:$F$94,0),MATCH(E$3,'Weekly Spend'!$F$86:$CV$86,0))</f>
        <v>5287</v>
      </c>
      <c r="F15" s="27">
        <f t="array" ref="F15">INDEX('Weekly Spend'!$F$86:$CV$94,MATCH($B15,'Weekly Spend'!$F$86:$F$94,0),MATCH(F$3,'Weekly Spend'!$F$86:$CV$86,0))</f>
        <v>20097.5</v>
      </c>
      <c r="G15" s="27">
        <f t="array" ref="G15">INDEX('Weekly Spend'!$F$86:$CV$94,MATCH($B15,'Weekly Spend'!$F$86:$F$94,0),MATCH(G$3,'Weekly Spend'!$F$86:$CV$86,0))</f>
        <v>67163</v>
      </c>
      <c r="H15" s="27">
        <f>INDEX('Weekly Spend'!$F$86:$CV$94,MATCH($B15,'Weekly Spend'!$F$86:$F$94,0),MATCH(H$3,'Weekly Spend'!$F$86:$CV$86,0))</f>
        <v>4500</v>
      </c>
      <c r="I15" s="27">
        <f t="array" ref="I15">INDEX('Weekly Spend'!$F$86:$CV$94,MATCH($B15,'Weekly Spend'!$F$86:$F$94,0),MATCH(I$3,'Weekly Spend'!$F$86:$CV$86,0))</f>
        <v>14500</v>
      </c>
      <c r="J15" s="27">
        <f t="array" ref="J15">INDEX('Weekly Spend'!$F$86:$CV$94,MATCH($B15,'Weekly Spend'!$F$86:$F$94,0),MATCH(J$3,'Weekly Spend'!$F$86:$CV$86,0))</f>
        <v>54500</v>
      </c>
      <c r="K15" s="27">
        <f t="array" ref="K15">INDEX('Weekly Spend'!$F$86:$CV$94,MATCH($B15,'Weekly Spend'!$F$86:$F$94,0),MATCH(K$3,'Weekly Spend'!$F$86:$CV$86,0))</f>
        <v>26500</v>
      </c>
      <c r="L15" s="27">
        <f t="array" ref="L15">INDEX('Weekly Spend'!$F$86:$CV$94,MATCH($B15,'Weekly Spend'!$F$86:$F$94,0),MATCH(L$3,'Weekly Spend'!$F$86:$CV$86,0))</f>
        <v>44906.25</v>
      </c>
      <c r="M15" s="27">
        <f t="array" ref="M15">INDEX('Weekly Spend'!$F$86:$CV$94,MATCH($B15,'Weekly Spend'!$F$86:$F$94,0),MATCH(M$3,'Weekly Spend'!$F$86:$CV$86,0))</f>
        <v>4906.25</v>
      </c>
      <c r="N15" s="27">
        <f t="array" ref="N15">INDEX('Weekly Spend'!$F$86:$CV$94,MATCH($B15,'Weekly Spend'!$F$86:$F$94,0),MATCH(N$3,'Weekly Spend'!$F$86:$CV$86,0))</f>
        <v>24906.25</v>
      </c>
      <c r="O15" s="27">
        <f t="array" ref="O15">INDEX('Weekly Spend'!$F$86:$CV$94,MATCH($B15,'Weekly Spend'!$F$86:$F$94,0),MATCH(O$3,'Weekly Spend'!$F$86:$CV$86,0))</f>
        <v>26906.25</v>
      </c>
      <c r="P15" s="27">
        <f t="array" ref="P15">INDEX('Weekly Spend'!$F$86:$CV$94,MATCH($B15,'Weekly Spend'!$F$86:$F$94,0),MATCH(P$3,'Weekly Spend'!$F$86:$CV$86,0))</f>
        <v>49625</v>
      </c>
      <c r="R15" s="27">
        <f t="array" ref="R15">INDEX('Weekly Spend'!$F$86:$CV$94,MATCH($B15,'Weekly Spend'!$F$86:$F$94,0),MATCH(R$3,'Weekly Spend'!$F$86:$CV$86,0))</f>
        <v>4625</v>
      </c>
      <c r="S15" s="27">
        <f t="array" ref="S15">INDEX('Weekly Spend'!$F$86:$CV$94,MATCH($B15,'Weekly Spend'!$F$86:$F$94,0),MATCH(S$3,'Weekly Spend'!$F$86:$CV$86,0))</f>
        <v>4625</v>
      </c>
      <c r="T15" s="27">
        <f t="array" ref="T15">INDEX('Weekly Spend'!$F$86:$CV$94,MATCH($B15,'Weekly Spend'!$F$86:$F$94,0),MATCH(T$3,'Weekly Spend'!$F$86:$CV$86,0))</f>
        <v>46625</v>
      </c>
      <c r="U15" s="27">
        <f t="array" ref="U15">INDEX('Weekly Spend'!$F$86:$CV$94,MATCH($B15,'Weekly Spend'!$F$86:$F$94,0),MATCH(U$3,'Weekly Spend'!$F$86:$CV$86,0))</f>
        <v>47940.800000000003</v>
      </c>
      <c r="V15" s="27">
        <f t="array" ref="V15">INDEX('Weekly Spend'!$F$86:$CV$94,MATCH($B15,'Weekly Spend'!$F$86:$F$94,0),MATCH(V$3,'Weekly Spend'!$F$86:$CV$86,0))</f>
        <v>7940.8</v>
      </c>
      <c r="W15" s="27">
        <f t="array" ref="W15">INDEX('Weekly Spend'!$F$86:$CV$94,MATCH($B15,'Weekly Spend'!$F$86:$F$94,0),MATCH(W$3,'Weekly Spend'!$F$86:$CV$86,0))</f>
        <v>7940.8</v>
      </c>
      <c r="X15" s="27">
        <f t="array" ref="X15">INDEX('Weekly Spend'!$F$86:$CV$94,MATCH($B15,'Weekly Spend'!$F$86:$F$94,0),MATCH(X$3,'Weekly Spend'!$F$86:$CV$86,0))</f>
        <v>7940.8</v>
      </c>
      <c r="Y15" s="27">
        <f t="array" ref="Y15">INDEX('Weekly Spend'!$F$86:$CV$94,MATCH($B15,'Weekly Spend'!$F$86:$F$94,0),MATCH(Y$3,'Weekly Spend'!$F$86:$CV$86,0))</f>
        <v>39940.800000000003</v>
      </c>
      <c r="Z15" s="27">
        <f t="array" ref="Z15">INDEX('Weekly Spend'!$F$86:$CV$94,MATCH($B15,'Weekly Spend'!$F$86:$F$94,0),MATCH(Z$3,'Weekly Spend'!$F$86:$CV$86,0))</f>
        <v>44625</v>
      </c>
      <c r="AA15" s="27">
        <f t="array" ref="AA15">INDEX('Weekly Spend'!$F$86:$CV$94,MATCH($B15,'Weekly Spend'!$F$86:$F$94,0),MATCH(AA$3,'Weekly Spend'!$F$86:$CV$86,0))</f>
        <v>4625</v>
      </c>
      <c r="AB15" s="27">
        <f t="array" ref="AB15">INDEX('Weekly Spend'!$F$86:$CV$94,MATCH($B15,'Weekly Spend'!$F$86:$F$94,0),MATCH(AB$3,'Weekly Spend'!$F$86:$CV$86,0))</f>
        <v>4625</v>
      </c>
      <c r="AC15" s="27">
        <f t="array" ref="AC15">INDEX('Weekly Spend'!$F$86:$CV$94,MATCH($B15,'Weekly Spend'!$F$86:$F$94,0),MATCH(AC$3,'Weekly Spend'!$F$86:$CV$86,0))</f>
        <v>22625</v>
      </c>
      <c r="AD15" s="27">
        <f t="array" ref="AD15">INDEX('Weekly Spend'!$F$86:$CV$94,MATCH($B15,'Weekly Spend'!$F$86:$F$94,0),MATCH(AD$3,'Weekly Spend'!$F$86:$CV$86,0))</f>
        <v>45906.25</v>
      </c>
      <c r="AE15" s="27">
        <f t="array" ref="AE15">INDEX('Weekly Spend'!$F$86:$CV$94,MATCH($B15,'Weekly Spend'!$F$86:$F$94,0),MATCH(AE$3,'Weekly Spend'!$F$86:$CV$86,0))</f>
        <v>4906.25</v>
      </c>
      <c r="AF15" s="27">
        <f t="array" ref="AF15">INDEX('Weekly Spend'!$F$86:$CV$94,MATCH($B15,'Weekly Spend'!$F$86:$F$94,0),MATCH(AF$3,'Weekly Spend'!$F$86:$CV$86,0))</f>
        <v>4906.25</v>
      </c>
      <c r="AG15" s="27">
        <f t="array" ref="AG15">INDEX('Weekly Spend'!$F$86:$CV$94,MATCH($B15,'Weekly Spend'!$F$86:$F$94,0),MATCH(AG$3,'Weekly Spend'!$F$86:$CV$86,0))</f>
        <v>26906.25</v>
      </c>
      <c r="AH15" s="27">
        <f t="array" ref="AH15">INDEX('Weekly Spend'!$F$86:$CV$94,MATCH($B15,'Weekly Spend'!$F$86:$F$94,0),MATCH(AH$3,'Weekly Spend'!$F$86:$CV$86,0))</f>
        <v>74500</v>
      </c>
      <c r="AI15" s="27">
        <f t="array" ref="AI15">INDEX('Weekly Spend'!$F$86:$CV$94,MATCH($B15,'Weekly Spend'!$F$86:$F$94,0),MATCH(AI$3,'Weekly Spend'!$F$86:$CV$86,0))</f>
        <v>4500</v>
      </c>
      <c r="AJ15" s="27">
        <f t="array" ref="AJ15">INDEX('Weekly Spend'!$F$86:$CV$94,MATCH($B15,'Weekly Spend'!$F$86:$F$94,0),MATCH(AJ$3,'Weekly Spend'!$F$86:$CV$86,0))</f>
        <v>4500</v>
      </c>
      <c r="AK15" s="27">
        <f t="array" ref="AK15">INDEX('Weekly Spend'!$F$86:$CV$94,MATCH($B15,'Weekly Spend'!$F$86:$F$94,0),MATCH(AK$3,'Weekly Spend'!$F$86:$CV$86,0))</f>
        <v>4500</v>
      </c>
      <c r="AL15" s="27">
        <f t="array" ref="AL15">INDEX('Weekly Spend'!$F$86:$CV$94,MATCH($B15,'Weekly Spend'!$F$86:$F$94,0),MATCH(AL$3,'Weekly Spend'!$F$86:$CV$86,0))</f>
        <v>26500</v>
      </c>
      <c r="AM15" s="27">
        <f t="array" ref="AM15">INDEX('Weekly Spend'!$F$86:$CV$94,MATCH($B15,'Weekly Spend'!$F$86:$F$94,0),MATCH(AM$3,'Weekly Spend'!$F$86:$CV$86,0))</f>
        <v>7245</v>
      </c>
      <c r="AN15" s="27">
        <f t="array" ref="AN15">INDEX('Weekly Spend'!$F$86:$CV$94,MATCH($B15,'Weekly Spend'!$F$86:$F$94,0),MATCH(AN$3,'Weekly Spend'!$F$86:$CV$86,0))</f>
        <v>7245</v>
      </c>
    </row>
    <row r="16" spans="2:41" ht="14.25" customHeight="1" x14ac:dyDescent="0.2">
      <c r="B16" s="26" t="s">
        <v>197</v>
      </c>
      <c r="C16" s="15" t="s">
        <v>224</v>
      </c>
      <c r="D16" s="27">
        <f t="array" ref="D16">INDEX('Weekly Spend'!$F$86:$CV$94,MATCH($B16,'Weekly Spend'!$F$86:$F$94,0),MATCH(D$3,'Weekly Spend'!$F$86:$CV$86,0))</f>
        <v>0</v>
      </c>
      <c r="E16" s="27">
        <f t="array" ref="E16">INDEX('Weekly Spend'!$F$86:$CV$94,MATCH($B16,'Weekly Spend'!$F$86:$F$94,0),MATCH(E$3,'Weekly Spend'!$F$86:$CV$86,0))</f>
        <v>0</v>
      </c>
      <c r="F16" s="27">
        <f t="array" ref="F16">INDEX('Weekly Spend'!$F$86:$CV$94,MATCH($B16,'Weekly Spend'!$F$86:$F$94,0),MATCH(F$3,'Weekly Spend'!$F$86:$CV$86,0))</f>
        <v>0</v>
      </c>
      <c r="G16" s="27">
        <f t="array" ref="G16">INDEX('Weekly Spend'!$F$86:$CV$94,MATCH($B16,'Weekly Spend'!$F$86:$F$94,0),MATCH(G$3,'Weekly Spend'!$F$86:$CV$86,0))</f>
        <v>0</v>
      </c>
      <c r="H16" s="27">
        <f t="array" ref="H16">INDEX('Weekly Spend'!$F$86:$CV$94,MATCH($B16,'Weekly Spend'!$F$86:$F$94,0),MATCH(H$3,'Weekly Spend'!$F$86:$CV$86,0))</f>
        <v>0</v>
      </c>
      <c r="I16" s="27">
        <f t="array" ref="I16">INDEX('Weekly Spend'!$F$86:$CV$94,MATCH($B16,'Weekly Spend'!$F$86:$F$94,0),MATCH(I$3,'Weekly Spend'!$F$86:$CV$86,0))</f>
        <v>0</v>
      </c>
      <c r="J16" s="27">
        <f t="array" ref="J16">INDEX('Weekly Spend'!$F$86:$CV$94,MATCH($B16,'Weekly Spend'!$F$86:$F$94,0),MATCH(J$3,'Weekly Spend'!$F$86:$CV$86,0))</f>
        <v>0</v>
      </c>
      <c r="K16" s="27">
        <f t="array" ref="K16">INDEX('Weekly Spend'!$F$86:$CV$94,MATCH($B16,'Weekly Spend'!$F$86:$F$94,0),MATCH(K$3,'Weekly Spend'!$F$86:$CV$86,0))</f>
        <v>0</v>
      </c>
      <c r="L16" s="27">
        <f t="array" ref="L16">INDEX('Weekly Spend'!$F$86:$CV$94,MATCH($B16,'Weekly Spend'!$F$86:$F$94,0),MATCH(L$3,'Weekly Spend'!$F$86:$CV$86,0))</f>
        <v>0</v>
      </c>
      <c r="M16" s="27">
        <f t="array" ref="M16">INDEX('Weekly Spend'!$F$86:$CV$94,MATCH($B16,'Weekly Spend'!$F$86:$F$94,0),MATCH(M$3,'Weekly Spend'!$F$86:$CV$86,0))</f>
        <v>0</v>
      </c>
      <c r="N16" s="27">
        <f t="array" ref="N16">INDEX('Weekly Spend'!$F$86:$CV$94,MATCH($B16,'Weekly Spend'!$F$86:$F$94,0),MATCH(N$3,'Weekly Spend'!$F$86:$CV$86,0))</f>
        <v>0</v>
      </c>
      <c r="O16" s="27">
        <f t="array" ref="O16">INDEX('Weekly Spend'!$F$86:$CV$94,MATCH($B16,'Weekly Spend'!$F$86:$F$94,0),MATCH(O$3,'Weekly Spend'!$F$86:$CV$86,0))</f>
        <v>0</v>
      </c>
      <c r="P16" s="27">
        <f t="array" ref="P16">INDEX('Weekly Spend'!$F$86:$CV$94,MATCH($B16,'Weekly Spend'!$F$86:$F$94,0),MATCH(P$3,'Weekly Spend'!$F$86:$CV$86,0))</f>
        <v>0</v>
      </c>
      <c r="R16" s="27">
        <f t="array" ref="R16">INDEX('Weekly Spend'!$F$86:$CV$94,MATCH($B16,'Weekly Spend'!$F$86:$F$94,0),MATCH(R$3,'Weekly Spend'!$F$86:$CV$86,0))</f>
        <v>0</v>
      </c>
      <c r="S16" s="27">
        <f t="array" ref="S16">INDEX('Weekly Spend'!$F$86:$CV$94,MATCH($B16,'Weekly Spend'!$F$86:$F$94,0),MATCH(S$3,'Weekly Spend'!$F$86:$CV$86,0))</f>
        <v>0</v>
      </c>
      <c r="T16" s="27">
        <f t="array" ref="T16">INDEX('Weekly Spend'!$F$86:$CV$94,MATCH($B16,'Weekly Spend'!$F$86:$F$94,0),MATCH(T$3,'Weekly Spend'!$F$86:$CV$86,0))</f>
        <v>0</v>
      </c>
      <c r="U16" s="27">
        <f t="array" ref="U16">INDEX('Weekly Spend'!$F$86:$CV$94,MATCH($B16,'Weekly Spend'!$F$86:$F$94,0),MATCH(U$3,'Weekly Spend'!$F$86:$CV$86,0))</f>
        <v>0</v>
      </c>
      <c r="V16" s="27">
        <f t="array" ref="V16">INDEX('Weekly Spend'!$F$86:$CV$94,MATCH($B16,'Weekly Spend'!$F$86:$F$94,0),MATCH(V$3,'Weekly Spend'!$F$86:$CV$86,0))</f>
        <v>0</v>
      </c>
      <c r="W16" s="27">
        <f t="array" ref="W16">INDEX('Weekly Spend'!$F$86:$CV$94,MATCH($B16,'Weekly Spend'!$F$86:$F$94,0),MATCH(W$3,'Weekly Spend'!$F$86:$CV$86,0))</f>
        <v>0</v>
      </c>
      <c r="X16" s="27">
        <f t="array" ref="X16">INDEX('Weekly Spend'!$F$86:$CV$94,MATCH($B16,'Weekly Spend'!$F$86:$F$94,0),MATCH(X$3,'Weekly Spend'!$F$86:$CV$86,0))</f>
        <v>0</v>
      </c>
      <c r="Y16" s="27">
        <f t="array" ref="Y16">INDEX('Weekly Spend'!$F$86:$CV$94,MATCH($B16,'Weekly Spend'!$F$86:$F$94,0),MATCH(Y$3,'Weekly Spend'!$F$86:$CV$86,0))</f>
        <v>0</v>
      </c>
      <c r="Z16" s="27">
        <f t="array" ref="Z16">INDEX('Weekly Spend'!$F$86:$CV$94,MATCH($B16,'Weekly Spend'!$F$86:$F$94,0),MATCH(Z$3,'Weekly Spend'!$F$86:$CV$86,0))</f>
        <v>0</v>
      </c>
      <c r="AA16" s="27">
        <f t="array" ref="AA16">INDEX('Weekly Spend'!$F$86:$CV$94,MATCH($B16,'Weekly Spend'!$F$86:$F$94,0),MATCH(AA$3,'Weekly Spend'!$F$86:$CV$86,0))</f>
        <v>0</v>
      </c>
      <c r="AB16" s="27">
        <f t="array" ref="AB16">INDEX('Weekly Spend'!$F$86:$CV$94,MATCH($B16,'Weekly Spend'!$F$86:$F$94,0),MATCH(AB$3,'Weekly Spend'!$F$86:$CV$86,0))</f>
        <v>0</v>
      </c>
      <c r="AC16" s="27">
        <f t="array" ref="AC16">INDEX('Weekly Spend'!$F$86:$CV$94,MATCH($B16,'Weekly Spend'!$F$86:$F$94,0),MATCH(AC$3,'Weekly Spend'!$F$86:$CV$86,0))</f>
        <v>0</v>
      </c>
      <c r="AD16" s="27">
        <f t="array" ref="AD16">INDEX('Weekly Spend'!$F$86:$CV$94,MATCH($B16,'Weekly Spend'!$F$86:$F$94,0),MATCH(AD$3,'Weekly Spend'!$F$86:$CV$86,0))</f>
        <v>0</v>
      </c>
      <c r="AE16" s="27">
        <f t="array" ref="AE16">INDEX('Weekly Spend'!$F$86:$CV$94,MATCH($B16,'Weekly Spend'!$F$86:$F$94,0),MATCH(AE$3,'Weekly Spend'!$F$86:$CV$86,0))</f>
        <v>0</v>
      </c>
      <c r="AF16" s="27">
        <f t="array" ref="AF16">INDEX('Weekly Spend'!$F$86:$CV$94,MATCH($B16,'Weekly Spend'!$F$86:$F$94,0),MATCH(AF$3,'Weekly Spend'!$F$86:$CV$86,0))</f>
        <v>0</v>
      </c>
      <c r="AG16" s="27">
        <f t="array" ref="AG16">INDEX('Weekly Spend'!$F$86:$CV$94,MATCH($B16,'Weekly Spend'!$F$86:$F$94,0),MATCH(AG$3,'Weekly Spend'!$F$86:$CV$86,0))</f>
        <v>0</v>
      </c>
      <c r="AH16" s="27">
        <f t="array" ref="AH16">INDEX('Weekly Spend'!$F$86:$CV$94,MATCH($B16,'Weekly Spend'!$F$86:$F$94,0),MATCH(AH$3,'Weekly Spend'!$F$86:$CV$86,0))</f>
        <v>0</v>
      </c>
      <c r="AI16" s="27">
        <f t="array" ref="AI16">INDEX('Weekly Spend'!$F$86:$CV$94,MATCH($B16,'Weekly Spend'!$F$86:$F$94,0),MATCH(AI$3,'Weekly Spend'!$F$86:$CV$86,0))</f>
        <v>0</v>
      </c>
      <c r="AJ16" s="27">
        <f t="array" ref="AJ16">INDEX('Weekly Spend'!$F$86:$CV$94,MATCH($B16,'Weekly Spend'!$F$86:$F$94,0),MATCH(AJ$3,'Weekly Spend'!$F$86:$CV$86,0))</f>
        <v>0</v>
      </c>
      <c r="AK16" s="27">
        <f t="array" ref="AK16">INDEX('Weekly Spend'!$F$86:$CV$94,MATCH($B16,'Weekly Spend'!$F$86:$F$94,0),MATCH(AK$3,'Weekly Spend'!$F$86:$CV$86,0))</f>
        <v>0</v>
      </c>
      <c r="AL16" s="27">
        <f t="array" ref="AL16">INDEX('Weekly Spend'!$F$86:$CV$94,MATCH($B16,'Weekly Spend'!$F$86:$F$94,0),MATCH(AL$3,'Weekly Spend'!$F$86:$CV$86,0))</f>
        <v>0</v>
      </c>
      <c r="AM16" s="27">
        <f t="array" ref="AM16">INDEX('Weekly Spend'!$F$86:$CV$94,MATCH($B16,'Weekly Spend'!$F$86:$F$94,0),MATCH(AM$3,'Weekly Spend'!$F$86:$CV$86,0))</f>
        <v>0</v>
      </c>
      <c r="AN16" s="27">
        <f t="array" ref="AN16">INDEX('Weekly Spend'!$F$86:$CV$94,MATCH($B16,'Weekly Spend'!$F$86:$F$94,0),MATCH(AN$3,'Weekly Spend'!$F$86:$CV$86,0))</f>
        <v>0</v>
      </c>
    </row>
    <row r="17" spans="2:40" ht="14.25" customHeight="1" x14ac:dyDescent="0.2">
      <c r="B17" s="26" t="s">
        <v>158</v>
      </c>
      <c r="C17" s="15" t="s">
        <v>224</v>
      </c>
      <c r="D17" s="27">
        <f t="array" ref="D17">INDEX('Weekly Spend'!$F$86:$CV$94,MATCH($B17,'Weekly Spend'!$F$86:$F$94,0),MATCH(D$3,'Weekly Spend'!$F$86:$CV$86,0))</f>
        <v>0</v>
      </c>
      <c r="E17" s="27">
        <f t="array" ref="E17">INDEX('Weekly Spend'!$F$86:$CV$94,MATCH($B17,'Weekly Spend'!$F$86:$F$94,0),MATCH(E$3,'Weekly Spend'!$F$86:$CV$86,0))</f>
        <v>5250</v>
      </c>
      <c r="F17" s="27">
        <f t="array" ref="F17">INDEX('Weekly Spend'!$F$86:$CV$94,MATCH($B17,'Weekly Spend'!$F$86:$F$94,0),MATCH(F$3,'Weekly Spend'!$F$86:$CV$86,0))</f>
        <v>44000</v>
      </c>
      <c r="G17" s="27">
        <f t="array" ref="G17">INDEX('Weekly Spend'!$F$86:$CV$94,MATCH($B17,'Weekly Spend'!$F$86:$F$94,0),MATCH(G$3,'Weekly Spend'!$F$86:$CV$86,0))</f>
        <v>0</v>
      </c>
      <c r="H17" s="27">
        <f t="array" ref="H17">INDEX('Weekly Spend'!$F$86:$CV$94,MATCH($B17,'Weekly Spend'!$F$86:$F$94,0),MATCH(H$3,'Weekly Spend'!$F$86:$CV$86,0))</f>
        <v>0</v>
      </c>
      <c r="I17" s="27">
        <f t="array" ref="I17">INDEX('Weekly Spend'!$F$86:$CV$94,MATCH($B17,'Weekly Spend'!$F$86:$F$94,0),MATCH(I$3,'Weekly Spend'!$F$86:$CV$86,0))</f>
        <v>0</v>
      </c>
      <c r="J17" s="27">
        <f t="array" ref="J17">INDEX('Weekly Spend'!$F$86:$CV$94,MATCH($B17,'Weekly Spend'!$F$86:$F$94,0),MATCH(J$3,'Weekly Spend'!$F$86:$CV$86,0))</f>
        <v>10700</v>
      </c>
      <c r="K17" s="27">
        <f t="array" ref="K17">INDEX('Weekly Spend'!$F$86:$CV$94,MATCH($B17,'Weekly Spend'!$F$86:$F$94,0),MATCH(K$3,'Weekly Spend'!$F$86:$CV$86,0))</f>
        <v>9500</v>
      </c>
      <c r="L17" s="27">
        <f t="array" ref="L17">INDEX('Weekly Spend'!$F$86:$CV$94,MATCH($B17,'Weekly Spend'!$F$86:$F$94,0),MATCH(L$3,'Weekly Spend'!$F$86:$CV$86,0))</f>
        <v>2500</v>
      </c>
      <c r="M17" s="27">
        <f t="array" ref="M17">INDEX('Weekly Spend'!$F$86:$CV$94,MATCH($B17,'Weekly Spend'!$F$86:$F$94,0),MATCH(M$3,'Weekly Spend'!$F$86:$CV$86,0))</f>
        <v>2500</v>
      </c>
      <c r="N17" s="27">
        <f t="array" ref="N17">INDEX('Weekly Spend'!$F$86:$CV$94,MATCH($B17,'Weekly Spend'!$F$86:$F$94,0),MATCH(N$3,'Weekly Spend'!$F$86:$CV$86,0))</f>
        <v>2500</v>
      </c>
      <c r="O17" s="27">
        <f t="array" ref="O17">INDEX('Weekly Spend'!$F$86:$CV$94,MATCH($B17,'Weekly Spend'!$F$86:$F$94,0),MATCH(O$3,'Weekly Spend'!$F$86:$CV$86,0))</f>
        <v>24000</v>
      </c>
      <c r="P17" s="27">
        <f t="array" ref="P17">INDEX('Weekly Spend'!$F$86:$CV$94,MATCH($B17,'Weekly Spend'!$F$86:$F$94,0),MATCH(P$3,'Weekly Spend'!$F$86:$CV$86,0))</f>
        <v>2800</v>
      </c>
      <c r="R17" s="27">
        <f t="array" ref="R17">INDEX('Weekly Spend'!$F$86:$CV$94,MATCH($B17,'Weekly Spend'!$F$86:$F$94,0),MATCH(R$3,'Weekly Spend'!$F$86:$CV$86,0))</f>
        <v>2500</v>
      </c>
      <c r="S17" s="27">
        <f t="array" ref="S17">INDEX('Weekly Spend'!$F$86:$CV$94,MATCH($B17,'Weekly Spend'!$F$86:$F$94,0),MATCH(S$3,'Weekly Spend'!$F$86:$CV$86,0))</f>
        <v>2500</v>
      </c>
      <c r="T17" s="27">
        <f t="array" ref="T17">INDEX('Weekly Spend'!$F$86:$CV$94,MATCH($B17,'Weekly Spend'!$F$86:$F$94,0),MATCH(T$3,'Weekly Spend'!$F$86:$CV$86,0))</f>
        <v>24500</v>
      </c>
      <c r="U17" s="27">
        <f t="array" ref="U17">INDEX('Weekly Spend'!$F$86:$CV$94,MATCH($B17,'Weekly Spend'!$F$86:$F$94,0),MATCH(U$3,'Weekly Spend'!$F$86:$CV$86,0))</f>
        <v>2000</v>
      </c>
      <c r="V17" s="27">
        <f t="array" ref="V17">INDEX('Weekly Spend'!$F$86:$CV$94,MATCH($B17,'Weekly Spend'!$F$86:$F$94,0),MATCH(V$3,'Weekly Spend'!$F$86:$CV$86,0))</f>
        <v>2000</v>
      </c>
      <c r="W17" s="27">
        <f t="array" ref="W17">INDEX('Weekly Spend'!$F$86:$CV$94,MATCH($B17,'Weekly Spend'!$F$86:$F$94,0),MATCH(W$3,'Weekly Spend'!$F$86:$CV$86,0))</f>
        <v>2000</v>
      </c>
      <c r="X17" s="27">
        <f t="array" ref="X17">INDEX('Weekly Spend'!$F$86:$CV$94,MATCH($B17,'Weekly Spend'!$F$86:$F$94,0),MATCH(X$3,'Weekly Spend'!$F$86:$CV$86,0))</f>
        <v>10700</v>
      </c>
      <c r="Y17" s="27">
        <f t="array" ref="Y17">INDEX('Weekly Spend'!$F$86:$CV$94,MATCH($B17,'Weekly Spend'!$F$86:$F$94,0),MATCH(Y$3,'Weekly Spend'!$F$86:$CV$86,0))</f>
        <v>5000</v>
      </c>
      <c r="Z17" s="27">
        <f t="array" ref="Z17">INDEX('Weekly Spend'!$F$86:$CV$94,MATCH($B17,'Weekly Spend'!$F$86:$F$94,0),MATCH(Z$3,'Weekly Spend'!$F$86:$CV$86,0))</f>
        <v>2500</v>
      </c>
      <c r="AA17" s="27">
        <f t="array" ref="AA17">INDEX('Weekly Spend'!$F$86:$CV$94,MATCH($B17,'Weekly Spend'!$F$86:$F$94,0),MATCH(AA$3,'Weekly Spend'!$F$86:$CV$86,0))</f>
        <v>0</v>
      </c>
      <c r="AB17" s="27">
        <f t="array" ref="AB17">INDEX('Weekly Spend'!$F$86:$CV$94,MATCH($B17,'Weekly Spend'!$F$86:$F$94,0),MATCH(AB$3,'Weekly Spend'!$F$86:$CV$86,0))</f>
        <v>0</v>
      </c>
      <c r="AC17" s="27">
        <f t="array" ref="AC17">INDEX('Weekly Spend'!$F$86:$CV$94,MATCH($B17,'Weekly Spend'!$F$86:$F$94,0),MATCH(AC$3,'Weekly Spend'!$F$86:$CV$86,0))</f>
        <v>0</v>
      </c>
      <c r="AD17" s="27">
        <f t="array" ref="AD17">INDEX('Weekly Spend'!$F$86:$CV$94,MATCH($B17,'Weekly Spend'!$F$86:$F$94,0),MATCH(AD$3,'Weekly Spend'!$F$86:$CV$86,0))</f>
        <v>0</v>
      </c>
      <c r="AE17" s="27">
        <f t="array" ref="AE17">INDEX('Weekly Spend'!$F$86:$CV$94,MATCH($B17,'Weekly Spend'!$F$86:$F$94,0),MATCH(AE$3,'Weekly Spend'!$F$86:$CV$86,0))</f>
        <v>0</v>
      </c>
      <c r="AF17" s="27">
        <f t="array" ref="AF17">INDEX('Weekly Spend'!$F$86:$CV$94,MATCH($B17,'Weekly Spend'!$F$86:$F$94,0),MATCH(AF$3,'Weekly Spend'!$F$86:$CV$86,0))</f>
        <v>2500</v>
      </c>
      <c r="AG17" s="27">
        <f t="array" ref="AG17">INDEX('Weekly Spend'!$F$86:$CV$94,MATCH($B17,'Weekly Spend'!$F$86:$F$94,0),MATCH(AG$3,'Weekly Spend'!$F$86:$CV$86,0))</f>
        <v>2500</v>
      </c>
      <c r="AH17" s="27">
        <f t="array" ref="AH17">INDEX('Weekly Spend'!$F$86:$CV$94,MATCH($B17,'Weekly Spend'!$F$86:$F$94,0),MATCH(AH$3,'Weekly Spend'!$F$86:$CV$86,0))</f>
        <v>2000</v>
      </c>
      <c r="AI17" s="27">
        <f t="array" ref="AI17">INDEX('Weekly Spend'!$F$86:$CV$94,MATCH($B17,'Weekly Spend'!$F$86:$F$94,0),MATCH(AI$3,'Weekly Spend'!$F$86:$CV$86,0))</f>
        <v>2000</v>
      </c>
      <c r="AJ17" s="27">
        <f t="array" ref="AJ17">INDEX('Weekly Spend'!$F$86:$CV$94,MATCH($B17,'Weekly Spend'!$F$86:$F$94,0),MATCH(AJ$3,'Weekly Spend'!$F$86:$CV$86,0))</f>
        <v>2000</v>
      </c>
      <c r="AK17" s="27">
        <f t="array" ref="AK17">INDEX('Weekly Spend'!$F$86:$CV$94,MATCH($B17,'Weekly Spend'!$F$86:$F$94,0),MATCH(AK$3,'Weekly Spend'!$F$86:$CV$86,0))</f>
        <v>2000</v>
      </c>
      <c r="AL17" s="27">
        <f t="array" ref="AL17">INDEX('Weekly Spend'!$F$86:$CV$94,MATCH($B17,'Weekly Spend'!$F$86:$F$94,0),MATCH(AL$3,'Weekly Spend'!$F$86:$CV$86,0))</f>
        <v>2000</v>
      </c>
      <c r="AM17" s="27">
        <f t="array" ref="AM17">INDEX('Weekly Spend'!$F$86:$CV$94,MATCH($B17,'Weekly Spend'!$F$86:$F$94,0),MATCH(AM$3,'Weekly Spend'!$F$86:$CV$86,0))</f>
        <v>2500</v>
      </c>
      <c r="AN17" s="27">
        <f t="array" ref="AN17">INDEX('Weekly Spend'!$F$86:$CV$94,MATCH($B17,'Weekly Spend'!$F$86:$F$94,0),MATCH(AN$3,'Weekly Spend'!$F$86:$CV$86,0))</f>
        <v>2500</v>
      </c>
    </row>
    <row r="18" spans="2:40" ht="14.25" customHeight="1" x14ac:dyDescent="0.2">
      <c r="B18" s="26" t="s">
        <v>198</v>
      </c>
      <c r="C18" s="15" t="s">
        <v>225</v>
      </c>
      <c r="D18" s="27">
        <f>INDEX('Weekly Spend'!$F$86:$CV$94,MATCH($B18,'Weekly Spend'!$F$86:$F$94,0),MATCH(D$3,'Weekly Spend'!$F$86:$CV$86,0))</f>
        <v>0</v>
      </c>
      <c r="E18" s="27">
        <f t="array" ref="E18">INDEX('Weekly Spend'!$F$86:$CV$94,MATCH($B18,'Weekly Spend'!$F$86:$F$94,0),MATCH(E$3,'Weekly Spend'!$F$86:$CV$86,0))</f>
        <v>0</v>
      </c>
      <c r="F18" s="27">
        <f t="array" ref="F18">INDEX('Weekly Spend'!$F$86:$CV$94,MATCH($B18,'Weekly Spend'!$F$86:$F$94,0),MATCH(F$3,'Weekly Spend'!$F$86:$CV$86,0))</f>
        <v>0</v>
      </c>
      <c r="G18" s="27">
        <f t="array" ref="G18">INDEX('Weekly Spend'!$F$86:$CV$94,MATCH($B18,'Weekly Spend'!$F$86:$F$94,0),MATCH(G$3,'Weekly Spend'!$F$86:$CV$86,0))</f>
        <v>0</v>
      </c>
      <c r="H18" s="27">
        <f t="array" ref="H18">INDEX('Weekly Spend'!$F$86:$CV$94,MATCH($B18,'Weekly Spend'!$F$86:$F$94,0),MATCH(H$3,'Weekly Spend'!$F$86:$CV$86,0))</f>
        <v>0</v>
      </c>
      <c r="I18" s="27">
        <f t="array" ref="I18">INDEX('Weekly Spend'!$F$86:$CV$94,MATCH($B18,'Weekly Spend'!$F$86:$F$94,0),MATCH(I$3,'Weekly Spend'!$F$86:$CV$86,0))</f>
        <v>0</v>
      </c>
      <c r="J18" s="27">
        <f t="array" ref="J18">INDEX('Weekly Spend'!$F$86:$CV$94,MATCH($B18,'Weekly Spend'!$F$86:$F$94,0),MATCH(J$3,'Weekly Spend'!$F$86:$CV$86,0))</f>
        <v>0</v>
      </c>
      <c r="K18" s="27">
        <f t="array" ref="K18">INDEX('Weekly Spend'!$F$86:$CV$94,MATCH($B18,'Weekly Spend'!$F$86:$F$94,0),MATCH(K$3,'Weekly Spend'!$F$86:$CV$86,0))</f>
        <v>0</v>
      </c>
      <c r="L18" s="27">
        <f t="array" ref="L18">INDEX('Weekly Spend'!$F$86:$CV$94,MATCH($B18,'Weekly Spend'!$F$86:$F$94,0),MATCH(L$3,'Weekly Spend'!$F$86:$CV$86,0))</f>
        <v>0</v>
      </c>
      <c r="M18" s="27">
        <f t="array" ref="M18">INDEX('Weekly Spend'!$F$86:$CV$94,MATCH($B18,'Weekly Spend'!$F$86:$F$94,0),MATCH(M$3,'Weekly Spend'!$F$86:$CV$86,0))</f>
        <v>0</v>
      </c>
      <c r="N18" s="27">
        <f t="array" ref="N18">INDEX('Weekly Spend'!$F$86:$CV$94,MATCH($B18,'Weekly Spend'!$F$86:$F$94,0),MATCH(N$3,'Weekly Spend'!$F$86:$CV$86,0))</f>
        <v>0</v>
      </c>
      <c r="O18" s="27">
        <f t="array" ref="O18">INDEX('Weekly Spend'!$F$86:$CV$94,MATCH($B18,'Weekly Spend'!$F$86:$F$94,0),MATCH(O$3,'Weekly Spend'!$F$86:$CV$86,0))</f>
        <v>0</v>
      </c>
      <c r="P18" s="27">
        <f t="array" ref="P18">INDEX('Weekly Spend'!$F$86:$CV$94,MATCH($B18,'Weekly Spend'!$F$86:$F$94,0),MATCH(P$3,'Weekly Spend'!$F$86:$CV$86,0))</f>
        <v>0</v>
      </c>
      <c r="R18" s="27">
        <f t="array" ref="R18">INDEX('Weekly Spend'!$F$86:$CV$94,MATCH($B18,'Weekly Spend'!$F$86:$F$94,0),MATCH(R$3,'Weekly Spend'!$F$86:$CV$86,0))</f>
        <v>0</v>
      </c>
      <c r="S18" s="27">
        <f t="array" ref="S18">INDEX('Weekly Spend'!$F$86:$CV$94,MATCH($B18,'Weekly Spend'!$F$86:$F$94,0),MATCH(S$3,'Weekly Spend'!$F$86:$CV$86,0))</f>
        <v>0</v>
      </c>
      <c r="T18" s="27">
        <f t="array" ref="T18">INDEX('Weekly Spend'!$F$86:$CV$94,MATCH($B18,'Weekly Spend'!$F$86:$F$94,0),MATCH(T$3,'Weekly Spend'!$F$86:$CV$86,0))</f>
        <v>0</v>
      </c>
      <c r="U18" s="27">
        <f t="array" ref="U18">INDEX('Weekly Spend'!$F$86:$CV$94,MATCH($B18,'Weekly Spend'!$F$86:$F$94,0),MATCH(U$3,'Weekly Spend'!$F$86:$CV$86,0))</f>
        <v>0</v>
      </c>
      <c r="V18" s="27">
        <f t="array" ref="V18">INDEX('Weekly Spend'!$F$86:$CV$94,MATCH($B18,'Weekly Spend'!$F$86:$F$94,0),MATCH(V$3,'Weekly Spend'!$F$86:$CV$86,0))</f>
        <v>0</v>
      </c>
      <c r="W18" s="27">
        <f t="array" ref="W18">INDEX('Weekly Spend'!$F$86:$CV$94,MATCH($B18,'Weekly Spend'!$F$86:$F$94,0),MATCH(W$3,'Weekly Spend'!$F$86:$CV$86,0))</f>
        <v>0</v>
      </c>
      <c r="X18" s="27">
        <f t="array" ref="X18">INDEX('Weekly Spend'!$F$86:$CV$94,MATCH($B18,'Weekly Spend'!$F$86:$F$94,0),MATCH(X$3,'Weekly Spend'!$F$86:$CV$86,0))</f>
        <v>0</v>
      </c>
      <c r="Y18" s="27">
        <f t="array" ref="Y18">INDEX('Weekly Spend'!$F$86:$CV$94,MATCH($B18,'Weekly Spend'!$F$86:$F$94,0),MATCH(Y$3,'Weekly Spend'!$F$86:$CV$86,0))</f>
        <v>0</v>
      </c>
      <c r="Z18" s="27">
        <f t="array" ref="Z18">INDEX('Weekly Spend'!$F$86:$CV$94,MATCH($B18,'Weekly Spend'!$F$86:$F$94,0),MATCH(Z$3,'Weekly Spend'!$F$86:$CV$86,0))</f>
        <v>0</v>
      </c>
      <c r="AA18" s="27">
        <f t="array" ref="AA18">INDEX('Weekly Spend'!$F$86:$CV$94,MATCH($B18,'Weekly Spend'!$F$86:$F$94,0),MATCH(AA$3,'Weekly Spend'!$F$86:$CV$86,0))</f>
        <v>0</v>
      </c>
      <c r="AB18" s="27">
        <f t="array" ref="AB18">INDEX('Weekly Spend'!$F$86:$CV$94,MATCH($B18,'Weekly Spend'!$F$86:$F$94,0),MATCH(AB$3,'Weekly Spend'!$F$86:$CV$86,0))</f>
        <v>0</v>
      </c>
      <c r="AC18" s="27">
        <f t="array" ref="AC18">INDEX('Weekly Spend'!$F$86:$CV$94,MATCH($B18,'Weekly Spend'!$F$86:$F$94,0),MATCH(AC$3,'Weekly Spend'!$F$86:$CV$86,0))</f>
        <v>0</v>
      </c>
      <c r="AD18" s="27">
        <f t="array" ref="AD18">INDEX('Weekly Spend'!$F$86:$CV$94,MATCH($B18,'Weekly Spend'!$F$86:$F$94,0),MATCH(AD$3,'Weekly Spend'!$F$86:$CV$86,0))</f>
        <v>0</v>
      </c>
      <c r="AE18" s="27">
        <f t="array" ref="AE18">INDEX('Weekly Spend'!$F$86:$CV$94,MATCH($B18,'Weekly Spend'!$F$86:$F$94,0),MATCH(AE$3,'Weekly Spend'!$F$86:$CV$86,0))</f>
        <v>0</v>
      </c>
      <c r="AF18" s="27">
        <f t="array" ref="AF18">INDEX('Weekly Spend'!$F$86:$CV$94,MATCH($B18,'Weekly Spend'!$F$86:$F$94,0),MATCH(AF$3,'Weekly Spend'!$F$86:$CV$86,0))</f>
        <v>0</v>
      </c>
      <c r="AG18" s="27">
        <f t="array" ref="AG18">INDEX('Weekly Spend'!$F$86:$CV$94,MATCH($B18,'Weekly Spend'!$F$86:$F$94,0),MATCH(AG$3,'Weekly Spend'!$F$86:$CV$86,0))</f>
        <v>0</v>
      </c>
      <c r="AH18" s="27">
        <f t="array" ref="AH18">INDEX('Weekly Spend'!$F$86:$CV$94,MATCH($B18,'Weekly Spend'!$F$86:$F$94,0),MATCH(AH$3,'Weekly Spend'!$F$86:$CV$86,0))</f>
        <v>0</v>
      </c>
      <c r="AI18" s="27">
        <f t="array" ref="AI18">INDEX('Weekly Spend'!$F$86:$CV$94,MATCH($B18,'Weekly Spend'!$F$86:$F$94,0),MATCH(AI$3,'Weekly Spend'!$F$86:$CV$86,0))</f>
        <v>0</v>
      </c>
      <c r="AJ18" s="27">
        <f t="array" ref="AJ18">INDEX('Weekly Spend'!$F$86:$CV$94,MATCH($B18,'Weekly Spend'!$F$86:$F$94,0),MATCH(AJ$3,'Weekly Spend'!$F$86:$CV$86,0))</f>
        <v>0</v>
      </c>
      <c r="AK18" s="27">
        <f t="array" ref="AK18">INDEX('Weekly Spend'!$F$86:$CV$94,MATCH($B18,'Weekly Spend'!$F$86:$F$94,0),MATCH(AK$3,'Weekly Spend'!$F$86:$CV$86,0))</f>
        <v>0</v>
      </c>
      <c r="AL18" s="27">
        <f t="array" ref="AL18">INDEX('Weekly Spend'!$F$86:$CV$94,MATCH($B18,'Weekly Spend'!$F$86:$F$94,0),MATCH(AL$3,'Weekly Spend'!$F$86:$CV$86,0))</f>
        <v>0</v>
      </c>
      <c r="AM18" s="27">
        <f t="array" ref="AM18">INDEX('Weekly Spend'!$F$86:$CV$94,MATCH($B18,'Weekly Spend'!$F$86:$F$94,0),MATCH(AM$3,'Weekly Spend'!$F$86:$CV$86,0))</f>
        <v>0</v>
      </c>
      <c r="AN18" s="27">
        <f t="array" ref="AN18">INDEX('Weekly Spend'!$F$86:$CV$94,MATCH($B18,'Weekly Spend'!$F$86:$F$94,0),MATCH(AN$3,'Weekly Spend'!$F$86:$CV$86,0))</f>
        <v>0</v>
      </c>
    </row>
    <row r="19" spans="2:40" ht="14.25" customHeight="1" x14ac:dyDescent="0.2">
      <c r="B19" s="26" t="s">
        <v>79</v>
      </c>
      <c r="C19" s="15" t="s">
        <v>226</v>
      </c>
      <c r="D19" s="27">
        <f t="array" ref="D19">INDEX('Weekly Spend'!$F$86:$CV$94,MATCH($B19,'Weekly Spend'!$F$86:$F$94,0),MATCH(D$3,'Weekly Spend'!$F$86:$CV$86,0))</f>
        <v>59428</v>
      </c>
      <c r="E19" s="27">
        <f t="array" ref="E19">INDEX('Weekly Spend'!$F$86:$CV$94,MATCH($B19,'Weekly Spend'!$F$86:$F$94,0),MATCH(E$3,'Weekly Spend'!$F$86:$CV$86,0))</f>
        <v>0</v>
      </c>
      <c r="F19" s="27">
        <f t="array" ref="F19">INDEX('Weekly Spend'!$F$86:$CV$94,MATCH($B19,'Weekly Spend'!$F$86:$F$94,0),MATCH(F$3,'Weekly Spend'!$F$86:$CV$86,0))</f>
        <v>19000</v>
      </c>
      <c r="G19" s="27">
        <f t="array" ref="G19">INDEX('Weekly Spend'!$F$86:$CV$94,MATCH($B19,'Weekly Spend'!$F$86:$F$94,0),MATCH(G$3,'Weekly Spend'!$F$86:$CV$86,0))</f>
        <v>212100</v>
      </c>
      <c r="H19" s="27">
        <f>INDEX('Weekly Spend'!$F$86:$CV$94,MATCH($B19,'Weekly Spend'!$F$86:$F$94,0),MATCH(H$3,'Weekly Spend'!$F$86:$CV$86,0))</f>
        <v>0</v>
      </c>
      <c r="I19" s="27">
        <f t="array" ref="I19">INDEX('Weekly Spend'!$F$86:$CV$94,MATCH($B19,'Weekly Spend'!$F$86:$F$94,0),MATCH(I$3,'Weekly Spend'!$F$86:$CV$86,0))</f>
        <v>132000</v>
      </c>
      <c r="J19" s="27">
        <f t="array" ref="J19">INDEX('Weekly Spend'!$F$86:$CV$94,MATCH($B19,'Weekly Spend'!$F$86:$F$94,0),MATCH(J$3,'Weekly Spend'!$F$86:$CV$86,0))</f>
        <v>19200</v>
      </c>
      <c r="K19" s="27">
        <f t="array" ref="K19">INDEX('Weekly Spend'!$F$86:$CV$94,MATCH($B19,'Weekly Spend'!$F$86:$F$94,0),MATCH(K$3,'Weekly Spend'!$F$86:$CV$86,0))</f>
        <v>430000</v>
      </c>
      <c r="L19" s="27">
        <f t="array" ref="L19">INDEX('Weekly Spend'!$F$86:$CV$94,MATCH($B19,'Weekly Spend'!$F$86:$F$94,0),MATCH(L$3,'Weekly Spend'!$F$86:$CV$86,0))</f>
        <v>221429</v>
      </c>
      <c r="M19" s="27">
        <f t="array" ref="M19">INDEX('Weekly Spend'!$F$86:$CV$94,MATCH($B19,'Weekly Spend'!$F$86:$F$94,0),MATCH(M$3,'Weekly Spend'!$F$86:$CV$86,0))</f>
        <v>601044</v>
      </c>
      <c r="N19" s="27">
        <f t="array" ref="N19">INDEX('Weekly Spend'!$F$86:$CV$94,MATCH($B19,'Weekly Spend'!$F$86:$F$94,0),MATCH(N$3,'Weekly Spend'!$F$86:$CV$86,0))</f>
        <v>14400</v>
      </c>
      <c r="O19" s="27">
        <f t="array" ref="O19">INDEX('Weekly Spend'!$F$86:$CV$94,MATCH($B19,'Weekly Spend'!$F$86:$F$94,0),MATCH(O$3,'Weekly Spend'!$F$86:$CV$86,0))</f>
        <v>50000</v>
      </c>
      <c r="P19" s="27">
        <f t="array" ref="P19">INDEX('Weekly Spend'!$F$86:$CV$94,MATCH($B19,'Weekly Spend'!$F$86:$F$94,0),MATCH(P$3,'Weekly Spend'!$F$86:$CV$86,0))</f>
        <v>0</v>
      </c>
      <c r="R19" s="27">
        <f t="array" ref="R19">INDEX('Weekly Spend'!$F$86:$CV$94,MATCH($B19,'Weekly Spend'!$F$86:$F$94,0),MATCH(R$3,'Weekly Spend'!$F$86:$CV$86,0))</f>
        <v>0</v>
      </c>
      <c r="S19" s="27">
        <f t="array" ref="S19">INDEX('Weekly Spend'!$F$86:$CV$94,MATCH($B19,'Weekly Spend'!$F$86:$F$94,0),MATCH(S$3,'Weekly Spend'!$F$86:$CV$86,0))</f>
        <v>0</v>
      </c>
      <c r="T19" s="27">
        <f t="array" ref="T19">INDEX('Weekly Spend'!$F$86:$CV$94,MATCH($B19,'Weekly Spend'!$F$86:$F$94,0),MATCH(T$3,'Weekly Spend'!$F$86:$CV$86,0))</f>
        <v>215900</v>
      </c>
      <c r="U19" s="27">
        <f t="array" ref="U19">INDEX('Weekly Spend'!$F$86:$CV$94,MATCH($B19,'Weekly Spend'!$F$86:$F$94,0),MATCH(U$3,'Weekly Spend'!$F$86:$CV$86,0))</f>
        <v>221429</v>
      </c>
      <c r="V19" s="27">
        <f t="array" ref="V19">INDEX('Weekly Spend'!$F$86:$CV$94,MATCH($B19,'Weekly Spend'!$F$86:$F$94,0),MATCH(V$3,'Weekly Spend'!$F$86:$CV$86,0))</f>
        <v>460200</v>
      </c>
      <c r="W19" s="27">
        <f t="array" ref="W19">INDEX('Weekly Spend'!$F$86:$CV$94,MATCH($B19,'Weekly Spend'!$F$86:$F$94,0),MATCH(W$3,'Weekly Spend'!$F$86:$CV$86,0))</f>
        <v>0</v>
      </c>
      <c r="X19" s="27">
        <f t="array" ref="X19">INDEX('Weekly Spend'!$F$86:$CV$94,MATCH($B19,'Weekly Spend'!$F$86:$F$94,0),MATCH(X$3,'Weekly Spend'!$F$86:$CV$86,0))</f>
        <v>0</v>
      </c>
      <c r="Y19" s="27">
        <f t="array" ref="Y19">INDEX('Weekly Spend'!$F$86:$CV$94,MATCH($B19,'Weekly Spend'!$F$86:$F$94,0),MATCH(Y$3,'Weekly Spend'!$F$86:$CV$86,0))</f>
        <v>33600</v>
      </c>
      <c r="Z19" s="27">
        <f t="array" ref="Z19">INDEX('Weekly Spend'!$F$86:$CV$94,MATCH($B19,'Weekly Spend'!$F$86:$F$94,0),MATCH(Z$3,'Weekly Spend'!$F$86:$CV$86,0))</f>
        <v>102786</v>
      </c>
      <c r="AA19" s="27">
        <f t="array" ref="AA19">INDEX('Weekly Spend'!$F$86:$CV$94,MATCH($B19,'Weekly Spend'!$F$86:$F$94,0),MATCH(AA$3,'Weekly Spend'!$F$86:$CV$86,0))</f>
        <v>0</v>
      </c>
      <c r="AB19" s="27">
        <f t="array" ref="AB19">INDEX('Weekly Spend'!$F$86:$CV$94,MATCH($B19,'Weekly Spend'!$F$86:$F$94,0),MATCH(AB$3,'Weekly Spend'!$F$86:$CV$86,0))</f>
        <v>0</v>
      </c>
      <c r="AC19" s="27">
        <f t="array" ref="AC19">INDEX('Weekly Spend'!$F$86:$CV$94,MATCH($B19,'Weekly Spend'!$F$86:$F$94,0),MATCH(AC$3,'Weekly Spend'!$F$86:$CV$86,0))</f>
        <v>0</v>
      </c>
      <c r="AD19" s="27">
        <f t="array" ref="AD19">INDEX('Weekly Spend'!$F$86:$CV$94,MATCH($B19,'Weekly Spend'!$F$86:$F$94,0),MATCH(AD$3,'Weekly Spend'!$F$86:$CV$86,0))</f>
        <v>617429</v>
      </c>
      <c r="AE19" s="27">
        <f t="array" ref="AE19">INDEX('Weekly Spend'!$F$86:$CV$94,MATCH($B19,'Weekly Spend'!$F$86:$F$94,0),MATCH(AE$3,'Weekly Spend'!$F$86:$CV$86,0))</f>
        <v>0</v>
      </c>
      <c r="AF19" s="27">
        <f t="array" ref="AF19">INDEX('Weekly Spend'!$F$86:$CV$94,MATCH($B19,'Weekly Spend'!$F$86:$F$94,0),MATCH(AF$3,'Weekly Spend'!$F$86:$CV$86,0))</f>
        <v>0</v>
      </c>
      <c r="AG19" s="27">
        <f t="array" ref="AG19">INDEX('Weekly Spend'!$F$86:$CV$94,MATCH($B19,'Weekly Spend'!$F$86:$F$94,0),MATCH(AG$3,'Weekly Spend'!$F$86:$CV$86,0))</f>
        <v>0</v>
      </c>
      <c r="AH19" s="27">
        <f t="array" ref="AH19">INDEX('Weekly Spend'!$F$86:$CV$94,MATCH($B19,'Weekly Spend'!$F$86:$F$94,0),MATCH(AH$3,'Weekly Spend'!$F$86:$CV$86,0))</f>
        <v>0</v>
      </c>
      <c r="AI19" s="27">
        <f t="array" ref="AI19">INDEX('Weekly Spend'!$F$86:$CV$94,MATCH($B19,'Weekly Spend'!$F$86:$F$94,0),MATCH(AI$3,'Weekly Spend'!$F$86:$CV$86,0))</f>
        <v>0</v>
      </c>
      <c r="AJ19" s="27">
        <f t="array" ref="AJ19">INDEX('Weekly Spend'!$F$86:$CV$94,MATCH($B19,'Weekly Spend'!$F$86:$F$94,0),MATCH(AJ$3,'Weekly Spend'!$F$86:$CV$86,0))</f>
        <v>0</v>
      </c>
      <c r="AK19" s="27">
        <f t="array" ref="AK19">INDEX('Weekly Spend'!$F$86:$CV$94,MATCH($B19,'Weekly Spend'!$F$86:$F$94,0),MATCH(AK$3,'Weekly Spend'!$F$86:$CV$86,0))</f>
        <v>0</v>
      </c>
      <c r="AL19" s="27">
        <f t="array" ref="AL19">INDEX('Weekly Spend'!$F$86:$CV$94,MATCH($B19,'Weekly Spend'!$F$86:$F$94,0),MATCH(AL$3,'Weekly Spend'!$F$86:$CV$86,0))</f>
        <v>288498</v>
      </c>
      <c r="AM19" s="27">
        <f t="array" ref="AM19">INDEX('Weekly Spend'!$F$86:$CV$94,MATCH($B19,'Weekly Spend'!$F$86:$F$94,0),MATCH(AM$3,'Weekly Spend'!$F$86:$CV$86,0))</f>
        <v>0</v>
      </c>
      <c r="AN19" s="27">
        <f t="array" ref="AN19">INDEX('Weekly Spend'!$F$86:$CV$94,MATCH($B19,'Weekly Spend'!$F$86:$F$94,0),MATCH(AN$3,'Weekly Spend'!$F$86:$CV$86,0))</f>
        <v>0</v>
      </c>
    </row>
    <row r="20" spans="2:40" ht="14.25" customHeight="1" x14ac:dyDescent="0.2">
      <c r="B20" s="26" t="s">
        <v>111</v>
      </c>
      <c r="C20" s="15" t="s">
        <v>224</v>
      </c>
      <c r="D20" s="27">
        <f t="array" ref="D20">INDEX('Weekly Spend'!$F$86:$CV$94,MATCH($B20,'Weekly Spend'!$F$86:$F$94,0),MATCH(D$3,'Weekly Spend'!$F$86:$CV$86,0))</f>
        <v>57692.310000000005</v>
      </c>
      <c r="E20" s="27">
        <f t="array" ref="E20">INDEX('Weekly Spend'!$F$86:$CV$94,MATCH($B20,'Weekly Spend'!$F$86:$F$94,0),MATCH(E$3,'Weekly Spend'!$F$86:$CV$86,0))</f>
        <v>0</v>
      </c>
      <c r="F20" s="27">
        <f>INDEX('Weekly Spend'!$F$86:$CV$94,MATCH($B20,'Weekly Spend'!$F$86:$F$94,0),MATCH(F$3,'Weekly Spend'!$F$86:$CV$86,0))</f>
        <v>155000</v>
      </c>
      <c r="G20" s="27">
        <f t="array" ref="G20">INDEX('Weekly Spend'!$F$86:$CV$94,MATCH($B20,'Weekly Spend'!$F$86:$F$94,0),MATCH(G$3,'Weekly Spend'!$F$86:$CV$86,0))</f>
        <v>28250</v>
      </c>
      <c r="H20" s="27">
        <f t="array" ref="H20">INDEX('Weekly Spend'!$F$86:$CV$94,MATCH($B20,'Weekly Spend'!$F$86:$F$94,0),MATCH(H$3,'Weekly Spend'!$F$86:$CV$86,0))</f>
        <v>184196.66</v>
      </c>
      <c r="I20" s="27">
        <f t="array" ref="I20">INDEX('Weekly Spend'!$F$86:$CV$94,MATCH($B20,'Weekly Spend'!$F$86:$F$94,0),MATCH(I$3,'Weekly Spend'!$F$86:$CV$86,0))</f>
        <v>31250</v>
      </c>
      <c r="J20" s="27">
        <f t="array" ref="J20">INDEX('Weekly Spend'!$F$86:$CV$94,MATCH($B20,'Weekly Spend'!$F$86:$F$94,0),MATCH(J$3,'Weekly Spend'!$F$86:$CV$86,0))</f>
        <v>72500</v>
      </c>
      <c r="K20" s="27">
        <f t="array" ref="K20">INDEX('Weekly Spend'!$F$86:$CV$94,MATCH($B20,'Weekly Spend'!$F$86:$F$94,0),MATCH(K$3,'Weekly Spend'!$F$86:$CV$86,0))</f>
        <v>0</v>
      </c>
      <c r="L20" s="27">
        <f t="array" ref="L20">INDEX('Weekly Spend'!$F$86:$CV$94,MATCH($B20,'Weekly Spend'!$F$86:$F$94,0),MATCH(L$3,'Weekly Spend'!$F$86:$CV$86,0))</f>
        <v>50000</v>
      </c>
      <c r="M20" s="27">
        <f t="array" ref="M20">INDEX('Weekly Spend'!$F$86:$CV$94,MATCH($B20,'Weekly Spend'!$F$86:$F$94,0),MATCH(M$3,'Weekly Spend'!$F$86:$CV$86,0))</f>
        <v>38000</v>
      </c>
      <c r="N20" s="27">
        <f t="array" ref="N20">INDEX('Weekly Spend'!$F$86:$CV$94,MATCH($B20,'Weekly Spend'!$F$86:$F$94,0),MATCH(N$3,'Weekly Spend'!$F$86:$CV$86,0))</f>
        <v>50000</v>
      </c>
      <c r="O20" s="27">
        <f t="array" ref="O20">INDEX('Weekly Spend'!$F$86:$CV$94,MATCH($B20,'Weekly Spend'!$F$86:$F$94,0),MATCH(O$3,'Weekly Spend'!$F$86:$CV$86,0))</f>
        <v>50000</v>
      </c>
      <c r="P20" s="27">
        <f t="array" ref="P20">INDEX('Weekly Spend'!$F$86:$CV$94,MATCH($B20,'Weekly Spend'!$F$86:$F$94,0),MATCH(P$3,'Weekly Spend'!$F$86:$CV$86,0))</f>
        <v>0</v>
      </c>
      <c r="Q20" s="27"/>
      <c r="R20" s="27">
        <f t="array" ref="R20">INDEX('Weekly Spend'!$F$86:$CV$94,MATCH($B20,'Weekly Spend'!$F$86:$F$94,0),MATCH(R$3,'Weekly Spend'!$F$86:$CV$86,0))</f>
        <v>0</v>
      </c>
      <c r="S20" s="27">
        <f t="array" ref="S20">INDEX('Weekly Spend'!$F$86:$CV$94,MATCH($B20,'Weekly Spend'!$F$86:$F$94,0),MATCH(S$3,'Weekly Spend'!$F$86:$CV$86,0))</f>
        <v>100000</v>
      </c>
      <c r="T20" s="27">
        <f t="array" ref="T20">INDEX('Weekly Spend'!$F$86:$CV$94,MATCH($B20,'Weekly Spend'!$F$86:$F$94,0),MATCH(T$3,'Weekly Spend'!$F$86:$CV$86,0))</f>
        <v>0</v>
      </c>
      <c r="U20" s="27">
        <f t="array" ref="U20">INDEX('Weekly Spend'!$F$86:$CV$94,MATCH($B20,'Weekly Spend'!$F$86:$F$94,0),MATCH(U$3,'Weekly Spend'!$F$86:$CV$86,0))</f>
        <v>195000</v>
      </c>
      <c r="V20" s="27">
        <f t="array" ref="V20">INDEX('Weekly Spend'!$F$86:$CV$94,MATCH($B20,'Weekly Spend'!$F$86:$F$94,0),MATCH(V$3,'Weekly Spend'!$F$86:$CV$86,0))</f>
        <v>0</v>
      </c>
      <c r="W20" s="27">
        <f t="array" ref="W20">INDEX('Weekly Spend'!$F$86:$CV$94,MATCH($B20,'Weekly Spend'!$F$86:$F$94,0),MATCH(W$3,'Weekly Spend'!$F$86:$CV$86,0))</f>
        <v>0</v>
      </c>
      <c r="X20" s="27">
        <f t="array" ref="X20">INDEX('Weekly Spend'!$F$86:$CV$94,MATCH($B20,'Weekly Spend'!$F$86:$F$94,0),MATCH(X$3,'Weekly Spend'!$F$86:$CV$86,0))</f>
        <v>45000</v>
      </c>
      <c r="Y20" s="27">
        <f t="array" ref="Y20">INDEX('Weekly Spend'!$F$86:$CV$94,MATCH($B20,'Weekly Spend'!$F$86:$F$94,0),MATCH(Y$3,'Weekly Spend'!$F$86:$CV$86,0))</f>
        <v>35000</v>
      </c>
      <c r="Z20" s="27">
        <f t="array" ref="Z20">INDEX('Weekly Spend'!$F$86:$CV$94,MATCH($B20,'Weekly Spend'!$F$86:$F$94,0),MATCH(Z$3,'Weekly Spend'!$F$86:$CV$86,0))</f>
        <v>0</v>
      </c>
      <c r="AA20" s="27">
        <f t="array" ref="AA20">INDEX('Weekly Spend'!$F$86:$CV$94,MATCH($B20,'Weekly Spend'!$F$86:$F$94,0),MATCH(AA$3,'Weekly Spend'!$F$86:$CV$86,0))</f>
        <v>0</v>
      </c>
      <c r="AB20" s="27">
        <f t="array" ref="AB20">INDEX('Weekly Spend'!$F$86:$CV$94,MATCH($B20,'Weekly Spend'!$F$86:$F$94,0),MATCH(AB$3,'Weekly Spend'!$F$86:$CV$86,0))</f>
        <v>40250</v>
      </c>
      <c r="AC20" s="27">
        <f t="array" ref="AC20">INDEX('Weekly Spend'!$F$86:$CV$94,MATCH($B20,'Weekly Spend'!$F$86:$F$94,0),MATCH(AC$3,'Weekly Spend'!$F$86:$CV$86,0))</f>
        <v>0</v>
      </c>
      <c r="AD20" s="27">
        <f t="array" ref="AD20">INDEX('Weekly Spend'!$F$86:$CV$94,MATCH($B20,'Weekly Spend'!$F$86:$F$94,0),MATCH(AD$3,'Weekly Spend'!$F$86:$CV$86,0))</f>
        <v>35000</v>
      </c>
      <c r="AE20" s="27">
        <f t="array" ref="AE20">INDEX('Weekly Spend'!$F$86:$CV$94,MATCH($B20,'Weekly Spend'!$F$86:$F$94,0),MATCH(AE$3,'Weekly Spend'!$F$86:$CV$86,0))</f>
        <v>0</v>
      </c>
      <c r="AF20" s="27">
        <f t="array" ref="AF20">INDEX('Weekly Spend'!$F$86:$CV$94,MATCH($B20,'Weekly Spend'!$F$86:$F$94,0),MATCH(AF$3,'Weekly Spend'!$F$86:$CV$86,0))</f>
        <v>35000</v>
      </c>
      <c r="AG20" s="27">
        <f t="array" ref="AG20">INDEX('Weekly Spend'!$F$86:$CV$94,MATCH($B20,'Weekly Spend'!$F$86:$F$94,0),MATCH(AG$3,'Weekly Spend'!$F$86:$CV$86,0))</f>
        <v>0</v>
      </c>
      <c r="AH20" s="27">
        <f t="array" ref="AH20">INDEX('Weekly Spend'!$F$86:$CV$94,MATCH($B20,'Weekly Spend'!$F$86:$F$94,0),MATCH(AH$3,'Weekly Spend'!$F$86:$CV$86,0))</f>
        <v>35000</v>
      </c>
      <c r="AI20" s="27">
        <f t="array" ref="AI20">INDEX('Weekly Spend'!$F$86:$CV$94,MATCH($B20,'Weekly Spend'!$F$86:$F$94,0),MATCH(AI$3,'Weekly Spend'!$F$86:$CV$86,0))</f>
        <v>0</v>
      </c>
      <c r="AJ20" s="27">
        <f t="array" ref="AJ20">INDEX('Weekly Spend'!$F$86:$CV$94,MATCH($B20,'Weekly Spend'!$F$86:$F$94,0),MATCH(AJ$3,'Weekly Spend'!$F$86:$CV$86,0))</f>
        <v>35000</v>
      </c>
      <c r="AK20" s="27">
        <f t="array" ref="AK20">INDEX('Weekly Spend'!$F$86:$CV$94,MATCH($B20,'Weekly Spend'!$F$86:$F$94,0),MATCH(AK$3,'Weekly Spend'!$F$86:$CV$86,0))</f>
        <v>0</v>
      </c>
      <c r="AL20" s="27">
        <f t="array" ref="AL20">INDEX('Weekly Spend'!$F$86:$CV$94,MATCH($B20,'Weekly Spend'!$F$86:$F$94,0),MATCH(AL$3,'Weekly Spend'!$F$86:$CV$86,0))</f>
        <v>0</v>
      </c>
      <c r="AM20" s="27">
        <f t="array" ref="AM20">INDEX('Weekly Spend'!$F$86:$CV$94,MATCH($B20,'Weekly Spend'!$F$86:$F$94,0),MATCH(AM$3,'Weekly Spend'!$F$86:$CV$86,0))</f>
        <v>0</v>
      </c>
      <c r="AN20" s="27">
        <f t="array" ref="AN20">INDEX('Weekly Spend'!$F$86:$CV$94,MATCH($B20,'Weekly Spend'!$F$86:$F$94,0),MATCH(AN$3,'Weekly Spend'!$F$86:$CV$86,0))</f>
        <v>0</v>
      </c>
    </row>
    <row r="21" spans="2:40" ht="14.25" customHeight="1" x14ac:dyDescent="0.2">
      <c r="B21" s="200" t="s">
        <v>25</v>
      </c>
      <c r="C21" s="201" t="s">
        <v>222</v>
      </c>
      <c r="D21" s="202">
        <v>0</v>
      </c>
      <c r="E21" s="202">
        <v>0</v>
      </c>
      <c r="F21" s="202">
        <v>0</v>
      </c>
      <c r="G21" s="202">
        <v>0</v>
      </c>
      <c r="H21" s="202">
        <v>0</v>
      </c>
      <c r="I21" s="202">
        <v>0</v>
      </c>
      <c r="J21" s="202">
        <v>0</v>
      </c>
      <c r="K21" s="202">
        <v>0</v>
      </c>
      <c r="L21" s="202">
        <v>0</v>
      </c>
      <c r="M21" s="202">
        <v>0</v>
      </c>
      <c r="N21" s="202">
        <v>0</v>
      </c>
      <c r="O21" s="202">
        <v>0</v>
      </c>
      <c r="P21" s="202">
        <v>0</v>
      </c>
      <c r="R21" s="202">
        <v>0</v>
      </c>
      <c r="S21" s="202">
        <v>0</v>
      </c>
      <c r="T21" s="202">
        <v>0</v>
      </c>
      <c r="U21" s="202">
        <v>0</v>
      </c>
      <c r="V21" s="202">
        <v>0</v>
      </c>
      <c r="W21" s="202">
        <v>0</v>
      </c>
      <c r="X21" s="202">
        <v>0</v>
      </c>
      <c r="Y21" s="202">
        <v>0</v>
      </c>
      <c r="Z21" s="202">
        <v>0</v>
      </c>
      <c r="AA21" s="202">
        <v>0</v>
      </c>
      <c r="AB21" s="202">
        <v>0</v>
      </c>
      <c r="AC21" s="202">
        <v>0</v>
      </c>
      <c r="AD21" s="202">
        <v>0</v>
      </c>
      <c r="AE21" s="202">
        <v>0</v>
      </c>
      <c r="AF21" s="202">
        <v>0</v>
      </c>
      <c r="AG21" s="202">
        <v>0</v>
      </c>
      <c r="AH21" s="202">
        <v>0</v>
      </c>
      <c r="AI21" s="202">
        <v>0</v>
      </c>
      <c r="AJ21" s="202">
        <v>0</v>
      </c>
      <c r="AK21" s="202">
        <v>0</v>
      </c>
      <c r="AL21" s="202">
        <v>0</v>
      </c>
      <c r="AM21" s="202">
        <v>0</v>
      </c>
      <c r="AN21" s="202">
        <v>0</v>
      </c>
    </row>
    <row r="22" spans="2:40" ht="14.25" customHeight="1" x14ac:dyDescent="0.2">
      <c r="B22" s="24" t="s">
        <v>27</v>
      </c>
      <c r="C22" s="15"/>
      <c r="D22" s="28">
        <f>SUM(D14:D21)</f>
        <v>122626.11000000002</v>
      </c>
      <c r="E22" s="28">
        <f t="shared" ref="E22:P22" si="10">SUM(E14:E21)</f>
        <v>10537</v>
      </c>
      <c r="F22" s="28">
        <f t="shared" si="10"/>
        <v>242597.5</v>
      </c>
      <c r="G22" s="28">
        <f t="shared" si="10"/>
        <v>406079.69230769231</v>
      </c>
      <c r="H22" s="28">
        <f t="shared" si="10"/>
        <v>188696.66</v>
      </c>
      <c r="I22" s="28">
        <f t="shared" si="10"/>
        <v>271316.69230769231</v>
      </c>
      <c r="J22" s="28">
        <f t="shared" si="10"/>
        <v>156900</v>
      </c>
      <c r="K22" s="28">
        <f t="shared" si="10"/>
        <v>558316.69230769225</v>
      </c>
      <c r="L22" s="28">
        <f t="shared" si="10"/>
        <v>318835.25</v>
      </c>
      <c r="M22" s="28">
        <f t="shared" si="10"/>
        <v>737266.94230769225</v>
      </c>
      <c r="N22" s="28">
        <f t="shared" si="10"/>
        <v>91806.25</v>
      </c>
      <c r="O22" s="28">
        <f t="shared" si="10"/>
        <v>250722.94230769231</v>
      </c>
      <c r="P22" s="28">
        <f t="shared" si="10"/>
        <v>52425</v>
      </c>
      <c r="R22" s="28">
        <f t="shared" ref="R22:AN22" si="11">SUM(R14:R21)</f>
        <v>110841.69230769231</v>
      </c>
      <c r="S22" s="28">
        <f t="shared" si="11"/>
        <v>107125</v>
      </c>
      <c r="T22" s="28">
        <f t="shared" si="11"/>
        <v>387838.69230769231</v>
      </c>
      <c r="U22" s="28">
        <f t="shared" si="11"/>
        <v>466369.8</v>
      </c>
      <c r="V22" s="28">
        <f t="shared" si="11"/>
        <v>561954.4923076923</v>
      </c>
      <c r="W22" s="28">
        <f t="shared" si="11"/>
        <v>9940.7999999999993</v>
      </c>
      <c r="X22" s="28">
        <f t="shared" si="11"/>
        <v>164454.4923076923</v>
      </c>
      <c r="Y22" s="28">
        <f t="shared" si="11"/>
        <v>113540.8</v>
      </c>
      <c r="Z22" s="28">
        <f t="shared" si="11"/>
        <v>565997.296474359</v>
      </c>
      <c r="AA22" s="28">
        <f t="shared" si="11"/>
        <v>4625</v>
      </c>
      <c r="AB22" s="28">
        <f t="shared" si="11"/>
        <v>145688.69230769231</v>
      </c>
      <c r="AC22" s="28">
        <f t="shared" si="11"/>
        <v>22625</v>
      </c>
      <c r="AD22" s="28">
        <f t="shared" si="11"/>
        <v>790148.94230769225</v>
      </c>
      <c r="AE22" s="28">
        <f t="shared" si="11"/>
        <v>4906.25</v>
      </c>
      <c r="AF22" s="28">
        <f t="shared" si="11"/>
        <v>143219.94230769231</v>
      </c>
      <c r="AG22" s="28">
        <f t="shared" si="11"/>
        <v>29406.25</v>
      </c>
      <c r="AH22" s="28">
        <f t="shared" si="11"/>
        <v>215313.69230769231</v>
      </c>
      <c r="AI22" s="28">
        <f t="shared" si="11"/>
        <v>6500</v>
      </c>
      <c r="AJ22" s="28">
        <f t="shared" si="11"/>
        <v>133216.69230769231</v>
      </c>
      <c r="AK22" s="28">
        <f t="shared" si="11"/>
        <v>6500</v>
      </c>
      <c r="AL22" s="28">
        <f t="shared" si="11"/>
        <v>417714.69230769231</v>
      </c>
      <c r="AM22" s="28">
        <f t="shared" si="11"/>
        <v>9745</v>
      </c>
      <c r="AN22" s="28">
        <f t="shared" si="11"/>
        <v>101461.69230769231</v>
      </c>
    </row>
    <row r="23" spans="2:40" ht="14.25" customHeight="1" x14ac:dyDescent="0.2">
      <c r="B23" s="24" t="s">
        <v>28</v>
      </c>
      <c r="C23" s="15"/>
      <c r="D23" s="27"/>
      <c r="E23" s="27"/>
      <c r="F23" s="27"/>
      <c r="G23" s="27"/>
      <c r="H23" s="27"/>
      <c r="I23" s="27"/>
      <c r="J23" s="27"/>
      <c r="K23" s="27"/>
      <c r="L23" s="27"/>
      <c r="M23" s="27"/>
      <c r="N23" s="27"/>
      <c r="O23" s="27"/>
      <c r="P23" s="27"/>
      <c r="R23" s="27"/>
      <c r="S23" s="27"/>
      <c r="T23" s="27"/>
      <c r="U23" s="27"/>
      <c r="V23" s="27"/>
      <c r="W23" s="27"/>
      <c r="X23" s="27"/>
      <c r="Y23" s="27"/>
      <c r="Z23" s="27"/>
      <c r="AA23" s="27"/>
      <c r="AB23" s="27"/>
      <c r="AC23" s="27"/>
      <c r="AD23" s="27"/>
      <c r="AE23" s="27"/>
      <c r="AF23" s="27"/>
      <c r="AG23" s="27"/>
      <c r="AH23" s="27"/>
      <c r="AI23" s="27"/>
      <c r="AJ23" s="27"/>
      <c r="AK23" s="27"/>
      <c r="AL23" s="27"/>
      <c r="AM23" s="27"/>
      <c r="AN23" s="27"/>
    </row>
    <row r="24" spans="2:40" ht="14.25" customHeight="1" outlineLevel="1" x14ac:dyDescent="0.2">
      <c r="B24" s="26" t="s">
        <v>29</v>
      </c>
      <c r="C24" s="15" t="s">
        <v>227</v>
      </c>
      <c r="D24" s="27"/>
      <c r="E24" s="27"/>
      <c r="F24" s="27"/>
      <c r="G24" s="27"/>
      <c r="H24" s="27"/>
      <c r="I24" s="27"/>
      <c r="J24" s="27"/>
      <c r="K24" s="27"/>
      <c r="L24" s="27"/>
      <c r="M24" s="27"/>
      <c r="N24" s="27"/>
      <c r="O24" s="27"/>
      <c r="P24" s="27"/>
      <c r="R24" s="27"/>
      <c r="S24" s="27"/>
      <c r="T24" s="27"/>
      <c r="U24" s="27"/>
      <c r="V24" s="27"/>
      <c r="W24" s="27"/>
      <c r="X24" s="27"/>
      <c r="Y24" s="27"/>
      <c r="Z24" s="27"/>
      <c r="AA24" s="27"/>
      <c r="AB24" s="27"/>
      <c r="AC24" s="27"/>
      <c r="AD24" s="27"/>
      <c r="AE24" s="27"/>
      <c r="AF24" s="27"/>
      <c r="AG24" s="27"/>
      <c r="AH24" s="27"/>
      <c r="AI24" s="27"/>
      <c r="AJ24" s="27"/>
      <c r="AK24" s="27"/>
      <c r="AL24" s="27"/>
      <c r="AM24" s="27"/>
      <c r="AN24" s="27"/>
    </row>
    <row r="25" spans="2:40" ht="14.25" customHeight="1" outlineLevel="1" x14ac:dyDescent="0.2">
      <c r="B25" s="26" t="s">
        <v>31</v>
      </c>
      <c r="C25" s="15" t="s">
        <v>228</v>
      </c>
      <c r="D25" s="27"/>
      <c r="E25" s="27"/>
      <c r="F25" s="27"/>
      <c r="G25" s="27"/>
      <c r="H25" s="27"/>
      <c r="I25" s="27"/>
      <c r="J25" s="27"/>
      <c r="K25" s="27"/>
      <c r="L25" s="27"/>
      <c r="M25" s="27"/>
      <c r="N25" s="27"/>
      <c r="O25" s="27"/>
      <c r="P25" s="27"/>
      <c r="R25" s="27"/>
      <c r="S25" s="27"/>
      <c r="T25" s="27"/>
      <c r="U25" s="27"/>
      <c r="V25" s="27"/>
      <c r="W25" s="27"/>
      <c r="X25" s="27"/>
      <c r="Y25" s="27"/>
      <c r="Z25" s="27"/>
      <c r="AA25" s="27"/>
      <c r="AB25" s="27"/>
      <c r="AC25" s="27"/>
      <c r="AD25" s="27"/>
      <c r="AE25" s="27"/>
      <c r="AF25" s="27"/>
      <c r="AG25" s="27"/>
      <c r="AH25" s="27"/>
      <c r="AI25" s="27"/>
      <c r="AJ25" s="27"/>
      <c r="AK25" s="27"/>
      <c r="AL25" s="27"/>
      <c r="AM25" s="27"/>
      <c r="AN25" s="27"/>
    </row>
    <row r="26" spans="2:40" ht="14.25" customHeight="1" outlineLevel="1" x14ac:dyDescent="0.2">
      <c r="B26" s="26" t="s">
        <v>33</v>
      </c>
      <c r="C26" s="15" t="s">
        <v>229</v>
      </c>
      <c r="D26" s="27"/>
      <c r="E26" s="27"/>
      <c r="F26" s="27"/>
      <c r="G26" s="27"/>
      <c r="H26" s="27"/>
      <c r="I26" s="27"/>
      <c r="J26" s="27"/>
      <c r="K26" s="27"/>
      <c r="L26" s="27"/>
      <c r="M26" s="27"/>
      <c r="N26" s="27"/>
      <c r="O26" s="27"/>
      <c r="P26" s="27"/>
      <c r="R26" s="27"/>
      <c r="S26" s="27"/>
      <c r="T26" s="27"/>
      <c r="U26" s="27"/>
      <c r="V26" s="27"/>
      <c r="W26" s="27"/>
      <c r="X26" s="27"/>
      <c r="Y26" s="27"/>
      <c r="Z26" s="27"/>
      <c r="AA26" s="27"/>
      <c r="AB26" s="27"/>
      <c r="AC26" s="27"/>
      <c r="AD26" s="27"/>
      <c r="AE26" s="27"/>
      <c r="AF26" s="27"/>
      <c r="AG26" s="27"/>
      <c r="AH26" s="27"/>
      <c r="AI26" s="27"/>
      <c r="AJ26" s="27"/>
      <c r="AK26" s="27"/>
      <c r="AL26" s="27"/>
      <c r="AM26" s="27"/>
      <c r="AN26" s="27"/>
    </row>
    <row r="27" spans="2:40" ht="14.25" customHeight="1" outlineLevel="1" x14ac:dyDescent="0.2">
      <c r="B27" s="200" t="s">
        <v>35</v>
      </c>
      <c r="C27" s="201" t="s">
        <v>230</v>
      </c>
      <c r="D27" s="202"/>
      <c r="E27" s="202"/>
      <c r="F27" s="202"/>
      <c r="G27" s="202"/>
      <c r="H27" s="202"/>
      <c r="I27" s="202"/>
      <c r="J27" s="202"/>
      <c r="K27" s="202"/>
      <c r="L27" s="202"/>
      <c r="M27" s="202"/>
      <c r="N27" s="202"/>
      <c r="O27" s="202"/>
      <c r="P27" s="202"/>
      <c r="R27" s="202"/>
      <c r="S27" s="202"/>
      <c r="T27" s="202"/>
      <c r="U27" s="202"/>
      <c r="V27" s="202"/>
      <c r="W27" s="202"/>
      <c r="X27" s="202"/>
      <c r="Y27" s="202"/>
      <c r="Z27" s="202"/>
      <c r="AA27" s="202"/>
      <c r="AB27" s="202"/>
      <c r="AC27" s="202"/>
      <c r="AD27" s="202"/>
      <c r="AE27" s="202"/>
      <c r="AF27" s="202"/>
      <c r="AG27" s="202"/>
      <c r="AH27" s="202"/>
      <c r="AI27" s="202"/>
      <c r="AJ27" s="202"/>
      <c r="AK27" s="202"/>
      <c r="AL27" s="202"/>
      <c r="AM27" s="202"/>
      <c r="AN27" s="202"/>
    </row>
    <row r="28" spans="2:40" ht="14.25" customHeight="1" outlineLevel="1" x14ac:dyDescent="0.2">
      <c r="B28" s="32" t="s">
        <v>37</v>
      </c>
      <c r="C28" s="33"/>
      <c r="D28" s="34">
        <f t="shared" ref="D28:P28" si="12">SUM(D24:D27)</f>
        <v>0</v>
      </c>
      <c r="E28" s="34">
        <f t="shared" si="12"/>
        <v>0</v>
      </c>
      <c r="F28" s="34">
        <f t="shared" si="12"/>
        <v>0</v>
      </c>
      <c r="G28" s="34">
        <f t="shared" si="12"/>
        <v>0</v>
      </c>
      <c r="H28" s="34">
        <f t="shared" si="12"/>
        <v>0</v>
      </c>
      <c r="I28" s="34">
        <f t="shared" si="12"/>
        <v>0</v>
      </c>
      <c r="J28" s="34">
        <f t="shared" si="12"/>
        <v>0</v>
      </c>
      <c r="K28" s="34">
        <f t="shared" si="12"/>
        <v>0</v>
      </c>
      <c r="L28" s="34">
        <f t="shared" si="12"/>
        <v>0</v>
      </c>
      <c r="M28" s="34">
        <f t="shared" si="12"/>
        <v>0</v>
      </c>
      <c r="N28" s="34">
        <f t="shared" si="12"/>
        <v>0</v>
      </c>
      <c r="O28" s="34">
        <f t="shared" si="12"/>
        <v>0</v>
      </c>
      <c r="P28" s="34">
        <f t="shared" si="12"/>
        <v>0</v>
      </c>
      <c r="R28" s="34">
        <f t="shared" ref="R28:AN28" si="13">SUM(R24:R27)</f>
        <v>0</v>
      </c>
      <c r="S28" s="34">
        <f t="shared" si="13"/>
        <v>0</v>
      </c>
      <c r="T28" s="34">
        <f t="shared" si="13"/>
        <v>0</v>
      </c>
      <c r="U28" s="34">
        <f t="shared" si="13"/>
        <v>0</v>
      </c>
      <c r="V28" s="34">
        <f t="shared" si="13"/>
        <v>0</v>
      </c>
      <c r="W28" s="34">
        <f t="shared" si="13"/>
        <v>0</v>
      </c>
      <c r="X28" s="34">
        <f t="shared" si="13"/>
        <v>0</v>
      </c>
      <c r="Y28" s="34">
        <f t="shared" si="13"/>
        <v>0</v>
      </c>
      <c r="Z28" s="34">
        <f t="shared" si="13"/>
        <v>0</v>
      </c>
      <c r="AA28" s="34">
        <f t="shared" si="13"/>
        <v>0</v>
      </c>
      <c r="AB28" s="34">
        <f t="shared" si="13"/>
        <v>0</v>
      </c>
      <c r="AC28" s="34">
        <f t="shared" si="13"/>
        <v>0</v>
      </c>
      <c r="AD28" s="34">
        <f t="shared" si="13"/>
        <v>0</v>
      </c>
      <c r="AE28" s="34">
        <f t="shared" si="13"/>
        <v>0</v>
      </c>
      <c r="AF28" s="34">
        <f t="shared" si="13"/>
        <v>0</v>
      </c>
      <c r="AG28" s="34">
        <f t="shared" si="13"/>
        <v>0</v>
      </c>
      <c r="AH28" s="34">
        <f t="shared" si="13"/>
        <v>0</v>
      </c>
      <c r="AI28" s="34">
        <f t="shared" si="13"/>
        <v>0</v>
      </c>
      <c r="AJ28" s="34">
        <f t="shared" si="13"/>
        <v>0</v>
      </c>
      <c r="AK28" s="34">
        <f t="shared" si="13"/>
        <v>0</v>
      </c>
      <c r="AL28" s="34">
        <f t="shared" si="13"/>
        <v>0</v>
      </c>
      <c r="AM28" s="34">
        <f t="shared" si="13"/>
        <v>0</v>
      </c>
      <c r="AN28" s="34">
        <f t="shared" si="13"/>
        <v>0</v>
      </c>
    </row>
    <row r="29" spans="2:40" ht="14.25" customHeight="1" outlineLevel="1" collapsed="1" x14ac:dyDescent="0.2">
      <c r="B29" s="24" t="s">
        <v>38</v>
      </c>
      <c r="C29" s="15"/>
      <c r="D29" s="28">
        <f t="shared" ref="D29:P29" si="14">D22+D28</f>
        <v>122626.11000000002</v>
      </c>
      <c r="E29" s="28">
        <f t="shared" si="14"/>
        <v>10537</v>
      </c>
      <c r="F29" s="28">
        <f t="shared" si="14"/>
        <v>242597.5</v>
      </c>
      <c r="G29" s="28">
        <f t="shared" si="14"/>
        <v>406079.69230769231</v>
      </c>
      <c r="H29" s="28">
        <f>H22+H28</f>
        <v>188696.66</v>
      </c>
      <c r="I29" s="28">
        <f>I22+I28</f>
        <v>271316.69230769231</v>
      </c>
      <c r="J29" s="28">
        <f t="shared" si="14"/>
        <v>156900</v>
      </c>
      <c r="K29" s="28">
        <f t="shared" si="14"/>
        <v>558316.69230769225</v>
      </c>
      <c r="L29" s="28">
        <f t="shared" si="14"/>
        <v>318835.25</v>
      </c>
      <c r="M29" s="28">
        <f t="shared" si="14"/>
        <v>737266.94230769225</v>
      </c>
      <c r="N29" s="28">
        <f t="shared" si="14"/>
        <v>91806.25</v>
      </c>
      <c r="O29" s="28">
        <f t="shared" si="14"/>
        <v>250722.94230769231</v>
      </c>
      <c r="P29" s="28">
        <f t="shared" si="14"/>
        <v>52425</v>
      </c>
      <c r="R29" s="28">
        <f t="shared" ref="R29:AN29" si="15">R22+R28</f>
        <v>110841.69230769231</v>
      </c>
      <c r="S29" s="28">
        <f t="shared" si="15"/>
        <v>107125</v>
      </c>
      <c r="T29" s="28">
        <f t="shared" si="15"/>
        <v>387838.69230769231</v>
      </c>
      <c r="U29" s="28">
        <f t="shared" si="15"/>
        <v>466369.8</v>
      </c>
      <c r="V29" s="28">
        <f t="shared" si="15"/>
        <v>561954.4923076923</v>
      </c>
      <c r="W29" s="28">
        <f t="shared" si="15"/>
        <v>9940.7999999999993</v>
      </c>
      <c r="X29" s="28">
        <f t="shared" si="15"/>
        <v>164454.4923076923</v>
      </c>
      <c r="Y29" s="28">
        <f t="shared" si="15"/>
        <v>113540.8</v>
      </c>
      <c r="Z29" s="28">
        <f t="shared" si="15"/>
        <v>565997.296474359</v>
      </c>
      <c r="AA29" s="28">
        <f t="shared" si="15"/>
        <v>4625</v>
      </c>
      <c r="AB29" s="28">
        <f t="shared" si="15"/>
        <v>145688.69230769231</v>
      </c>
      <c r="AC29" s="28">
        <f t="shared" si="15"/>
        <v>22625</v>
      </c>
      <c r="AD29" s="28">
        <f t="shared" si="15"/>
        <v>790148.94230769225</v>
      </c>
      <c r="AE29" s="28">
        <f t="shared" si="15"/>
        <v>4906.25</v>
      </c>
      <c r="AF29" s="28">
        <f t="shared" si="15"/>
        <v>143219.94230769231</v>
      </c>
      <c r="AG29" s="28">
        <f t="shared" si="15"/>
        <v>29406.25</v>
      </c>
      <c r="AH29" s="28">
        <f t="shared" si="15"/>
        <v>215313.69230769231</v>
      </c>
      <c r="AI29" s="28">
        <f t="shared" si="15"/>
        <v>6500</v>
      </c>
      <c r="AJ29" s="28">
        <f t="shared" si="15"/>
        <v>133216.69230769231</v>
      </c>
      <c r="AK29" s="28">
        <f t="shared" si="15"/>
        <v>6500</v>
      </c>
      <c r="AL29" s="28">
        <f t="shared" si="15"/>
        <v>417714.69230769231</v>
      </c>
      <c r="AM29" s="28">
        <f t="shared" si="15"/>
        <v>9745</v>
      </c>
      <c r="AN29" s="28">
        <f t="shared" si="15"/>
        <v>101461.69230769231</v>
      </c>
    </row>
    <row r="30" spans="2:40" ht="14.25" customHeight="1" thickBot="1" x14ac:dyDescent="0.25">
      <c r="B30" s="24"/>
      <c r="C30" s="15"/>
      <c r="D30" s="28"/>
      <c r="E30" s="28"/>
      <c r="F30" s="28"/>
      <c r="G30" s="28"/>
      <c r="H30" s="28"/>
      <c r="I30" s="28"/>
      <c r="J30" s="28"/>
      <c r="K30" s="28"/>
      <c r="L30" s="28"/>
      <c r="M30" s="28"/>
      <c r="N30" s="28"/>
      <c r="O30" s="28"/>
      <c r="P30" s="28"/>
      <c r="R30" s="28"/>
      <c r="S30" s="28"/>
      <c r="T30" s="28"/>
      <c r="U30" s="28"/>
      <c r="V30" s="28"/>
      <c r="W30" s="28"/>
      <c r="X30" s="28"/>
      <c r="Y30" s="28"/>
      <c r="Z30" s="28"/>
      <c r="AA30" s="28"/>
      <c r="AB30" s="28"/>
      <c r="AC30" s="28"/>
      <c r="AD30" s="28"/>
      <c r="AE30" s="28"/>
      <c r="AF30" s="28"/>
      <c r="AG30" s="28"/>
      <c r="AH30" s="28"/>
      <c r="AI30" s="28"/>
      <c r="AJ30" s="28"/>
      <c r="AK30" s="28"/>
      <c r="AL30" s="28"/>
      <c r="AM30" s="28"/>
      <c r="AN30" s="28"/>
    </row>
    <row r="31" spans="2:40" ht="14.25" customHeight="1" thickBot="1" x14ac:dyDescent="0.25">
      <c r="B31" s="193" t="s">
        <v>39</v>
      </c>
      <c r="C31" s="203"/>
      <c r="D31" s="204">
        <f t="shared" ref="D31:P31" si="16">D10-D29</f>
        <v>-56674.110000000015</v>
      </c>
      <c r="E31" s="204">
        <f t="shared" si="16"/>
        <v>33431</v>
      </c>
      <c r="F31" s="204">
        <f t="shared" si="16"/>
        <v>-204834.5</v>
      </c>
      <c r="G31" s="204">
        <f t="shared" si="16"/>
        <v>-406079.69230769231</v>
      </c>
      <c r="H31" s="204">
        <f t="shared" si="16"/>
        <v>-58696.66</v>
      </c>
      <c r="I31" s="204">
        <f t="shared" si="16"/>
        <v>-271316.69230769231</v>
      </c>
      <c r="J31" s="204">
        <f t="shared" si="16"/>
        <v>-60900</v>
      </c>
      <c r="K31" s="204">
        <f t="shared" si="16"/>
        <v>-528316.69230769225</v>
      </c>
      <c r="L31" s="204">
        <f t="shared" si="16"/>
        <v>-178835.25</v>
      </c>
      <c r="M31" s="204">
        <f t="shared" si="16"/>
        <v>-737266.94230769225</v>
      </c>
      <c r="N31" s="204">
        <f t="shared" si="16"/>
        <v>68193.75</v>
      </c>
      <c r="O31" s="204">
        <f t="shared" si="16"/>
        <v>-250722.94230769231</v>
      </c>
      <c r="P31" s="205">
        <f t="shared" si="16"/>
        <v>457575</v>
      </c>
      <c r="R31" s="204">
        <f t="shared" ref="R31:AN31" si="17">R10-R29</f>
        <v>-110841.69230769231</v>
      </c>
      <c r="S31" s="204">
        <f t="shared" si="17"/>
        <v>92875</v>
      </c>
      <c r="T31" s="204">
        <f t="shared" si="17"/>
        <v>-387838.69230769231</v>
      </c>
      <c r="U31" s="204">
        <f t="shared" si="17"/>
        <v>-116369.79999999999</v>
      </c>
      <c r="V31" s="204">
        <f t="shared" si="17"/>
        <v>-561954.4923076923</v>
      </c>
      <c r="W31" s="204">
        <f t="shared" si="17"/>
        <v>230059.2</v>
      </c>
      <c r="X31" s="204">
        <f t="shared" si="17"/>
        <v>-164454.4923076923</v>
      </c>
      <c r="Y31" s="204">
        <f t="shared" si="17"/>
        <v>146459.20000000001</v>
      </c>
      <c r="Z31" s="204">
        <f t="shared" si="17"/>
        <v>-385997.296474359</v>
      </c>
      <c r="AA31" s="204">
        <f t="shared" si="17"/>
        <v>255375</v>
      </c>
      <c r="AB31" s="204">
        <f t="shared" si="17"/>
        <v>-145688.69230769231</v>
      </c>
      <c r="AC31" s="204">
        <f t="shared" si="17"/>
        <v>237375</v>
      </c>
      <c r="AD31" s="204">
        <f t="shared" si="17"/>
        <v>-560148.94230769225</v>
      </c>
      <c r="AE31" s="204">
        <f t="shared" si="17"/>
        <v>282050.75</v>
      </c>
      <c r="AF31" s="204">
        <f t="shared" si="17"/>
        <v>-143219.94230769231</v>
      </c>
      <c r="AG31" s="204">
        <f t="shared" si="17"/>
        <v>257550.75</v>
      </c>
      <c r="AH31" s="204">
        <f t="shared" si="17"/>
        <v>-185313.69230769231</v>
      </c>
      <c r="AI31" s="204">
        <f t="shared" si="17"/>
        <v>280457</v>
      </c>
      <c r="AJ31" s="204">
        <f t="shared" si="17"/>
        <v>-133216.69230769231</v>
      </c>
      <c r="AK31" s="204">
        <f t="shared" si="17"/>
        <v>1480457</v>
      </c>
      <c r="AL31" s="204">
        <f t="shared" si="17"/>
        <v>-417714.69230769231</v>
      </c>
      <c r="AM31" s="204">
        <f t="shared" si="17"/>
        <v>277212</v>
      </c>
      <c r="AN31" s="205">
        <f t="shared" si="17"/>
        <v>-101461.69230769231</v>
      </c>
    </row>
    <row r="32" spans="2:40" ht="14.25" customHeight="1" x14ac:dyDescent="0.2">
      <c r="B32" s="24"/>
      <c r="C32" s="15"/>
      <c r="D32" s="28"/>
      <c r="E32" s="28"/>
      <c r="F32" s="28"/>
      <c r="G32" s="28"/>
      <c r="H32" s="28"/>
      <c r="I32" s="28"/>
      <c r="J32" s="28"/>
      <c r="K32" s="28"/>
      <c r="L32" s="28"/>
      <c r="M32" s="28"/>
      <c r="N32" s="28"/>
      <c r="O32" s="28"/>
      <c r="P32" s="28"/>
      <c r="R32" s="28"/>
      <c r="S32" s="28"/>
      <c r="T32" s="28"/>
      <c r="U32" s="28"/>
      <c r="V32" s="28"/>
      <c r="W32" s="28"/>
      <c r="X32" s="28"/>
      <c r="Y32" s="28"/>
      <c r="Z32" s="28"/>
      <c r="AA32" s="28"/>
      <c r="AB32" s="28"/>
      <c r="AC32" s="28"/>
      <c r="AD32" s="28"/>
      <c r="AE32" s="28"/>
      <c r="AF32" s="28"/>
      <c r="AG32" s="28"/>
      <c r="AH32" s="28"/>
      <c r="AI32" s="28"/>
      <c r="AJ32" s="28"/>
      <c r="AK32" s="28"/>
      <c r="AL32" s="28"/>
      <c r="AM32" s="28"/>
      <c r="AN32" s="28"/>
    </row>
    <row r="33" spans="1:40" ht="14.25" customHeight="1" x14ac:dyDescent="0.2">
      <c r="B33" s="35" t="s">
        <v>41</v>
      </c>
      <c r="C33" s="36"/>
      <c r="D33" s="37"/>
      <c r="E33" s="37"/>
      <c r="F33" s="37"/>
      <c r="G33" s="37"/>
      <c r="H33" s="37"/>
      <c r="I33" s="37"/>
      <c r="J33" s="37"/>
      <c r="K33" s="37"/>
      <c r="L33" s="37"/>
      <c r="M33" s="37"/>
      <c r="N33" s="37"/>
      <c r="O33" s="37"/>
      <c r="P33" s="37"/>
      <c r="R33" s="37"/>
      <c r="S33" s="37"/>
      <c r="T33" s="37"/>
      <c r="U33" s="37"/>
      <c r="V33" s="37"/>
      <c r="W33" s="37"/>
      <c r="X33" s="37"/>
      <c r="Y33" s="37"/>
      <c r="Z33" s="37"/>
      <c r="AA33" s="37"/>
      <c r="AB33" s="37"/>
      <c r="AC33" s="37"/>
      <c r="AD33" s="37"/>
      <c r="AE33" s="37"/>
      <c r="AF33" s="37"/>
      <c r="AG33" s="37"/>
      <c r="AH33" s="37"/>
      <c r="AI33" s="37"/>
      <c r="AJ33" s="37"/>
      <c r="AK33" s="37"/>
      <c r="AL33" s="37"/>
      <c r="AM33" s="37"/>
      <c r="AN33" s="37"/>
    </row>
    <row r="34" spans="1:40" ht="14.25" customHeight="1" x14ac:dyDescent="0.2">
      <c r="B34" s="1" t="s">
        <v>42</v>
      </c>
      <c r="C34" s="15"/>
      <c r="D34" s="38">
        <v>0</v>
      </c>
      <c r="E34" s="38">
        <v>0</v>
      </c>
      <c r="F34" s="38">
        <v>0</v>
      </c>
      <c r="G34" s="38">
        <v>0</v>
      </c>
      <c r="H34" s="38">
        <v>0</v>
      </c>
      <c r="I34" s="38">
        <v>0</v>
      </c>
      <c r="J34" s="38">
        <v>0</v>
      </c>
      <c r="K34" s="38">
        <v>0</v>
      </c>
      <c r="L34" s="38">
        <v>0</v>
      </c>
      <c r="M34" s="38">
        <v>0</v>
      </c>
      <c r="N34" s="38">
        <v>0</v>
      </c>
      <c r="O34" s="38">
        <v>0</v>
      </c>
      <c r="P34" s="38">
        <v>0</v>
      </c>
      <c r="R34" s="38">
        <v>0</v>
      </c>
      <c r="S34" s="38">
        <v>0</v>
      </c>
      <c r="T34" s="38">
        <v>0</v>
      </c>
      <c r="U34" s="38">
        <v>0</v>
      </c>
      <c r="V34" s="38">
        <v>0</v>
      </c>
      <c r="W34" s="38">
        <v>0</v>
      </c>
      <c r="X34" s="38">
        <v>0</v>
      </c>
      <c r="Y34" s="38">
        <v>0</v>
      </c>
      <c r="Z34" s="38">
        <v>0</v>
      </c>
      <c r="AA34" s="38">
        <v>0</v>
      </c>
      <c r="AB34" s="38">
        <v>0</v>
      </c>
      <c r="AC34" s="38">
        <v>0</v>
      </c>
      <c r="AD34" s="38">
        <v>0</v>
      </c>
      <c r="AE34" s="38"/>
      <c r="AF34" s="38">
        <v>0</v>
      </c>
      <c r="AG34" s="38">
        <v>0</v>
      </c>
      <c r="AH34" s="38">
        <v>0</v>
      </c>
      <c r="AI34" s="38">
        <v>0</v>
      </c>
      <c r="AJ34" s="38">
        <v>0</v>
      </c>
      <c r="AK34" s="38">
        <v>0</v>
      </c>
      <c r="AL34" s="38">
        <v>0</v>
      </c>
      <c r="AM34" s="38">
        <v>0</v>
      </c>
      <c r="AN34" s="38">
        <v>0</v>
      </c>
    </row>
    <row r="35" spans="1:40" ht="14.25" customHeight="1" x14ac:dyDescent="0.2">
      <c r="B35" s="206" t="s">
        <v>44</v>
      </c>
      <c r="C35" s="201"/>
      <c r="D35" s="39"/>
      <c r="E35" s="333"/>
      <c r="F35" s="333">
        <v>100000</v>
      </c>
      <c r="G35" s="333">
        <f>500000</f>
        <v>500000</v>
      </c>
      <c r="H35" s="333"/>
      <c r="I35" s="333"/>
      <c r="J35" s="333">
        <v>250000</v>
      </c>
      <c r="K35" s="333">
        <v>750000</v>
      </c>
      <c r="L35" s="333"/>
      <c r="M35" s="333">
        <v>600000</v>
      </c>
      <c r="N35" s="333"/>
      <c r="O35" s="333"/>
      <c r="P35" s="333"/>
      <c r="Q35" s="333"/>
      <c r="R35" s="333"/>
      <c r="S35" s="333"/>
      <c r="T35" s="333"/>
      <c r="U35" s="333"/>
      <c r="V35" s="333">
        <v>225000</v>
      </c>
      <c r="W35" s="333"/>
      <c r="X35" s="333"/>
      <c r="Y35" s="333"/>
      <c r="Z35" s="333">
        <v>150000</v>
      </c>
      <c r="AA35" s="333"/>
      <c r="AB35" s="333"/>
      <c r="AC35" s="333"/>
      <c r="AD35" s="333">
        <v>100000</v>
      </c>
      <c r="AE35" s="333"/>
      <c r="AF35" s="333"/>
      <c r="AG35" s="333"/>
      <c r="AH35" s="333"/>
      <c r="AI35" s="333"/>
      <c r="AJ35" s="333"/>
      <c r="AK35" s="333">
        <v>0</v>
      </c>
      <c r="AL35" s="333">
        <v>0</v>
      </c>
      <c r="AM35" s="333"/>
      <c r="AN35" s="39">
        <v>0</v>
      </c>
    </row>
    <row r="36" spans="1:40" ht="14.25" customHeight="1" x14ac:dyDescent="0.2">
      <c r="B36" s="24" t="s">
        <v>46</v>
      </c>
      <c r="C36" s="15"/>
      <c r="D36" s="28">
        <f t="shared" ref="D36:P36" si="18">SUM(D34:D35)</f>
        <v>0</v>
      </c>
      <c r="E36" s="28">
        <f t="shared" si="18"/>
        <v>0</v>
      </c>
      <c r="F36" s="28">
        <f t="shared" si="18"/>
        <v>100000</v>
      </c>
      <c r="G36" s="28">
        <f t="shared" si="18"/>
        <v>500000</v>
      </c>
      <c r="H36" s="28">
        <f>SUM(H34:H35)</f>
        <v>0</v>
      </c>
      <c r="I36" s="28">
        <f t="shared" si="18"/>
        <v>0</v>
      </c>
      <c r="J36" s="28">
        <f t="shared" si="18"/>
        <v>250000</v>
      </c>
      <c r="K36" s="28">
        <f t="shared" si="18"/>
        <v>750000</v>
      </c>
      <c r="L36" s="28">
        <f t="shared" si="18"/>
        <v>0</v>
      </c>
      <c r="M36" s="28">
        <f t="shared" si="18"/>
        <v>600000</v>
      </c>
      <c r="N36" s="28">
        <f t="shared" si="18"/>
        <v>0</v>
      </c>
      <c r="O36" s="28">
        <f t="shared" si="18"/>
        <v>0</v>
      </c>
      <c r="P36" s="28">
        <f t="shared" si="18"/>
        <v>0</v>
      </c>
      <c r="R36" s="28">
        <f t="shared" ref="R36:AN36" si="19">SUM(R34:R35)</f>
        <v>0</v>
      </c>
      <c r="S36" s="28">
        <f>SUM(S34:S35)</f>
        <v>0</v>
      </c>
      <c r="T36" s="28">
        <f>SUM(T34:T35)</f>
        <v>0</v>
      </c>
      <c r="U36" s="28">
        <f>SUM(U34:U35)</f>
        <v>0</v>
      </c>
      <c r="V36" s="28">
        <f t="shared" si="19"/>
        <v>225000</v>
      </c>
      <c r="W36" s="28">
        <f t="shared" si="19"/>
        <v>0</v>
      </c>
      <c r="X36" s="28">
        <f t="shared" si="19"/>
        <v>0</v>
      </c>
      <c r="Y36" s="28">
        <f t="shared" si="19"/>
        <v>0</v>
      </c>
      <c r="Z36" s="28">
        <f t="shared" si="19"/>
        <v>150000</v>
      </c>
      <c r="AA36" s="28">
        <f t="shared" si="19"/>
        <v>0</v>
      </c>
      <c r="AB36" s="28">
        <f t="shared" si="19"/>
        <v>0</v>
      </c>
      <c r="AC36" s="28">
        <f t="shared" si="19"/>
        <v>0</v>
      </c>
      <c r="AD36" s="28">
        <f t="shared" si="19"/>
        <v>100000</v>
      </c>
      <c r="AE36" s="28">
        <f t="shared" si="19"/>
        <v>0</v>
      </c>
      <c r="AF36" s="28">
        <f t="shared" si="19"/>
        <v>0</v>
      </c>
      <c r="AG36" s="28">
        <f t="shared" si="19"/>
        <v>0</v>
      </c>
      <c r="AH36" s="28">
        <f t="shared" si="19"/>
        <v>0</v>
      </c>
      <c r="AI36" s="28">
        <f t="shared" si="19"/>
        <v>0</v>
      </c>
      <c r="AJ36" s="28">
        <f t="shared" si="19"/>
        <v>0</v>
      </c>
      <c r="AK36" s="28">
        <f t="shared" si="19"/>
        <v>0</v>
      </c>
      <c r="AL36" s="28">
        <f t="shared" si="19"/>
        <v>0</v>
      </c>
      <c r="AM36" s="28">
        <f t="shared" si="19"/>
        <v>0</v>
      </c>
      <c r="AN36" s="28">
        <f t="shared" si="19"/>
        <v>0</v>
      </c>
    </row>
    <row r="37" spans="1:40" ht="14.25" customHeight="1" x14ac:dyDescent="0.2">
      <c r="B37" s="24"/>
      <c r="C37" s="15"/>
      <c r="D37" s="28"/>
      <c r="E37" s="28"/>
      <c r="F37" s="28"/>
      <c r="G37" s="28"/>
      <c r="H37" s="28"/>
      <c r="I37" s="28"/>
      <c r="J37" s="28"/>
      <c r="K37" s="28"/>
      <c r="L37" s="28"/>
      <c r="M37" s="28"/>
      <c r="N37" s="28"/>
      <c r="O37" s="28"/>
      <c r="P37" s="28"/>
      <c r="R37" s="28"/>
      <c r="S37" s="28"/>
      <c r="T37" s="28"/>
      <c r="U37" s="28"/>
      <c r="V37" s="28"/>
      <c r="W37" s="28"/>
      <c r="X37" s="28"/>
      <c r="Y37" s="28"/>
      <c r="Z37" s="28"/>
      <c r="AA37" s="28"/>
      <c r="AB37" s="28"/>
      <c r="AC37" s="28"/>
      <c r="AD37" s="28"/>
      <c r="AE37" s="28"/>
      <c r="AF37" s="28"/>
      <c r="AG37" s="28"/>
      <c r="AH37" s="28"/>
      <c r="AI37" s="28"/>
      <c r="AJ37" s="28"/>
      <c r="AK37" s="28"/>
      <c r="AL37" s="28"/>
      <c r="AM37" s="28"/>
      <c r="AN37" s="28"/>
    </row>
    <row r="38" spans="1:40" ht="14.25" customHeight="1" x14ac:dyDescent="0.2">
      <c r="B38" s="35" t="s">
        <v>47</v>
      </c>
      <c r="C38" s="36"/>
      <c r="D38" s="37"/>
      <c r="E38" s="37"/>
      <c r="F38" s="37"/>
      <c r="G38" s="37"/>
      <c r="H38" s="37"/>
      <c r="I38" s="37"/>
      <c r="J38" s="37"/>
      <c r="K38" s="37"/>
      <c r="L38" s="37"/>
      <c r="M38" s="37"/>
      <c r="N38" s="37"/>
      <c r="O38" s="37"/>
      <c r="P38" s="37"/>
      <c r="R38" s="37"/>
      <c r="S38" s="37"/>
      <c r="T38" s="37"/>
      <c r="U38" s="37"/>
      <c r="V38" s="37"/>
      <c r="W38" s="37"/>
      <c r="X38" s="37"/>
      <c r="Y38" s="37"/>
      <c r="Z38" s="37"/>
      <c r="AA38" s="37"/>
      <c r="AB38" s="37"/>
      <c r="AC38" s="37"/>
      <c r="AD38" s="37"/>
      <c r="AE38" s="37"/>
      <c r="AF38" s="37"/>
      <c r="AG38" s="37"/>
      <c r="AH38" s="37"/>
      <c r="AI38" s="37"/>
      <c r="AJ38" s="37"/>
      <c r="AK38" s="37"/>
      <c r="AL38" s="37"/>
      <c r="AM38" s="37"/>
      <c r="AN38" s="37"/>
    </row>
    <row r="39" spans="1:40" ht="14.25" customHeight="1" x14ac:dyDescent="0.2">
      <c r="B39" s="26" t="s">
        <v>48</v>
      </c>
      <c r="C39" s="15" t="s">
        <v>231</v>
      </c>
      <c r="D39" s="40">
        <v>0</v>
      </c>
      <c r="E39" s="40">
        <v>0</v>
      </c>
      <c r="F39" s="40">
        <v>0</v>
      </c>
      <c r="G39" s="40">
        <v>0</v>
      </c>
      <c r="H39" s="40">
        <v>0</v>
      </c>
      <c r="I39" s="40">
        <v>0</v>
      </c>
      <c r="J39" s="40">
        <v>0</v>
      </c>
      <c r="K39" s="40">
        <v>0</v>
      </c>
      <c r="L39" s="40">
        <v>0</v>
      </c>
      <c r="M39" s="40">
        <v>0</v>
      </c>
      <c r="N39" s="40"/>
      <c r="O39" s="40"/>
      <c r="P39" s="40">
        <v>0</v>
      </c>
      <c r="R39" s="40"/>
      <c r="S39" s="40">
        <v>0</v>
      </c>
      <c r="T39" s="40">
        <v>0</v>
      </c>
      <c r="U39" s="40">
        <v>0</v>
      </c>
      <c r="V39" s="40">
        <v>0</v>
      </c>
      <c r="W39" s="40"/>
      <c r="X39" s="40"/>
      <c r="Y39" s="40"/>
      <c r="Z39" s="40"/>
      <c r="AA39" s="40"/>
      <c r="AB39" s="40"/>
      <c r="AC39" s="40"/>
      <c r="AD39" s="40"/>
      <c r="AE39" s="40"/>
      <c r="AF39" s="40"/>
      <c r="AG39" s="40"/>
      <c r="AH39" s="40"/>
      <c r="AI39" s="40"/>
      <c r="AJ39" s="40">
        <v>0</v>
      </c>
      <c r="AK39" s="40"/>
      <c r="AL39" s="40">
        <v>0</v>
      </c>
      <c r="AM39" s="40"/>
      <c r="AN39" s="40"/>
    </row>
    <row r="40" spans="1:40" ht="14.25" customHeight="1" x14ac:dyDescent="0.2">
      <c r="B40" s="26" t="s">
        <v>50</v>
      </c>
      <c r="C40" s="15" t="s">
        <v>232</v>
      </c>
      <c r="D40" s="27">
        <f>INDEX('Weekly Spend'!$F$86:$CV$94,MATCH($B40,'Weekly Spend'!$F$86:$F$94,0),MATCH(D$3,'Weekly Spend'!$F$86:$CV$86,0))</f>
        <v>0</v>
      </c>
      <c r="E40" s="27">
        <f>INDEX('Weekly Spend'!$F$86:$CV$94,MATCH($B40,'Weekly Spend'!$F$86:$F$94,0),MATCH(E$3,'Weekly Spend'!$F$86:$CV$86,0))</f>
        <v>0</v>
      </c>
      <c r="F40" s="27">
        <f>INDEX('Weekly Spend'!$F$86:$CV$94,MATCH($B40,'Weekly Spend'!$F$86:$F$94,0),MATCH(F$3,'Weekly Spend'!$F$86:$CV$86,0))</f>
        <v>15000</v>
      </c>
      <c r="G40" s="27">
        <f>INDEX('Weekly Spend'!$F$86:$CV$94,MATCH($B40,'Weekly Spend'!$F$86:$F$94,0),MATCH(G$3,'Weekly Spend'!$F$86:$CV$86,0))</f>
        <v>0</v>
      </c>
      <c r="H40" s="27">
        <f>INDEX('Weekly Spend'!$F$86:$CV$94,MATCH($B40,'Weekly Spend'!$F$86:$F$94,0),MATCH(H$3,'Weekly Spend'!$F$86:$CV$86,0))</f>
        <v>0</v>
      </c>
      <c r="I40" s="27">
        <f>INDEX('Weekly Spend'!$F$86:$CV$94,MATCH($B40,'Weekly Spend'!$F$86:$F$94,0),MATCH(I$3,'Weekly Spend'!$F$86:$CV$86,0))</f>
        <v>0</v>
      </c>
      <c r="J40" s="27">
        <f>INDEX('Weekly Spend'!$F$86:$CV$94,MATCH($B40,'Weekly Spend'!$F$86:$F$94,0),MATCH(J$3,'Weekly Spend'!$F$86:$CV$86,0))</f>
        <v>0</v>
      </c>
      <c r="K40" s="27">
        <f>INDEX('Weekly Spend'!$F$86:$CV$94,MATCH($B40,'Weekly Spend'!$F$86:$F$94,0),MATCH(K$3,'Weekly Spend'!$F$86:$CV$86,0))</f>
        <v>15000</v>
      </c>
      <c r="L40" s="27">
        <f>INDEX('Weekly Spend'!$F$86:$CV$94,MATCH($B40,'Weekly Spend'!$F$86:$F$94,0),MATCH(L$3,'Weekly Spend'!$F$86:$CV$86,0))</f>
        <v>0</v>
      </c>
      <c r="M40" s="27">
        <f>INDEX('Weekly Spend'!$F$86:$CV$94,MATCH($B40,'Weekly Spend'!$F$86:$F$94,0),MATCH(M$3,'Weekly Spend'!$F$86:$CV$86,0))</f>
        <v>0</v>
      </c>
      <c r="N40" s="27">
        <f>INDEX('Weekly Spend'!$F$86:$CV$94,MATCH($B40,'Weekly Spend'!$F$86:$F$94,0),MATCH(N$3,'Weekly Spend'!$F$86:$CV$86,0))</f>
        <v>0</v>
      </c>
      <c r="O40" s="27">
        <f>INDEX('Weekly Spend'!$F$86:$CV$94,MATCH($B40,'Weekly Spend'!$F$86:$F$94,0),MATCH(O$3,'Weekly Spend'!$F$86:$CV$86,0))</f>
        <v>15000</v>
      </c>
      <c r="P40" s="27">
        <f>INDEX('Weekly Spend'!$F$86:$CV$94,MATCH($B40,'Weekly Spend'!$F$86:$F$94,0),MATCH(P$3,'Weekly Spend'!$F$86:$CV$86,0))</f>
        <v>0</v>
      </c>
      <c r="R40" s="27">
        <f>INDEX('Weekly Spend'!$F$86:$CV$94,MATCH($B40,'Weekly Spend'!$F$86:$F$94,0),MATCH(R$3,'Weekly Spend'!$F$86:$CV$86,0))</f>
        <v>0</v>
      </c>
      <c r="S40" s="27">
        <f>INDEX('Weekly Spend'!$F$86:$CV$94,MATCH($B40,'Weekly Spend'!$F$86:$F$94,0),MATCH(S$3,'Weekly Spend'!$F$86:$CV$86,0))</f>
        <v>0</v>
      </c>
      <c r="T40" s="27">
        <f>INDEX('Weekly Spend'!$F$86:$CV$94,MATCH($B40,'Weekly Spend'!$F$86:$F$94,0),MATCH(T$3,'Weekly Spend'!$F$86:$CV$86,0))</f>
        <v>0</v>
      </c>
      <c r="U40" s="27">
        <f>INDEX('Weekly Spend'!$F$86:$CV$94,MATCH($B40,'Weekly Spend'!$F$86:$F$94,0),MATCH(U$3,'Weekly Spend'!$F$86:$CV$86,0))</f>
        <v>15000</v>
      </c>
      <c r="V40" s="27">
        <f>INDEX('Weekly Spend'!$F$86:$CV$94,MATCH($B40,'Weekly Spend'!$F$86:$F$94,0),MATCH(V$3,'Weekly Spend'!$F$86:$CV$86,0))</f>
        <v>0</v>
      </c>
      <c r="W40" s="27">
        <f>INDEX('Weekly Spend'!$F$86:$CV$94,MATCH($B40,'Weekly Spend'!$F$86:$F$94,0),MATCH(W$3,'Weekly Spend'!$F$86:$CV$86,0))</f>
        <v>0</v>
      </c>
      <c r="X40" s="27">
        <f>INDEX('Weekly Spend'!$F$86:$CV$94,MATCH($B40,'Weekly Spend'!$F$86:$F$94,0),MATCH(X$3,'Weekly Spend'!$F$86:$CV$86,0))</f>
        <v>0</v>
      </c>
      <c r="Y40" s="27">
        <f>INDEX('Weekly Spend'!$F$86:$CV$94,MATCH($B40,'Weekly Spend'!$F$86:$F$94,0),MATCH(Y$3,'Weekly Spend'!$F$86:$CV$86,0))</f>
        <v>13333</v>
      </c>
      <c r="Z40" s="27">
        <f>INDEX('Weekly Spend'!$F$86:$CV$94,MATCH($B40,'Weekly Spend'!$F$86:$F$94,0),MATCH(Z$3,'Weekly Spend'!$F$86:$CV$86,0))</f>
        <v>0</v>
      </c>
      <c r="AA40" s="27">
        <f>INDEX('Weekly Spend'!$F$86:$CV$94,MATCH($B40,'Weekly Spend'!$F$86:$F$94,0),MATCH(AA$3,'Weekly Spend'!$F$86:$CV$86,0))</f>
        <v>0</v>
      </c>
      <c r="AB40" s="27">
        <f>INDEX('Weekly Spend'!$F$86:$CV$94,MATCH($B40,'Weekly Spend'!$F$86:$F$94,0),MATCH(AB$3,'Weekly Spend'!$F$86:$CV$86,0))</f>
        <v>0</v>
      </c>
      <c r="AC40" s="27">
        <f>INDEX('Weekly Spend'!$F$86:$CV$94,MATCH($B40,'Weekly Spend'!$F$86:$F$94,0),MATCH(AC$3,'Weekly Spend'!$F$86:$CV$86,0))</f>
        <v>13333</v>
      </c>
      <c r="AD40" s="27">
        <f>INDEX('Weekly Spend'!$F$86:$CV$94,MATCH($B40,'Weekly Spend'!$F$86:$F$94,0),MATCH(AD$3,'Weekly Spend'!$F$86:$CV$86,0))</f>
        <v>0</v>
      </c>
      <c r="AE40" s="27">
        <f>INDEX('Weekly Spend'!$F$86:$CV$94,MATCH($B40,'Weekly Spend'!$F$86:$F$94,0),MATCH(AE$3,'Weekly Spend'!$F$86:$CV$86,0))</f>
        <v>0</v>
      </c>
      <c r="AF40" s="27">
        <f>INDEX('Weekly Spend'!$F$86:$CV$94,MATCH($B40,'Weekly Spend'!$F$86:$F$94,0),MATCH(AF$3,'Weekly Spend'!$F$86:$CV$86,0))</f>
        <v>0</v>
      </c>
      <c r="AG40" s="27">
        <f>INDEX('Weekly Spend'!$F$86:$CV$94,MATCH($B40,'Weekly Spend'!$F$86:$F$94,0),MATCH(AG$3,'Weekly Spend'!$F$86:$CV$86,0))</f>
        <v>0</v>
      </c>
      <c r="AH40" s="27">
        <f>INDEX('Weekly Spend'!$F$86:$CV$94,MATCH($B40,'Weekly Spend'!$F$86:$F$94,0),MATCH(AH$3,'Weekly Spend'!$F$86:$CV$86,0))</f>
        <v>0</v>
      </c>
      <c r="AI40" s="27">
        <f>INDEX('Weekly Spend'!$F$86:$CV$94,MATCH($B40,'Weekly Spend'!$F$86:$F$94,0),MATCH(AI$3,'Weekly Spend'!$F$86:$CV$86,0))</f>
        <v>0</v>
      </c>
      <c r="AJ40" s="27">
        <f>INDEX('Weekly Spend'!$F$86:$CV$94,MATCH($B40,'Weekly Spend'!$F$86:$F$94,0),MATCH(AJ$3,'Weekly Spend'!$F$86:$CV$86,0))</f>
        <v>0</v>
      </c>
      <c r="AK40" s="27">
        <f>INDEX('Weekly Spend'!$F$86:$CV$94,MATCH($B40,'Weekly Spend'!$F$86:$F$94,0),MATCH(AK$3,'Weekly Spend'!$F$86:$CV$86,0))</f>
        <v>0</v>
      </c>
      <c r="AL40" s="27">
        <f>INDEX('Weekly Spend'!$F$86:$CV$94,MATCH($B40,'Weekly Spend'!$F$86:$F$94,0),MATCH(AL$3,'Weekly Spend'!$F$86:$CV$86,0))</f>
        <v>0</v>
      </c>
      <c r="AM40" s="27">
        <f>INDEX('Weekly Spend'!$F$86:$CV$94,MATCH($B40,'Weekly Spend'!$F$86:$F$94,0),MATCH(AM$3,'Weekly Spend'!$F$86:$CV$86,0))</f>
        <v>0</v>
      </c>
      <c r="AN40" s="27">
        <f>INDEX('Weekly Spend'!$F$86:$CV$94,MATCH($B40,'Weekly Spend'!$F$86:$F$94,0),MATCH(AN$3,'Weekly Spend'!$F$86:$CV$86,0))</f>
        <v>0</v>
      </c>
    </row>
    <row r="41" spans="1:40" ht="14.25" customHeight="1" x14ac:dyDescent="0.2">
      <c r="B41" s="26" t="s">
        <v>52</v>
      </c>
      <c r="C41" s="15" t="s">
        <v>233</v>
      </c>
      <c r="D41" s="40">
        <v>0</v>
      </c>
      <c r="E41" s="40">
        <v>0</v>
      </c>
      <c r="F41" s="40">
        <v>0</v>
      </c>
      <c r="G41" s="40"/>
      <c r="H41" s="40"/>
      <c r="I41" s="40">
        <v>0</v>
      </c>
      <c r="J41" s="40"/>
      <c r="K41" s="40">
        <v>0</v>
      </c>
      <c r="L41" s="40">
        <v>0</v>
      </c>
      <c r="M41" s="40">
        <v>0</v>
      </c>
      <c r="N41" s="40">
        <v>0</v>
      </c>
      <c r="O41" s="40">
        <v>0</v>
      </c>
      <c r="P41" s="40">
        <v>0</v>
      </c>
      <c r="R41" s="40">
        <v>0</v>
      </c>
      <c r="S41" s="40">
        <v>0</v>
      </c>
      <c r="T41" s="40">
        <v>0</v>
      </c>
      <c r="U41" s="40">
        <v>0</v>
      </c>
      <c r="V41" s="40">
        <v>0</v>
      </c>
      <c r="W41" s="40">
        <v>0</v>
      </c>
      <c r="X41" s="40">
        <v>0</v>
      </c>
      <c r="Y41" s="40">
        <v>0</v>
      </c>
      <c r="Z41" s="40">
        <v>0</v>
      </c>
      <c r="AA41" s="40">
        <v>0</v>
      </c>
      <c r="AB41" s="40">
        <v>0</v>
      </c>
      <c r="AC41" s="40">
        <v>0</v>
      </c>
      <c r="AD41" s="40">
        <v>0</v>
      </c>
      <c r="AE41" s="40">
        <v>0</v>
      </c>
      <c r="AF41" s="40">
        <v>0</v>
      </c>
      <c r="AG41" s="40">
        <v>0</v>
      </c>
      <c r="AH41" s="40">
        <v>0</v>
      </c>
      <c r="AI41" s="40">
        <v>0</v>
      </c>
      <c r="AJ41" s="40">
        <v>0</v>
      </c>
      <c r="AK41" s="40">
        <v>0</v>
      </c>
      <c r="AL41" s="40">
        <v>0</v>
      </c>
      <c r="AM41" s="40">
        <v>0</v>
      </c>
      <c r="AN41" s="40">
        <v>0</v>
      </c>
    </row>
    <row r="42" spans="1:40" ht="14.25" customHeight="1" thickBot="1" x14ac:dyDescent="0.25">
      <c r="B42" s="24"/>
      <c r="C42" s="15"/>
      <c r="D42" s="27"/>
      <c r="E42" s="27"/>
      <c r="F42" s="27"/>
      <c r="G42" s="27"/>
      <c r="H42" s="27"/>
      <c r="I42" s="27"/>
      <c r="J42" s="27"/>
      <c r="K42" s="27"/>
      <c r="L42" s="27"/>
      <c r="M42" s="27"/>
      <c r="N42" s="27"/>
      <c r="O42" s="27"/>
      <c r="P42" s="27"/>
      <c r="R42" s="27"/>
      <c r="S42" s="27"/>
      <c r="T42" s="27"/>
      <c r="U42" s="27"/>
      <c r="V42" s="27"/>
      <c r="W42" s="27"/>
      <c r="X42" s="27"/>
      <c r="Y42" s="27"/>
      <c r="Z42" s="27"/>
      <c r="AA42" s="27"/>
      <c r="AB42" s="27"/>
      <c r="AC42" s="27"/>
      <c r="AD42" s="27"/>
      <c r="AE42" s="27"/>
      <c r="AF42" s="27"/>
      <c r="AG42" s="27"/>
      <c r="AH42" s="27"/>
      <c r="AI42" s="27"/>
      <c r="AJ42" s="27"/>
      <c r="AK42" s="27"/>
      <c r="AL42" s="27"/>
      <c r="AM42" s="27"/>
      <c r="AN42" s="27"/>
    </row>
    <row r="43" spans="1:40" ht="14.25" customHeight="1" thickBot="1" x14ac:dyDescent="0.25">
      <c r="B43" s="197" t="s">
        <v>54</v>
      </c>
      <c r="C43" s="207"/>
      <c r="D43" s="208">
        <f t="shared" ref="D43:P43" si="20">D31+D36-SUM(D39:D41)</f>
        <v>-56674.110000000015</v>
      </c>
      <c r="E43" s="208">
        <f t="shared" si="20"/>
        <v>33431</v>
      </c>
      <c r="F43" s="208">
        <f t="shared" si="20"/>
        <v>-119834.5</v>
      </c>
      <c r="G43" s="208">
        <f>G31+G36-SUM(G39:G41)</f>
        <v>93920.307692307688</v>
      </c>
      <c r="H43" s="208">
        <f>H31+H36-SUM(H39:H41)</f>
        <v>-58696.66</v>
      </c>
      <c r="I43" s="208">
        <f>I31+I36-SUM(I39:I41)</f>
        <v>-271316.69230769231</v>
      </c>
      <c r="J43" s="208">
        <f t="shared" si="20"/>
        <v>189100</v>
      </c>
      <c r="K43" s="208">
        <f t="shared" si="20"/>
        <v>206683.30769230775</v>
      </c>
      <c r="L43" s="208">
        <f t="shared" si="20"/>
        <v>-178835.25</v>
      </c>
      <c r="M43" s="208">
        <f t="shared" si="20"/>
        <v>-137266.94230769225</v>
      </c>
      <c r="N43" s="208">
        <f t="shared" si="20"/>
        <v>68193.75</v>
      </c>
      <c r="O43" s="208">
        <f t="shared" si="20"/>
        <v>-265722.94230769231</v>
      </c>
      <c r="P43" s="208">
        <f t="shared" si="20"/>
        <v>457575</v>
      </c>
      <c r="R43" s="208">
        <f t="shared" ref="R43:AN43" si="21">R31+R36-SUM(R39:R41)</f>
        <v>-110841.69230769231</v>
      </c>
      <c r="S43" s="208">
        <f t="shared" si="21"/>
        <v>92875</v>
      </c>
      <c r="T43" s="208">
        <f t="shared" si="21"/>
        <v>-387838.69230769231</v>
      </c>
      <c r="U43" s="208">
        <f t="shared" si="21"/>
        <v>-131369.79999999999</v>
      </c>
      <c r="V43" s="208">
        <f t="shared" si="21"/>
        <v>-336954.4923076923</v>
      </c>
      <c r="W43" s="208">
        <f t="shared" si="21"/>
        <v>230059.2</v>
      </c>
      <c r="X43" s="208">
        <f t="shared" si="21"/>
        <v>-164454.4923076923</v>
      </c>
      <c r="Y43" s="208">
        <f t="shared" si="21"/>
        <v>133126.20000000001</v>
      </c>
      <c r="Z43" s="208">
        <f t="shared" si="21"/>
        <v>-235997.296474359</v>
      </c>
      <c r="AA43" s="208">
        <f t="shared" si="21"/>
        <v>255375</v>
      </c>
      <c r="AB43" s="208">
        <f t="shared" si="21"/>
        <v>-145688.69230769231</v>
      </c>
      <c r="AC43" s="208">
        <f t="shared" si="21"/>
        <v>224042</v>
      </c>
      <c r="AD43" s="208">
        <f t="shared" si="21"/>
        <v>-460148.94230769225</v>
      </c>
      <c r="AE43" s="208">
        <f t="shared" si="21"/>
        <v>282050.75</v>
      </c>
      <c r="AF43" s="208">
        <f t="shared" si="21"/>
        <v>-143219.94230769231</v>
      </c>
      <c r="AG43" s="208">
        <f t="shared" si="21"/>
        <v>257550.75</v>
      </c>
      <c r="AH43" s="208">
        <f t="shared" si="21"/>
        <v>-185313.69230769231</v>
      </c>
      <c r="AI43" s="208">
        <f t="shared" si="21"/>
        <v>280457</v>
      </c>
      <c r="AJ43" s="208">
        <f t="shared" si="21"/>
        <v>-133216.69230769231</v>
      </c>
      <c r="AK43" s="208">
        <f t="shared" si="21"/>
        <v>1480457</v>
      </c>
      <c r="AL43" s="208">
        <f t="shared" si="21"/>
        <v>-417714.69230769231</v>
      </c>
      <c r="AM43" s="208">
        <f t="shared" si="21"/>
        <v>277212</v>
      </c>
      <c r="AN43" s="208">
        <f t="shared" si="21"/>
        <v>-101461.69230769231</v>
      </c>
    </row>
    <row r="44" spans="1:40" ht="14.25" customHeight="1" x14ac:dyDescent="0.2">
      <c r="B44" s="26"/>
      <c r="C44" s="15"/>
      <c r="D44" s="41"/>
      <c r="E44" s="41"/>
      <c r="F44" s="41"/>
      <c r="G44" s="41"/>
      <c r="H44" s="41"/>
      <c r="I44" s="41"/>
      <c r="J44" s="41"/>
      <c r="K44" s="41"/>
      <c r="L44" s="41"/>
      <c r="M44" s="41"/>
      <c r="N44" s="41"/>
      <c r="O44" s="41"/>
      <c r="P44" s="41"/>
      <c r="R44" s="41"/>
      <c r="S44" s="41"/>
      <c r="T44" s="41"/>
      <c r="U44" s="41"/>
      <c r="V44" s="41"/>
      <c r="W44" s="41"/>
      <c r="X44" s="41"/>
      <c r="Y44" s="41"/>
      <c r="Z44" s="41"/>
      <c r="AA44" s="41"/>
      <c r="AB44" s="41"/>
      <c r="AC44" s="41"/>
      <c r="AD44" s="41"/>
      <c r="AE44" s="41"/>
      <c r="AF44" s="41"/>
      <c r="AG44" s="41"/>
      <c r="AH44" s="41"/>
      <c r="AI44" s="41"/>
      <c r="AJ44" s="41"/>
      <c r="AK44" s="41"/>
      <c r="AL44" s="41"/>
      <c r="AM44" s="41"/>
      <c r="AN44" s="41"/>
    </row>
    <row r="45" spans="1:40" ht="14.25" customHeight="1" x14ac:dyDescent="0.2">
      <c r="B45" s="26" t="s">
        <v>56</v>
      </c>
      <c r="C45" s="15" t="s">
        <v>234</v>
      </c>
      <c r="D45" s="42">
        <v>769810.3</v>
      </c>
      <c r="E45" s="27">
        <f>D48</f>
        <v>713136.19000000006</v>
      </c>
      <c r="F45" s="27">
        <f>E48</f>
        <v>746567.19000000006</v>
      </c>
      <c r="G45" s="27">
        <f>F48</f>
        <v>626732.69000000006</v>
      </c>
      <c r="H45" s="27">
        <f>G48</f>
        <v>720652.99769230769</v>
      </c>
      <c r="I45" s="27">
        <f>H48</f>
        <v>661956.33769230766</v>
      </c>
      <c r="J45" s="27">
        <f t="shared" ref="J45:P45" si="22">I48</f>
        <v>390639.64538461535</v>
      </c>
      <c r="K45" s="27">
        <f t="shared" si="22"/>
        <v>579739.64538461529</v>
      </c>
      <c r="L45" s="27">
        <f t="shared" si="22"/>
        <v>786422.95307692303</v>
      </c>
      <c r="M45" s="27">
        <f t="shared" si="22"/>
        <v>607587.70307692303</v>
      </c>
      <c r="N45" s="27">
        <f t="shared" si="22"/>
        <v>470320.76076923078</v>
      </c>
      <c r="O45" s="27">
        <f t="shared" si="22"/>
        <v>538514.51076923078</v>
      </c>
      <c r="P45" s="27">
        <f t="shared" si="22"/>
        <v>272791.56846153847</v>
      </c>
      <c r="R45" s="27">
        <f>P48</f>
        <v>730366.56846153853</v>
      </c>
      <c r="S45" s="27">
        <f t="shared" ref="S45:AN45" si="23">R48</f>
        <v>619524.87615384627</v>
      </c>
      <c r="T45" s="27">
        <f t="shared" si="23"/>
        <v>712399.87615384627</v>
      </c>
      <c r="U45" s="27">
        <f t="shared" si="23"/>
        <v>324561.18384615396</v>
      </c>
      <c r="V45" s="27">
        <f t="shared" si="23"/>
        <v>193191.38384615397</v>
      </c>
      <c r="W45" s="27">
        <f t="shared" si="23"/>
        <v>-143763.10846153833</v>
      </c>
      <c r="X45" s="27">
        <f t="shared" si="23"/>
        <v>86296.091538461682</v>
      </c>
      <c r="Y45" s="27">
        <f t="shared" si="23"/>
        <v>-78158.400769230619</v>
      </c>
      <c r="Z45" s="27">
        <f t="shared" si="23"/>
        <v>54967.799230769393</v>
      </c>
      <c r="AA45" s="27">
        <f t="shared" si="23"/>
        <v>-181029.49724358961</v>
      </c>
      <c r="AB45" s="27">
        <f t="shared" si="23"/>
        <v>74345.502756410395</v>
      </c>
      <c r="AC45" s="27">
        <f t="shared" si="23"/>
        <v>-71343.189551281917</v>
      </c>
      <c r="AD45" s="27">
        <f t="shared" si="23"/>
        <v>152698.81044871808</v>
      </c>
      <c r="AE45" s="27">
        <f t="shared" si="23"/>
        <v>-307450.13185897417</v>
      </c>
      <c r="AF45" s="27">
        <f t="shared" si="23"/>
        <v>-25399.381858974171</v>
      </c>
      <c r="AG45" s="27">
        <f t="shared" si="23"/>
        <v>-168619.32416666648</v>
      </c>
      <c r="AH45" s="27">
        <f t="shared" si="23"/>
        <v>88931.425833333516</v>
      </c>
      <c r="AI45" s="27">
        <f t="shared" si="23"/>
        <v>-96382.266474358796</v>
      </c>
      <c r="AJ45" s="27">
        <f t="shared" si="23"/>
        <v>184074.7335256412</v>
      </c>
      <c r="AK45" s="27">
        <f t="shared" si="23"/>
        <v>50858.041217948892</v>
      </c>
      <c r="AL45" s="27">
        <f t="shared" si="23"/>
        <v>1531315.0412179488</v>
      </c>
      <c r="AM45" s="27">
        <f t="shared" si="23"/>
        <v>1113600.3489102565</v>
      </c>
      <c r="AN45" s="27">
        <f t="shared" si="23"/>
        <v>1390812.3489102565</v>
      </c>
    </row>
    <row r="46" spans="1:40" ht="14.25" customHeight="1" x14ac:dyDescent="0.2">
      <c r="B46" s="26" t="s">
        <v>58</v>
      </c>
      <c r="C46" s="311" t="s">
        <v>235</v>
      </c>
      <c r="D46" s="44"/>
      <c r="E46" s="44"/>
      <c r="F46" s="44"/>
      <c r="G46" s="44"/>
      <c r="H46" s="44"/>
      <c r="I46" s="44"/>
      <c r="J46" s="44"/>
      <c r="K46" s="44"/>
      <c r="L46" s="44"/>
      <c r="M46" s="44"/>
      <c r="N46" s="44"/>
      <c r="O46" s="44"/>
      <c r="P46" s="44"/>
      <c r="R46" s="44"/>
      <c r="S46" s="44"/>
      <c r="T46" s="44"/>
      <c r="U46" s="44"/>
      <c r="V46" s="44"/>
      <c r="W46" s="44"/>
      <c r="X46" s="44"/>
      <c r="Y46" s="44"/>
      <c r="Z46" s="44"/>
      <c r="AA46" s="44"/>
      <c r="AB46" s="44"/>
      <c r="AC46" s="44"/>
      <c r="AD46" s="44"/>
      <c r="AE46" s="44"/>
      <c r="AF46" s="44"/>
      <c r="AG46" s="44"/>
      <c r="AH46" s="44"/>
      <c r="AI46" s="44"/>
      <c r="AJ46" s="44"/>
      <c r="AK46" s="44"/>
      <c r="AL46" s="44"/>
      <c r="AM46" s="44"/>
      <c r="AN46" s="44"/>
    </row>
    <row r="47" spans="1:40" ht="14.25" customHeight="1" thickBot="1" x14ac:dyDescent="0.25">
      <c r="B47" s="26"/>
      <c r="C47" s="15"/>
      <c r="D47" s="27"/>
      <c r="E47" s="27"/>
      <c r="F47" s="27"/>
      <c r="G47" s="27"/>
      <c r="H47" s="27"/>
      <c r="I47" s="27"/>
      <c r="J47" s="27"/>
      <c r="K47" s="27"/>
      <c r="L47" s="27"/>
      <c r="M47" s="27"/>
      <c r="N47" s="27"/>
      <c r="O47" s="27"/>
      <c r="P47" s="27"/>
      <c r="R47" s="27"/>
      <c r="S47" s="27"/>
      <c r="T47" s="27"/>
      <c r="U47" s="27"/>
      <c r="V47" s="27"/>
      <c r="W47" s="27"/>
      <c r="X47" s="27"/>
      <c r="Y47" s="27"/>
      <c r="Z47" s="27"/>
      <c r="AA47" s="27"/>
      <c r="AB47" s="27"/>
      <c r="AC47" s="27"/>
      <c r="AD47" s="27"/>
      <c r="AE47" s="27"/>
      <c r="AF47" s="27"/>
      <c r="AG47" s="27"/>
      <c r="AH47" s="27"/>
      <c r="AI47" s="27"/>
      <c r="AJ47" s="27"/>
      <c r="AK47" s="27"/>
      <c r="AL47" s="27"/>
      <c r="AM47" s="27"/>
      <c r="AN47" s="27"/>
    </row>
    <row r="48" spans="1:40" ht="14.25" customHeight="1" thickBot="1" x14ac:dyDescent="0.25">
      <c r="A48" s="24"/>
      <c r="B48" s="193" t="s">
        <v>60</v>
      </c>
      <c r="C48" s="207"/>
      <c r="D48" s="208">
        <f>D45+D43+D46</f>
        <v>713136.19000000006</v>
      </c>
      <c r="E48" s="208">
        <f>E45+E43+E46</f>
        <v>746567.19000000006</v>
      </c>
      <c r="F48" s="208">
        <f t="shared" ref="F48:P48" si="24">F45+F43+F46</f>
        <v>626732.69000000006</v>
      </c>
      <c r="G48" s="208">
        <f>G45+G43+G46</f>
        <v>720652.99769230769</v>
      </c>
      <c r="H48" s="208">
        <f>H45+H43+H46</f>
        <v>661956.33769230766</v>
      </c>
      <c r="I48" s="208">
        <f>I45+I43+I46</f>
        <v>390639.64538461535</v>
      </c>
      <c r="J48" s="208">
        <f t="shared" si="24"/>
        <v>579739.64538461529</v>
      </c>
      <c r="K48" s="208">
        <f t="shared" si="24"/>
        <v>786422.95307692303</v>
      </c>
      <c r="L48" s="208">
        <f t="shared" si="24"/>
        <v>607587.70307692303</v>
      </c>
      <c r="M48" s="208">
        <f t="shared" si="24"/>
        <v>470320.76076923078</v>
      </c>
      <c r="N48" s="208">
        <f t="shared" si="24"/>
        <v>538514.51076923078</v>
      </c>
      <c r="O48" s="208">
        <f t="shared" si="24"/>
        <v>272791.56846153847</v>
      </c>
      <c r="P48" s="208">
        <f t="shared" si="24"/>
        <v>730366.56846153853</v>
      </c>
      <c r="R48" s="208">
        <f t="shared" ref="R48:AN48" si="25">R45+R43+R46</f>
        <v>619524.87615384627</v>
      </c>
      <c r="S48" s="208">
        <f t="shared" si="25"/>
        <v>712399.87615384627</v>
      </c>
      <c r="T48" s="208">
        <f t="shared" si="25"/>
        <v>324561.18384615396</v>
      </c>
      <c r="U48" s="208">
        <f t="shared" si="25"/>
        <v>193191.38384615397</v>
      </c>
      <c r="V48" s="208">
        <f t="shared" si="25"/>
        <v>-143763.10846153833</v>
      </c>
      <c r="W48" s="208">
        <f>W45+W43+W46</f>
        <v>86296.091538461682</v>
      </c>
      <c r="X48" s="208">
        <f t="shared" si="25"/>
        <v>-78158.400769230619</v>
      </c>
      <c r="Y48" s="208">
        <f t="shared" si="25"/>
        <v>54967.799230769393</v>
      </c>
      <c r="Z48" s="208">
        <f t="shared" si="25"/>
        <v>-181029.49724358961</v>
      </c>
      <c r="AA48" s="208">
        <f t="shared" si="25"/>
        <v>74345.502756410395</v>
      </c>
      <c r="AB48" s="208">
        <f t="shared" si="25"/>
        <v>-71343.189551281917</v>
      </c>
      <c r="AC48" s="208">
        <f t="shared" si="25"/>
        <v>152698.81044871808</v>
      </c>
      <c r="AD48" s="208">
        <f t="shared" si="25"/>
        <v>-307450.13185897417</v>
      </c>
      <c r="AE48" s="208">
        <f t="shared" si="25"/>
        <v>-25399.381858974171</v>
      </c>
      <c r="AF48" s="208">
        <f t="shared" si="25"/>
        <v>-168619.32416666648</v>
      </c>
      <c r="AG48" s="208">
        <f t="shared" si="25"/>
        <v>88931.425833333516</v>
      </c>
      <c r="AH48" s="208">
        <f t="shared" si="25"/>
        <v>-96382.266474358796</v>
      </c>
      <c r="AI48" s="208">
        <f t="shared" si="25"/>
        <v>184074.7335256412</v>
      </c>
      <c r="AJ48" s="208">
        <f t="shared" si="25"/>
        <v>50858.041217948892</v>
      </c>
      <c r="AK48" s="208">
        <f t="shared" si="25"/>
        <v>1531315.0412179488</v>
      </c>
      <c r="AL48" s="208">
        <f t="shared" si="25"/>
        <v>1113600.3489102565</v>
      </c>
      <c r="AM48" s="208">
        <f t="shared" si="25"/>
        <v>1390812.3489102565</v>
      </c>
      <c r="AN48" s="208">
        <f t="shared" si="25"/>
        <v>1289350.6566025643</v>
      </c>
    </row>
    <row r="49" spans="1:40" ht="14.25" hidden="1" customHeight="1" outlineLevel="1" x14ac:dyDescent="0.2">
      <c r="C49" s="15"/>
      <c r="E49" s="143"/>
      <c r="F49" s="357"/>
    </row>
    <row r="50" spans="1:40" ht="14.25" hidden="1" customHeight="1" outlineLevel="1" thickBot="1" x14ac:dyDescent="0.25">
      <c r="C50" s="15"/>
      <c r="D50" s="150"/>
      <c r="E50" s="150"/>
      <c r="F50" s="150"/>
    </row>
    <row r="51" spans="1:40" ht="14.25" customHeight="1" collapsed="1" thickBot="1" x14ac:dyDescent="0.25">
      <c r="A51" s="15"/>
      <c r="B51" s="148" t="s">
        <v>236</v>
      </c>
      <c r="C51" s="147">
        <f>MIN(D48:AN48)</f>
        <v>-307450.13185897417</v>
      </c>
      <c r="D51" s="208"/>
      <c r="E51" s="208"/>
      <c r="F51" s="208"/>
      <c r="S51" s="15"/>
      <c r="T51" s="15"/>
      <c r="U51" s="15"/>
      <c r="V51" s="15"/>
      <c r="W51" s="15"/>
      <c r="X51" s="15"/>
      <c r="Y51" s="15"/>
      <c r="Z51" s="15"/>
      <c r="AA51" s="15"/>
      <c r="AB51" s="15"/>
      <c r="AC51" s="15"/>
      <c r="AD51" s="15"/>
      <c r="AE51" s="15"/>
      <c r="AF51" s="15"/>
      <c r="AG51" s="15"/>
      <c r="AH51" s="15"/>
      <c r="AI51" s="15"/>
      <c r="AJ51" s="15"/>
      <c r="AK51" s="15"/>
      <c r="AL51" s="15"/>
      <c r="AM51" s="15"/>
      <c r="AN51" s="15"/>
    </row>
    <row r="52" spans="1:40" ht="14.25" customHeight="1" x14ac:dyDescent="0.2">
      <c r="B52" s="357" t="s">
        <v>237</v>
      </c>
      <c r="C52" s="301">
        <f>_xlfn.XLOOKUP(C51,48:48,3:3)</f>
        <v>46146</v>
      </c>
      <c r="D52" s="144">
        <v>2325000</v>
      </c>
      <c r="E52" s="219">
        <f>D52+E36</f>
        <v>2325000</v>
      </c>
      <c r="F52" s="219">
        <f t="shared" ref="F52:AN52" si="26">E52+F36</f>
        <v>2425000</v>
      </c>
      <c r="G52" s="219">
        <f t="shared" si="26"/>
        <v>2925000</v>
      </c>
      <c r="H52" s="219">
        <f>G52+H36</f>
        <v>2925000</v>
      </c>
      <c r="I52" s="219">
        <f t="shared" si="26"/>
        <v>2925000</v>
      </c>
      <c r="J52" s="219">
        <f t="shared" si="26"/>
        <v>3175000</v>
      </c>
      <c r="K52" s="219">
        <f t="shared" si="26"/>
        <v>3925000</v>
      </c>
      <c r="L52" s="219">
        <f t="shared" si="26"/>
        <v>3925000</v>
      </c>
      <c r="M52" s="219">
        <f t="shared" si="26"/>
        <v>4525000</v>
      </c>
      <c r="N52" s="219">
        <f t="shared" si="26"/>
        <v>4525000</v>
      </c>
      <c r="O52" s="219">
        <f t="shared" si="26"/>
        <v>4525000</v>
      </c>
      <c r="P52" s="219">
        <f t="shared" si="26"/>
        <v>4525000</v>
      </c>
      <c r="Q52" s="219"/>
      <c r="R52" s="219">
        <f>P52+R36</f>
        <v>4525000</v>
      </c>
      <c r="S52" s="219">
        <f t="shared" si="26"/>
        <v>4525000</v>
      </c>
      <c r="T52" s="219">
        <f t="shared" si="26"/>
        <v>4525000</v>
      </c>
      <c r="U52" s="219">
        <f t="shared" si="26"/>
        <v>4525000</v>
      </c>
      <c r="V52" s="219">
        <f t="shared" si="26"/>
        <v>4750000</v>
      </c>
      <c r="W52" s="219">
        <f t="shared" si="26"/>
        <v>4750000</v>
      </c>
      <c r="X52" s="219">
        <f t="shared" si="26"/>
        <v>4750000</v>
      </c>
      <c r="Y52" s="219">
        <f t="shared" si="26"/>
        <v>4750000</v>
      </c>
      <c r="Z52" s="219">
        <f t="shared" si="26"/>
        <v>4900000</v>
      </c>
      <c r="AA52" s="349">
        <f t="shared" si="26"/>
        <v>4900000</v>
      </c>
      <c r="AB52" s="219">
        <f t="shared" si="26"/>
        <v>4900000</v>
      </c>
      <c r="AC52" s="219">
        <f t="shared" si="26"/>
        <v>4900000</v>
      </c>
      <c r="AD52" s="219">
        <f t="shared" si="26"/>
        <v>5000000</v>
      </c>
      <c r="AE52" s="219">
        <f t="shared" si="26"/>
        <v>5000000</v>
      </c>
      <c r="AF52" s="219">
        <f t="shared" si="26"/>
        <v>5000000</v>
      </c>
      <c r="AG52" s="219">
        <f t="shared" si="26"/>
        <v>5000000</v>
      </c>
      <c r="AH52" s="219">
        <f t="shared" si="26"/>
        <v>5000000</v>
      </c>
      <c r="AI52" s="219">
        <f t="shared" si="26"/>
        <v>5000000</v>
      </c>
      <c r="AJ52" s="219">
        <f t="shared" si="26"/>
        <v>5000000</v>
      </c>
      <c r="AK52" s="219">
        <f t="shared" si="26"/>
        <v>5000000</v>
      </c>
      <c r="AL52" s="219">
        <f t="shared" si="26"/>
        <v>5000000</v>
      </c>
      <c r="AM52" s="219">
        <f t="shared" si="26"/>
        <v>5000000</v>
      </c>
      <c r="AN52" s="219">
        <f t="shared" si="26"/>
        <v>5000000</v>
      </c>
    </row>
    <row r="53" spans="1:40" ht="14.25" customHeight="1" x14ac:dyDescent="0.2">
      <c r="C53" s="15"/>
      <c r="D53" s="45"/>
      <c r="G53" s="357"/>
      <c r="H53" s="357"/>
    </row>
    <row r="54" spans="1:40" ht="14.25" customHeight="1" x14ac:dyDescent="0.2">
      <c r="C54" s="15"/>
      <c r="D54" s="357"/>
      <c r="R54" s="357" t="s">
        <v>238</v>
      </c>
      <c r="S54" s="219"/>
      <c r="U54" s="219"/>
      <c r="V54" s="219"/>
      <c r="W54" s="219"/>
      <c r="X54" s="219"/>
      <c r="Y54" s="219"/>
      <c r="Z54" s="219"/>
      <c r="AI54" s="219"/>
      <c r="AJ54" s="219"/>
    </row>
    <row r="55" spans="1:40" ht="14.25" customHeight="1" x14ac:dyDescent="0.2">
      <c r="C55" s="15"/>
      <c r="D55" s="143"/>
    </row>
    <row r="56" spans="1:40" ht="14.25" customHeight="1" x14ac:dyDescent="0.2">
      <c r="C56" s="15"/>
      <c r="D56" s="219"/>
      <c r="G56" s="360"/>
      <c r="H56" s="360"/>
      <c r="I56" s="347"/>
      <c r="J56" s="348"/>
      <c r="K56" s="347"/>
    </row>
    <row r="57" spans="1:40" ht="14.25" customHeight="1" x14ac:dyDescent="0.2">
      <c r="C57" s="15"/>
      <c r="E57" s="20" t="s">
        <v>239</v>
      </c>
      <c r="F57" s="20"/>
      <c r="G57" s="368">
        <f>F65+42000+200000+1000000</f>
        <v>6242000</v>
      </c>
      <c r="H57" s="368">
        <f>F63+42000+200000+1000000</f>
        <v>3567000</v>
      </c>
      <c r="I57" s="340"/>
      <c r="J57" s="340"/>
      <c r="K57" s="340"/>
      <c r="L57" s="347"/>
    </row>
    <row r="58" spans="1:40" ht="14.25" customHeight="1" x14ac:dyDescent="0.2">
      <c r="C58" s="15"/>
      <c r="E58" s="222" t="s">
        <v>240</v>
      </c>
      <c r="F58" s="354">
        <v>500000</v>
      </c>
      <c r="G58" s="348"/>
      <c r="H58" s="348"/>
      <c r="I58" s="343"/>
      <c r="J58" s="341"/>
      <c r="K58" s="344"/>
      <c r="L58" s="347"/>
    </row>
    <row r="59" spans="1:40" ht="14.25" customHeight="1" x14ac:dyDescent="0.2">
      <c r="C59" s="15"/>
      <c r="E59" s="222" t="s">
        <v>241</v>
      </c>
      <c r="F59" s="354">
        <v>500000</v>
      </c>
      <c r="G59" s="348"/>
      <c r="H59" s="348"/>
      <c r="I59" s="343"/>
      <c r="J59" s="341"/>
      <c r="K59" s="344"/>
      <c r="L59" s="347"/>
    </row>
    <row r="60" spans="1:40" ht="14.25" customHeight="1" x14ac:dyDescent="0.2">
      <c r="C60" s="15"/>
      <c r="E60" s="222" t="s">
        <v>242</v>
      </c>
      <c r="F60" s="354">
        <v>300000</v>
      </c>
      <c r="G60" s="348"/>
      <c r="H60" s="348"/>
      <c r="I60" s="343"/>
      <c r="J60" s="341"/>
      <c r="K60" s="344"/>
      <c r="L60" s="347"/>
    </row>
    <row r="61" spans="1:40" ht="14.25" customHeight="1" x14ac:dyDescent="0.2">
      <c r="C61" s="15"/>
      <c r="E61" s="222" t="s">
        <v>243</v>
      </c>
      <c r="F61" s="354">
        <v>600000</v>
      </c>
      <c r="G61" s="348"/>
      <c r="H61" s="348"/>
      <c r="I61" s="343"/>
      <c r="J61" s="341"/>
      <c r="K61" s="344"/>
      <c r="L61" s="347"/>
    </row>
    <row r="62" spans="1:40" ht="14.25" customHeight="1" x14ac:dyDescent="0.2">
      <c r="C62" s="15"/>
      <c r="E62" s="222" t="s">
        <v>244</v>
      </c>
      <c r="F62" s="354">
        <v>425000</v>
      </c>
      <c r="G62" s="348"/>
      <c r="H62" s="348"/>
      <c r="I62" s="343"/>
      <c r="J62" s="341"/>
      <c r="K62" s="344"/>
      <c r="L62" s="347"/>
    </row>
    <row r="63" spans="1:40" ht="14.25" customHeight="1" x14ac:dyDescent="0.2">
      <c r="E63" s="224" t="s">
        <v>245</v>
      </c>
      <c r="F63" s="354">
        <f>SUM(F58:F62)</f>
        <v>2325000</v>
      </c>
      <c r="G63" s="352"/>
      <c r="H63" s="352"/>
      <c r="I63" s="344"/>
      <c r="J63" s="341"/>
      <c r="K63" s="345"/>
      <c r="L63" s="347"/>
    </row>
    <row r="64" spans="1:40" ht="14.25" customHeight="1" x14ac:dyDescent="0.2">
      <c r="E64" s="224" t="s">
        <v>246</v>
      </c>
      <c r="F64" s="354">
        <f>SUM(D36:AN36)</f>
        <v>2675000</v>
      </c>
      <c r="G64" s="352"/>
      <c r="H64" s="352"/>
      <c r="I64" s="344"/>
      <c r="J64" s="341"/>
      <c r="K64" s="345"/>
      <c r="L64" s="347"/>
    </row>
    <row r="65" spans="3:12" ht="14.25" customHeight="1" thickBot="1" x14ac:dyDescent="0.25">
      <c r="E65" s="225" t="s">
        <v>247</v>
      </c>
      <c r="F65" s="355">
        <f>F64+F63</f>
        <v>5000000</v>
      </c>
      <c r="G65" s="353"/>
      <c r="H65" s="353"/>
      <c r="I65" s="344"/>
      <c r="J65" s="342"/>
      <c r="K65" s="346"/>
      <c r="L65" s="347"/>
    </row>
    <row r="66" spans="3:12" ht="14.25" customHeight="1" thickBot="1" x14ac:dyDescent="0.25">
      <c r="E66" s="225" t="s">
        <v>248</v>
      </c>
      <c r="F66" s="228"/>
      <c r="G66" s="226"/>
      <c r="H66" s="226"/>
      <c r="I66" s="344"/>
      <c r="J66" s="342"/>
      <c r="K66" s="344"/>
      <c r="L66" s="347"/>
    </row>
    <row r="67" spans="3:12" ht="14.25" customHeight="1" x14ac:dyDescent="0.2">
      <c r="I67" s="347"/>
      <c r="J67" s="347"/>
      <c r="K67" s="347"/>
    </row>
    <row r="68" spans="3:12" ht="14.25" customHeight="1" x14ac:dyDescent="0.2">
      <c r="I68" s="21"/>
      <c r="J68" s="21" t="s">
        <v>249</v>
      </c>
      <c r="K68" s="21"/>
    </row>
    <row r="69" spans="3:12" ht="14.25" customHeight="1" x14ac:dyDescent="0.2">
      <c r="I69" s="222" t="s">
        <v>240</v>
      </c>
      <c r="J69" s="150">
        <v>500000</v>
      </c>
      <c r="K69" s="223"/>
    </row>
    <row r="70" spans="3:12" ht="14.25" customHeight="1" x14ac:dyDescent="0.2">
      <c r="I70" s="222" t="s">
        <v>241</v>
      </c>
      <c r="J70" s="150">
        <v>500000</v>
      </c>
      <c r="K70" s="223"/>
    </row>
    <row r="71" spans="3:12" ht="14.25" customHeight="1" x14ac:dyDescent="0.2">
      <c r="D71" s="146"/>
      <c r="F71" s="357"/>
      <c r="G71" s="144"/>
      <c r="H71" s="144"/>
      <c r="I71" s="222" t="s">
        <v>242</v>
      </c>
      <c r="J71" s="150">
        <v>300000</v>
      </c>
      <c r="K71" s="223"/>
    </row>
    <row r="72" spans="3:12" ht="14.25" customHeight="1" x14ac:dyDescent="0.2">
      <c r="D72" s="146"/>
      <c r="I72" s="222" t="s">
        <v>243</v>
      </c>
      <c r="J72" s="150">
        <v>600000</v>
      </c>
      <c r="K72" s="223"/>
    </row>
    <row r="73" spans="3:12" ht="14.25" customHeight="1" x14ac:dyDescent="0.2">
      <c r="D73" s="146"/>
      <c r="F73" s="357"/>
      <c r="G73" s="361"/>
      <c r="H73" s="361"/>
      <c r="I73" s="222" t="s">
        <v>244</v>
      </c>
      <c r="J73" s="150">
        <v>425000</v>
      </c>
      <c r="K73" s="223"/>
    </row>
    <row r="74" spans="3:12" ht="14.25" customHeight="1" x14ac:dyDescent="0.2">
      <c r="D74" s="146"/>
      <c r="F74" s="357"/>
      <c r="G74" s="144"/>
      <c r="H74" s="144"/>
      <c r="I74" s="224" t="s">
        <v>250</v>
      </c>
      <c r="J74" s="150">
        <v>700000</v>
      </c>
      <c r="K74" s="328"/>
    </row>
    <row r="75" spans="3:12" ht="14.25" customHeight="1" x14ac:dyDescent="0.2">
      <c r="D75" s="146"/>
      <c r="F75" s="357"/>
      <c r="G75" s="144"/>
      <c r="H75" s="144"/>
      <c r="I75" s="224" t="s">
        <v>251</v>
      </c>
      <c r="J75" s="150">
        <f>L35</f>
        <v>0</v>
      </c>
      <c r="K75" s="328"/>
    </row>
    <row r="76" spans="3:12" ht="14.25" customHeight="1" x14ac:dyDescent="0.2">
      <c r="D76" s="146"/>
      <c r="G76" s="144"/>
      <c r="H76" s="144"/>
      <c r="I76" s="222" t="s">
        <v>252</v>
      </c>
      <c r="J76" s="150">
        <v>900000</v>
      </c>
      <c r="K76" s="329"/>
    </row>
    <row r="77" spans="3:12" ht="14.25" customHeight="1" thickBot="1" x14ac:dyDescent="0.25">
      <c r="D77" s="146"/>
      <c r="G77" s="144"/>
      <c r="H77" s="144"/>
      <c r="I77" s="225"/>
      <c r="J77" s="228"/>
      <c r="K77" s="226"/>
    </row>
    <row r="78" spans="3:12" ht="14.25" customHeight="1" x14ac:dyDescent="0.2">
      <c r="J78" s="227"/>
    </row>
    <row r="79" spans="3:12" ht="14.25" customHeight="1" x14ac:dyDescent="0.2">
      <c r="C79" s="15"/>
      <c r="D79" s="146"/>
      <c r="F79" s="144"/>
      <c r="G79" s="219"/>
      <c r="H79" s="219"/>
    </row>
    <row r="80" spans="3:12" ht="14.25" customHeight="1" x14ac:dyDescent="0.2">
      <c r="C80" s="15"/>
      <c r="D80" s="146"/>
      <c r="F80" s="144"/>
      <c r="G80" s="219"/>
      <c r="H80" s="219"/>
    </row>
    <row r="81" spans="3:6" ht="14.25" customHeight="1" x14ac:dyDescent="0.2">
      <c r="C81" s="15"/>
      <c r="D81" s="15"/>
      <c r="F81" s="219"/>
    </row>
    <row r="82" spans="3:6" ht="14.25" customHeight="1" x14ac:dyDescent="0.2">
      <c r="C82" s="15"/>
    </row>
    <row r="83" spans="3:6" ht="14.25" customHeight="1" x14ac:dyDescent="0.2">
      <c r="C83" s="15"/>
    </row>
    <row r="84" spans="3:6" ht="14.25" customHeight="1" x14ac:dyDescent="0.2">
      <c r="C84" s="15"/>
    </row>
    <row r="85" spans="3:6" ht="14.25" customHeight="1" x14ac:dyDescent="0.2">
      <c r="C85" s="15"/>
    </row>
    <row r="86" spans="3:6" ht="14.25" customHeight="1" x14ac:dyDescent="0.2">
      <c r="C86" s="15"/>
    </row>
    <row r="87" spans="3:6" ht="14.25" customHeight="1" x14ac:dyDescent="0.2">
      <c r="C87" s="15"/>
    </row>
    <row r="88" spans="3:6" ht="14.25" customHeight="1" x14ac:dyDescent="0.2">
      <c r="C88" s="15"/>
    </row>
    <row r="89" spans="3:6" ht="14.25" customHeight="1" x14ac:dyDescent="0.2">
      <c r="C89" s="15"/>
    </row>
    <row r="90" spans="3:6" ht="14.25" customHeight="1" x14ac:dyDescent="0.2">
      <c r="C90" s="15"/>
    </row>
    <row r="91" spans="3:6" ht="14.25" customHeight="1" x14ac:dyDescent="0.2">
      <c r="C91" s="15"/>
    </row>
    <row r="92" spans="3:6" ht="14.25" customHeight="1" x14ac:dyDescent="0.2">
      <c r="C92" s="15"/>
    </row>
    <row r="93" spans="3:6" ht="14.25" customHeight="1" x14ac:dyDescent="0.2">
      <c r="C93" s="15"/>
    </row>
    <row r="94" spans="3:6" ht="14.25" customHeight="1" x14ac:dyDescent="0.2">
      <c r="C94" s="15"/>
    </row>
    <row r="95" spans="3:6" ht="14.25" customHeight="1" x14ac:dyDescent="0.2">
      <c r="C95" s="15"/>
    </row>
    <row r="96" spans="3:6" ht="14.25" customHeight="1" x14ac:dyDescent="0.2">
      <c r="C96" s="15"/>
    </row>
    <row r="97" spans="3:3" ht="14.25" customHeight="1" x14ac:dyDescent="0.2">
      <c r="C97" s="15"/>
    </row>
    <row r="98" spans="3:3" ht="14.25" customHeight="1" x14ac:dyDescent="0.2">
      <c r="C98" s="15"/>
    </row>
    <row r="99" spans="3:3" ht="14.25" customHeight="1" x14ac:dyDescent="0.2">
      <c r="C99" s="15"/>
    </row>
    <row r="100" spans="3:3" ht="14.25" customHeight="1" x14ac:dyDescent="0.2">
      <c r="C100" s="15"/>
    </row>
    <row r="101" spans="3:3" ht="14.25" customHeight="1" x14ac:dyDescent="0.2">
      <c r="C101" s="15"/>
    </row>
    <row r="102" spans="3:3" ht="14.25" customHeight="1" x14ac:dyDescent="0.2">
      <c r="C102" s="15"/>
    </row>
    <row r="103" spans="3:3" ht="14.25" customHeight="1" x14ac:dyDescent="0.2">
      <c r="C103" s="15"/>
    </row>
    <row r="104" spans="3:3" ht="14.25" customHeight="1" x14ac:dyDescent="0.2">
      <c r="C104" s="15"/>
    </row>
    <row r="105" spans="3:3" ht="14.25" customHeight="1" x14ac:dyDescent="0.2">
      <c r="C105" s="15"/>
    </row>
    <row r="106" spans="3:3" ht="14.25" customHeight="1" x14ac:dyDescent="0.2">
      <c r="C106" s="15"/>
    </row>
    <row r="107" spans="3:3" ht="14.25" customHeight="1" x14ac:dyDescent="0.2">
      <c r="C107" s="15"/>
    </row>
    <row r="108" spans="3:3" ht="14.25" customHeight="1" x14ac:dyDescent="0.2">
      <c r="C108" s="15"/>
    </row>
    <row r="109" spans="3:3" ht="14.25" customHeight="1" x14ac:dyDescent="0.2">
      <c r="C109" s="15"/>
    </row>
    <row r="110" spans="3:3" ht="14.25" customHeight="1" x14ac:dyDescent="0.2">
      <c r="C110" s="15"/>
    </row>
    <row r="111" spans="3:3" ht="14.25" customHeight="1" x14ac:dyDescent="0.2">
      <c r="C111" s="15"/>
    </row>
    <row r="112" spans="3:3" ht="14.25" customHeight="1" x14ac:dyDescent="0.2">
      <c r="C112" s="15"/>
    </row>
    <row r="113" spans="3:3" ht="14.25" customHeight="1" x14ac:dyDescent="0.2">
      <c r="C113" s="15"/>
    </row>
    <row r="114" spans="3:3" ht="14.25" customHeight="1" x14ac:dyDescent="0.2">
      <c r="C114" s="15"/>
    </row>
    <row r="115" spans="3:3" ht="14.25" customHeight="1" x14ac:dyDescent="0.2">
      <c r="C115" s="15"/>
    </row>
    <row r="116" spans="3:3" ht="14.25" customHeight="1" x14ac:dyDescent="0.2">
      <c r="C116" s="15"/>
    </row>
    <row r="117" spans="3:3" ht="14.25" customHeight="1" x14ac:dyDescent="0.2">
      <c r="C117" s="15"/>
    </row>
    <row r="118" spans="3:3" ht="14.25" customHeight="1" x14ac:dyDescent="0.2">
      <c r="C118" s="15"/>
    </row>
    <row r="119" spans="3:3" ht="14.25" customHeight="1" x14ac:dyDescent="0.2">
      <c r="C119" s="15"/>
    </row>
    <row r="120" spans="3:3" ht="14.25" customHeight="1" x14ac:dyDescent="0.2">
      <c r="C120" s="15"/>
    </row>
    <row r="121" spans="3:3" ht="14.25" customHeight="1" x14ac:dyDescent="0.2">
      <c r="C121" s="15"/>
    </row>
    <row r="122" spans="3:3" ht="14.25" customHeight="1" x14ac:dyDescent="0.2">
      <c r="C122" s="15"/>
    </row>
    <row r="123" spans="3:3" ht="14.25" customHeight="1" x14ac:dyDescent="0.2">
      <c r="C123" s="15"/>
    </row>
    <row r="124" spans="3:3" ht="14.25" customHeight="1" x14ac:dyDescent="0.2">
      <c r="C124" s="15"/>
    </row>
    <row r="125" spans="3:3" ht="14.25" customHeight="1" x14ac:dyDescent="0.2">
      <c r="C125" s="15"/>
    </row>
    <row r="126" spans="3:3" ht="14.25" customHeight="1" x14ac:dyDescent="0.2">
      <c r="C126" s="15"/>
    </row>
    <row r="127" spans="3:3" ht="14.25" customHeight="1" x14ac:dyDescent="0.2">
      <c r="C127" s="15"/>
    </row>
    <row r="128" spans="3:3" ht="14.25" customHeight="1" x14ac:dyDescent="0.2">
      <c r="C128" s="15"/>
    </row>
    <row r="129" spans="3:3" ht="14.25" customHeight="1" x14ac:dyDescent="0.2">
      <c r="C129" s="15"/>
    </row>
    <row r="130" spans="3:3" ht="14.25" customHeight="1" x14ac:dyDescent="0.2">
      <c r="C130" s="15"/>
    </row>
    <row r="131" spans="3:3" ht="14.25" customHeight="1" x14ac:dyDescent="0.2">
      <c r="C131" s="15"/>
    </row>
    <row r="132" spans="3:3" ht="14.25" customHeight="1" x14ac:dyDescent="0.2">
      <c r="C132" s="15"/>
    </row>
    <row r="133" spans="3:3" ht="14.25" customHeight="1" x14ac:dyDescent="0.2">
      <c r="C133" s="15"/>
    </row>
    <row r="134" spans="3:3" ht="14.25" customHeight="1" x14ac:dyDescent="0.2">
      <c r="C134" s="15"/>
    </row>
    <row r="135" spans="3:3" ht="14.25" customHeight="1" x14ac:dyDescent="0.2">
      <c r="C135" s="15"/>
    </row>
    <row r="136" spans="3:3" ht="14.25" customHeight="1" x14ac:dyDescent="0.2">
      <c r="C136" s="15"/>
    </row>
    <row r="137" spans="3:3" ht="14.25" customHeight="1" x14ac:dyDescent="0.2">
      <c r="C137" s="15"/>
    </row>
    <row r="138" spans="3:3" ht="14.25" customHeight="1" x14ac:dyDescent="0.2">
      <c r="C138" s="15"/>
    </row>
    <row r="139" spans="3:3" ht="14.25" customHeight="1" x14ac:dyDescent="0.2">
      <c r="C139" s="15"/>
    </row>
    <row r="140" spans="3:3" ht="14.25" customHeight="1" x14ac:dyDescent="0.2">
      <c r="C140" s="15"/>
    </row>
    <row r="141" spans="3:3" ht="14.25" customHeight="1" x14ac:dyDescent="0.2">
      <c r="C141" s="15"/>
    </row>
    <row r="142" spans="3:3" ht="14.25" customHeight="1" x14ac:dyDescent="0.2">
      <c r="C142" s="15"/>
    </row>
    <row r="143" spans="3:3" ht="14.25" customHeight="1" x14ac:dyDescent="0.2">
      <c r="C143" s="15"/>
    </row>
    <row r="144" spans="3:3" ht="14.25" customHeight="1" x14ac:dyDescent="0.2">
      <c r="C144" s="15"/>
    </row>
    <row r="145" spans="3:3" ht="14.25" customHeight="1" x14ac:dyDescent="0.2">
      <c r="C145" s="15"/>
    </row>
    <row r="146" spans="3:3" ht="14.25" customHeight="1" x14ac:dyDescent="0.2">
      <c r="C146" s="15"/>
    </row>
    <row r="147" spans="3:3" ht="14.25" customHeight="1" x14ac:dyDescent="0.2">
      <c r="C147" s="15"/>
    </row>
    <row r="148" spans="3:3" ht="14.25" customHeight="1" x14ac:dyDescent="0.2">
      <c r="C148" s="15"/>
    </row>
    <row r="149" spans="3:3" ht="14.25" customHeight="1" x14ac:dyDescent="0.2">
      <c r="C149" s="15"/>
    </row>
    <row r="150" spans="3:3" ht="14.25" customHeight="1" x14ac:dyDescent="0.2">
      <c r="C150" s="15"/>
    </row>
    <row r="151" spans="3:3" ht="14.25" customHeight="1" x14ac:dyDescent="0.2">
      <c r="C151" s="15"/>
    </row>
    <row r="152" spans="3:3" ht="14.25" customHeight="1" x14ac:dyDescent="0.2">
      <c r="C152" s="15"/>
    </row>
    <row r="153" spans="3:3" ht="14.25" customHeight="1" x14ac:dyDescent="0.2">
      <c r="C153" s="15"/>
    </row>
    <row r="154" spans="3:3" ht="14.25" customHeight="1" x14ac:dyDescent="0.2">
      <c r="C154" s="15"/>
    </row>
    <row r="155" spans="3:3" ht="14.25" customHeight="1" x14ac:dyDescent="0.2">
      <c r="C155" s="15"/>
    </row>
    <row r="156" spans="3:3" ht="14.25" customHeight="1" x14ac:dyDescent="0.2">
      <c r="C156" s="15"/>
    </row>
    <row r="157" spans="3:3" ht="14.25" customHeight="1" x14ac:dyDescent="0.2">
      <c r="C157" s="15"/>
    </row>
    <row r="158" spans="3:3" ht="14.25" customHeight="1" x14ac:dyDescent="0.2">
      <c r="C158" s="15"/>
    </row>
    <row r="159" spans="3:3" ht="14.25" customHeight="1" x14ac:dyDescent="0.2">
      <c r="C159" s="15"/>
    </row>
    <row r="160" spans="3:3" ht="14.25" customHeight="1" x14ac:dyDescent="0.2">
      <c r="C160" s="15"/>
    </row>
    <row r="161" spans="3:3" ht="14.25" customHeight="1" x14ac:dyDescent="0.2">
      <c r="C161" s="15"/>
    </row>
    <row r="162" spans="3:3" ht="14.25" customHeight="1" x14ac:dyDescent="0.2">
      <c r="C162" s="15"/>
    </row>
    <row r="163" spans="3:3" ht="14.25" customHeight="1" x14ac:dyDescent="0.2">
      <c r="C163" s="15"/>
    </row>
    <row r="164" spans="3:3" ht="14.25" customHeight="1" x14ac:dyDescent="0.2">
      <c r="C164" s="15"/>
    </row>
    <row r="165" spans="3:3" ht="14.25" customHeight="1" x14ac:dyDescent="0.2">
      <c r="C165" s="15"/>
    </row>
    <row r="166" spans="3:3" ht="14.25" customHeight="1" x14ac:dyDescent="0.2">
      <c r="C166" s="15"/>
    </row>
    <row r="167" spans="3:3" ht="14.25" customHeight="1" x14ac:dyDescent="0.2">
      <c r="C167" s="15"/>
    </row>
    <row r="168" spans="3:3" ht="14.25" customHeight="1" x14ac:dyDescent="0.2">
      <c r="C168" s="15"/>
    </row>
    <row r="169" spans="3:3" ht="14.25" customHeight="1" x14ac:dyDescent="0.2">
      <c r="C169" s="15"/>
    </row>
    <row r="170" spans="3:3" ht="14.25" customHeight="1" x14ac:dyDescent="0.2">
      <c r="C170" s="15"/>
    </row>
    <row r="171" spans="3:3" ht="14.25" customHeight="1" x14ac:dyDescent="0.2">
      <c r="C171" s="15"/>
    </row>
    <row r="172" spans="3:3" ht="14.25" customHeight="1" x14ac:dyDescent="0.2">
      <c r="C172" s="15"/>
    </row>
    <row r="173" spans="3:3" ht="14.25" customHeight="1" x14ac:dyDescent="0.2">
      <c r="C173" s="15"/>
    </row>
    <row r="174" spans="3:3" ht="14.25" customHeight="1" x14ac:dyDescent="0.2">
      <c r="C174" s="15"/>
    </row>
    <row r="175" spans="3:3" ht="14.25" customHeight="1" x14ac:dyDescent="0.2">
      <c r="C175" s="15"/>
    </row>
    <row r="176" spans="3:3" ht="14.25" customHeight="1" x14ac:dyDescent="0.2">
      <c r="C176" s="15"/>
    </row>
    <row r="177" spans="3:3" ht="14.25" customHeight="1" x14ac:dyDescent="0.2">
      <c r="C177" s="15"/>
    </row>
    <row r="178" spans="3:3" ht="14.25" customHeight="1" x14ac:dyDescent="0.2">
      <c r="C178" s="15"/>
    </row>
    <row r="179" spans="3:3" ht="14.25" customHeight="1" x14ac:dyDescent="0.2">
      <c r="C179" s="15"/>
    </row>
    <row r="180" spans="3:3" ht="14.25" customHeight="1" x14ac:dyDescent="0.2">
      <c r="C180" s="15"/>
    </row>
    <row r="181" spans="3:3" ht="14.25" customHeight="1" x14ac:dyDescent="0.2">
      <c r="C181" s="15"/>
    </row>
    <row r="182" spans="3:3" ht="14.25" customHeight="1" x14ac:dyDescent="0.2">
      <c r="C182" s="15"/>
    </row>
    <row r="183" spans="3:3" ht="14.25" customHeight="1" x14ac:dyDescent="0.2">
      <c r="C183" s="15"/>
    </row>
    <row r="184" spans="3:3" ht="14.25" customHeight="1" x14ac:dyDescent="0.2">
      <c r="C184" s="15"/>
    </row>
    <row r="185" spans="3:3" ht="14.25" customHeight="1" x14ac:dyDescent="0.2">
      <c r="C185" s="15"/>
    </row>
    <row r="186" spans="3:3" ht="14.25" customHeight="1" x14ac:dyDescent="0.2">
      <c r="C186" s="15"/>
    </row>
    <row r="187" spans="3:3" ht="14.25" customHeight="1" x14ac:dyDescent="0.2">
      <c r="C187" s="15"/>
    </row>
    <row r="188" spans="3:3" ht="14.25" customHeight="1" x14ac:dyDescent="0.2">
      <c r="C188" s="15"/>
    </row>
    <row r="189" spans="3:3" ht="14.25" customHeight="1" x14ac:dyDescent="0.2">
      <c r="C189" s="15"/>
    </row>
    <row r="190" spans="3:3" ht="14.25" customHeight="1" x14ac:dyDescent="0.2">
      <c r="C190" s="15"/>
    </row>
    <row r="191" spans="3:3" ht="14.25" customHeight="1" x14ac:dyDescent="0.2">
      <c r="C191" s="15"/>
    </row>
    <row r="192" spans="3:3" ht="14.25" customHeight="1" x14ac:dyDescent="0.2">
      <c r="C192" s="15"/>
    </row>
    <row r="193" spans="3:3" ht="14.25" customHeight="1" x14ac:dyDescent="0.2">
      <c r="C193" s="15"/>
    </row>
    <row r="194" spans="3:3" ht="14.25" customHeight="1" x14ac:dyDescent="0.2">
      <c r="C194" s="15"/>
    </row>
    <row r="195" spans="3:3" ht="14.25" customHeight="1" x14ac:dyDescent="0.2">
      <c r="C195" s="15"/>
    </row>
    <row r="196" spans="3:3" ht="14.25" customHeight="1" x14ac:dyDescent="0.2">
      <c r="C196" s="15"/>
    </row>
    <row r="197" spans="3:3" ht="14.25" customHeight="1" x14ac:dyDescent="0.2">
      <c r="C197" s="15"/>
    </row>
    <row r="198" spans="3:3" ht="14.25" customHeight="1" x14ac:dyDescent="0.2">
      <c r="C198" s="15"/>
    </row>
    <row r="199" spans="3:3" ht="14.25" customHeight="1" x14ac:dyDescent="0.2">
      <c r="C199" s="15"/>
    </row>
    <row r="200" spans="3:3" ht="14.25" customHeight="1" x14ac:dyDescent="0.2">
      <c r="C200" s="15"/>
    </row>
    <row r="201" spans="3:3" ht="14.25" customHeight="1" x14ac:dyDescent="0.2">
      <c r="C201" s="15"/>
    </row>
    <row r="202" spans="3:3" ht="14.25" customHeight="1" x14ac:dyDescent="0.2">
      <c r="C202" s="15"/>
    </row>
    <row r="203" spans="3:3" ht="14.25" customHeight="1" x14ac:dyDescent="0.2">
      <c r="C203" s="15"/>
    </row>
    <row r="204" spans="3:3" ht="14.25" customHeight="1" x14ac:dyDescent="0.2">
      <c r="C204" s="15"/>
    </row>
    <row r="205" spans="3:3" ht="14.25" customHeight="1" x14ac:dyDescent="0.2">
      <c r="C205" s="15"/>
    </row>
    <row r="206" spans="3:3" ht="14.25" customHeight="1" x14ac:dyDescent="0.2">
      <c r="C206" s="15"/>
    </row>
    <row r="207" spans="3:3" ht="14.25" customHeight="1" x14ac:dyDescent="0.2">
      <c r="C207" s="15"/>
    </row>
    <row r="208" spans="3:3" ht="14.25" customHeight="1" x14ac:dyDescent="0.2">
      <c r="C208" s="15"/>
    </row>
    <row r="209" spans="3:3" ht="14.25" customHeight="1" x14ac:dyDescent="0.2">
      <c r="C209" s="15"/>
    </row>
    <row r="210" spans="3:3" ht="14.25" customHeight="1" x14ac:dyDescent="0.2">
      <c r="C210" s="15"/>
    </row>
    <row r="211" spans="3:3" ht="14.25" customHeight="1" x14ac:dyDescent="0.2">
      <c r="C211" s="15"/>
    </row>
    <row r="212" spans="3:3" ht="14.25" customHeight="1" x14ac:dyDescent="0.2">
      <c r="C212" s="15"/>
    </row>
    <row r="213" spans="3:3" ht="14.25" customHeight="1" x14ac:dyDescent="0.2">
      <c r="C213" s="15"/>
    </row>
    <row r="214" spans="3:3" ht="14.25" customHeight="1" x14ac:dyDescent="0.2">
      <c r="C214" s="15"/>
    </row>
    <row r="215" spans="3:3" ht="14.25" customHeight="1" x14ac:dyDescent="0.2">
      <c r="C215" s="15"/>
    </row>
    <row r="216" spans="3:3" ht="14.25" customHeight="1" x14ac:dyDescent="0.2">
      <c r="C216" s="15"/>
    </row>
    <row r="217" spans="3:3" ht="14.25" customHeight="1" x14ac:dyDescent="0.2">
      <c r="C217" s="15"/>
    </row>
    <row r="218" spans="3:3" ht="14.25" customHeight="1" x14ac:dyDescent="0.2">
      <c r="C218" s="15"/>
    </row>
    <row r="219" spans="3:3" ht="14.25" customHeight="1" x14ac:dyDescent="0.2">
      <c r="C219" s="15"/>
    </row>
    <row r="220" spans="3:3" ht="14.25" customHeight="1" x14ac:dyDescent="0.2">
      <c r="C220" s="15"/>
    </row>
    <row r="221" spans="3:3" ht="14.25" customHeight="1" x14ac:dyDescent="0.2">
      <c r="C221" s="15"/>
    </row>
    <row r="222" spans="3:3" ht="14.25" customHeight="1" x14ac:dyDescent="0.2">
      <c r="C222" s="15"/>
    </row>
    <row r="223" spans="3:3" ht="14.25" customHeight="1" x14ac:dyDescent="0.2">
      <c r="C223" s="15"/>
    </row>
    <row r="224" spans="3:3" ht="14.25" customHeight="1" x14ac:dyDescent="0.2">
      <c r="C224" s="15"/>
    </row>
    <row r="225" spans="3:3" ht="14.25" customHeight="1" x14ac:dyDescent="0.2">
      <c r="C225" s="15"/>
    </row>
    <row r="226" spans="3:3" ht="14.25" customHeight="1" x14ac:dyDescent="0.2">
      <c r="C226" s="15"/>
    </row>
    <row r="227" spans="3:3" ht="14.25" customHeight="1" x14ac:dyDescent="0.2">
      <c r="C227" s="15"/>
    </row>
    <row r="228" spans="3:3" ht="14.25" customHeight="1" x14ac:dyDescent="0.2">
      <c r="C228" s="15"/>
    </row>
    <row r="229" spans="3:3" ht="14.25" customHeight="1" x14ac:dyDescent="0.2">
      <c r="C229" s="15"/>
    </row>
    <row r="230" spans="3:3" ht="14.25" customHeight="1" x14ac:dyDescent="0.2">
      <c r="C230" s="15"/>
    </row>
    <row r="231" spans="3:3" ht="14.25" customHeight="1" x14ac:dyDescent="0.2">
      <c r="C231" s="15"/>
    </row>
    <row r="232" spans="3:3" ht="14.25" customHeight="1" x14ac:dyDescent="0.2">
      <c r="C232" s="15"/>
    </row>
    <row r="233" spans="3:3" ht="14.25" customHeight="1" x14ac:dyDescent="0.2">
      <c r="C233" s="15"/>
    </row>
    <row r="234" spans="3:3" ht="14.25" customHeight="1" x14ac:dyDescent="0.2">
      <c r="C234" s="15"/>
    </row>
    <row r="235" spans="3:3" ht="14.25" customHeight="1" x14ac:dyDescent="0.2">
      <c r="C235" s="15"/>
    </row>
    <row r="236" spans="3:3" ht="14.25" customHeight="1" x14ac:dyDescent="0.2">
      <c r="C236" s="15"/>
    </row>
    <row r="237" spans="3:3" ht="14.25" customHeight="1" x14ac:dyDescent="0.2">
      <c r="C237" s="15"/>
    </row>
    <row r="238" spans="3:3" ht="14.25" customHeight="1" x14ac:dyDescent="0.2">
      <c r="C238" s="15"/>
    </row>
    <row r="239" spans="3:3" ht="14.25" customHeight="1" x14ac:dyDescent="0.2">
      <c r="C239" s="15"/>
    </row>
    <row r="240" spans="3:3" ht="14.25" customHeight="1" x14ac:dyDescent="0.2">
      <c r="C240" s="15"/>
    </row>
    <row r="241" spans="3:3" ht="14.25" customHeight="1" x14ac:dyDescent="0.2">
      <c r="C241" s="15"/>
    </row>
    <row r="242" spans="3:3" ht="14.25" customHeight="1" x14ac:dyDescent="0.2">
      <c r="C242" s="15"/>
    </row>
    <row r="243" spans="3:3" ht="14.25" customHeight="1" x14ac:dyDescent="0.2">
      <c r="C243" s="15"/>
    </row>
    <row r="244" spans="3:3" ht="14.25" customHeight="1" x14ac:dyDescent="0.2">
      <c r="C244" s="15"/>
    </row>
    <row r="245" spans="3:3" ht="14.25" customHeight="1" x14ac:dyDescent="0.2">
      <c r="C245" s="15"/>
    </row>
    <row r="246" spans="3:3" ht="14.25" customHeight="1" x14ac:dyDescent="0.2">
      <c r="C246" s="15"/>
    </row>
    <row r="247" spans="3:3" ht="14.25" customHeight="1" x14ac:dyDescent="0.2">
      <c r="C247" s="15"/>
    </row>
    <row r="248" spans="3:3" ht="14.25" customHeight="1" x14ac:dyDescent="0.2">
      <c r="C248" s="15"/>
    </row>
    <row r="249" spans="3:3" ht="14.25" customHeight="1" x14ac:dyDescent="0.2">
      <c r="C249" s="15"/>
    </row>
    <row r="250" spans="3:3" ht="14.25" customHeight="1" x14ac:dyDescent="0.2">
      <c r="C250" s="15"/>
    </row>
    <row r="251" spans="3:3" ht="14.25" customHeight="1" x14ac:dyDescent="0.2">
      <c r="C251" s="15"/>
    </row>
    <row r="252" spans="3:3" ht="14.25" customHeight="1" x14ac:dyDescent="0.2">
      <c r="C252" s="15"/>
    </row>
    <row r="253" spans="3:3" ht="14.25" customHeight="1" x14ac:dyDescent="0.2">
      <c r="C253" s="15"/>
    </row>
    <row r="254" spans="3:3" ht="14.25" customHeight="1" x14ac:dyDescent="0.2">
      <c r="C254" s="15"/>
    </row>
    <row r="255" spans="3:3" ht="14.25" customHeight="1" x14ac:dyDescent="0.2">
      <c r="C255" s="15"/>
    </row>
    <row r="256" spans="3:3" ht="14.25" customHeight="1" x14ac:dyDescent="0.2">
      <c r="C256" s="15"/>
    </row>
    <row r="257" spans="3:3" ht="14.25" customHeight="1" x14ac:dyDescent="0.2">
      <c r="C257" s="15"/>
    </row>
    <row r="258" spans="3:3" ht="14.25" customHeight="1" x14ac:dyDescent="0.2">
      <c r="C258" s="15"/>
    </row>
    <row r="259" spans="3:3" ht="14.25" customHeight="1" x14ac:dyDescent="0.2">
      <c r="C259" s="15"/>
    </row>
    <row r="260" spans="3:3" ht="14.25" customHeight="1" x14ac:dyDescent="0.2">
      <c r="C260" s="15"/>
    </row>
    <row r="261" spans="3:3" ht="14.25" customHeight="1" x14ac:dyDescent="0.2">
      <c r="C261" s="15"/>
    </row>
    <row r="262" spans="3:3" ht="14.25" customHeight="1" x14ac:dyDescent="0.2">
      <c r="C262" s="15"/>
    </row>
    <row r="263" spans="3:3" ht="14.25" customHeight="1" x14ac:dyDescent="0.2">
      <c r="C263" s="15"/>
    </row>
    <row r="264" spans="3:3" ht="14.25" customHeight="1" x14ac:dyDescent="0.2">
      <c r="C264" s="15"/>
    </row>
    <row r="265" spans="3:3" ht="14.25" customHeight="1" x14ac:dyDescent="0.2">
      <c r="C265" s="15"/>
    </row>
    <row r="266" spans="3:3" ht="14.25" customHeight="1" x14ac:dyDescent="0.2">
      <c r="C266" s="15"/>
    </row>
    <row r="267" spans="3:3" ht="14.25" customHeight="1" x14ac:dyDescent="0.2">
      <c r="C267" s="15"/>
    </row>
    <row r="268" spans="3:3" ht="14.25" customHeight="1" x14ac:dyDescent="0.2">
      <c r="C268" s="15"/>
    </row>
    <row r="269" spans="3:3" ht="14.25" customHeight="1" x14ac:dyDescent="0.2">
      <c r="C269" s="15"/>
    </row>
    <row r="270" spans="3:3" ht="14.25" customHeight="1" x14ac:dyDescent="0.2">
      <c r="C270" s="15"/>
    </row>
    <row r="271" spans="3:3" ht="14.25" customHeight="1" x14ac:dyDescent="0.2">
      <c r="C271" s="15"/>
    </row>
    <row r="272" spans="3:3" ht="14.25" customHeight="1" x14ac:dyDescent="0.2">
      <c r="C272" s="15"/>
    </row>
    <row r="273" spans="3:3" ht="14.25" customHeight="1" x14ac:dyDescent="0.2">
      <c r="C273" s="15"/>
    </row>
    <row r="274" spans="3:3" ht="14.25" customHeight="1" x14ac:dyDescent="0.2">
      <c r="C274" s="15"/>
    </row>
    <row r="275" spans="3:3" ht="14.25" customHeight="1" x14ac:dyDescent="0.2">
      <c r="C275" s="15"/>
    </row>
    <row r="276" spans="3:3" ht="14.25" customHeight="1" x14ac:dyDescent="0.2">
      <c r="C276" s="15"/>
    </row>
    <row r="277" spans="3:3" ht="14.25" customHeight="1" x14ac:dyDescent="0.2">
      <c r="C277" s="15"/>
    </row>
    <row r="278" spans="3:3" ht="14.25" customHeight="1" x14ac:dyDescent="0.2">
      <c r="C278" s="15"/>
    </row>
    <row r="279" spans="3:3" ht="14.25" customHeight="1" x14ac:dyDescent="0.2">
      <c r="C279" s="15"/>
    </row>
    <row r="280" spans="3:3" ht="14.25" customHeight="1" x14ac:dyDescent="0.2">
      <c r="C280" s="15"/>
    </row>
    <row r="281" spans="3:3" ht="14.25" customHeight="1" x14ac:dyDescent="0.2">
      <c r="C281" s="15"/>
    </row>
    <row r="282" spans="3:3" ht="14.25" customHeight="1" x14ac:dyDescent="0.2">
      <c r="C282" s="15"/>
    </row>
    <row r="283" spans="3:3" ht="14.25" customHeight="1" x14ac:dyDescent="0.2">
      <c r="C283" s="15"/>
    </row>
    <row r="284" spans="3:3" ht="14.25" customHeight="1" x14ac:dyDescent="0.2">
      <c r="C284" s="15"/>
    </row>
    <row r="285" spans="3:3" ht="14.25" customHeight="1" x14ac:dyDescent="0.2">
      <c r="C285" s="15"/>
    </row>
    <row r="286" spans="3:3" ht="14.25" customHeight="1" x14ac:dyDescent="0.2">
      <c r="C286" s="15"/>
    </row>
    <row r="287" spans="3:3" ht="14.25" customHeight="1" x14ac:dyDescent="0.2">
      <c r="C287" s="15"/>
    </row>
    <row r="288" spans="3:3" ht="14.25" customHeight="1" x14ac:dyDescent="0.2">
      <c r="C288" s="15"/>
    </row>
    <row r="289" spans="3:3" ht="14.25" customHeight="1" x14ac:dyDescent="0.2">
      <c r="C289" s="15"/>
    </row>
    <row r="290" spans="3:3" ht="14.25" customHeight="1" x14ac:dyDescent="0.2">
      <c r="C290" s="15"/>
    </row>
    <row r="291" spans="3:3" ht="14.25" customHeight="1" x14ac:dyDescent="0.2">
      <c r="C291" s="15"/>
    </row>
    <row r="292" spans="3:3" ht="14.25" customHeight="1" x14ac:dyDescent="0.2">
      <c r="C292" s="15"/>
    </row>
    <row r="293" spans="3:3" ht="14.25" customHeight="1" x14ac:dyDescent="0.2">
      <c r="C293" s="15"/>
    </row>
    <row r="294" spans="3:3" ht="14.25" customHeight="1" x14ac:dyDescent="0.2">
      <c r="C294" s="15"/>
    </row>
    <row r="295" spans="3:3" ht="14.25" customHeight="1" x14ac:dyDescent="0.2">
      <c r="C295" s="15"/>
    </row>
    <row r="296" spans="3:3" ht="14.25" customHeight="1" x14ac:dyDescent="0.2">
      <c r="C296" s="15"/>
    </row>
    <row r="297" spans="3:3" ht="14.25" customHeight="1" x14ac:dyDescent="0.2">
      <c r="C297" s="15"/>
    </row>
    <row r="298" spans="3:3" ht="14.25" customHeight="1" x14ac:dyDescent="0.2">
      <c r="C298" s="15"/>
    </row>
    <row r="299" spans="3:3" ht="14.25" customHeight="1" x14ac:dyDescent="0.2">
      <c r="C299" s="15"/>
    </row>
    <row r="300" spans="3:3" ht="14.25" customHeight="1" x14ac:dyDescent="0.2">
      <c r="C300" s="15"/>
    </row>
    <row r="301" spans="3:3" ht="14.25" customHeight="1" x14ac:dyDescent="0.2">
      <c r="C301" s="15"/>
    </row>
    <row r="302" spans="3:3" ht="14.25" customHeight="1" x14ac:dyDescent="0.2">
      <c r="C302" s="15"/>
    </row>
    <row r="303" spans="3:3" ht="14.25" customHeight="1" x14ac:dyDescent="0.2">
      <c r="C303" s="15"/>
    </row>
    <row r="304" spans="3:3" ht="14.25" customHeight="1" x14ac:dyDescent="0.2">
      <c r="C304" s="15"/>
    </row>
    <row r="305" spans="3:3" ht="14.25" customHeight="1" x14ac:dyDescent="0.2">
      <c r="C305" s="15"/>
    </row>
    <row r="306" spans="3:3" ht="14.25" customHeight="1" x14ac:dyDescent="0.2">
      <c r="C306" s="15"/>
    </row>
    <row r="307" spans="3:3" ht="14.25" customHeight="1" x14ac:dyDescent="0.2">
      <c r="C307" s="15"/>
    </row>
    <row r="308" spans="3:3" ht="14.25" customHeight="1" x14ac:dyDescent="0.2">
      <c r="C308" s="15"/>
    </row>
    <row r="309" spans="3:3" ht="14.25" customHeight="1" x14ac:dyDescent="0.2">
      <c r="C309" s="15"/>
    </row>
    <row r="310" spans="3:3" ht="14.25" customHeight="1" x14ac:dyDescent="0.2">
      <c r="C310" s="15"/>
    </row>
    <row r="311" spans="3:3" ht="14.25" customHeight="1" x14ac:dyDescent="0.2">
      <c r="C311" s="15"/>
    </row>
    <row r="312" spans="3:3" ht="14.25" customHeight="1" x14ac:dyDescent="0.2">
      <c r="C312" s="15"/>
    </row>
    <row r="313" spans="3:3" ht="14.25" customHeight="1" x14ac:dyDescent="0.2">
      <c r="C313" s="15"/>
    </row>
    <row r="314" spans="3:3" ht="14.25" customHeight="1" x14ac:dyDescent="0.2">
      <c r="C314" s="15"/>
    </row>
    <row r="315" spans="3:3" ht="14.25" customHeight="1" x14ac:dyDescent="0.2">
      <c r="C315" s="15"/>
    </row>
    <row r="316" spans="3:3" ht="14.25" customHeight="1" x14ac:dyDescent="0.2">
      <c r="C316" s="15"/>
    </row>
    <row r="317" spans="3:3" ht="14.25" customHeight="1" x14ac:dyDescent="0.2">
      <c r="C317" s="15"/>
    </row>
    <row r="318" spans="3:3" ht="14.25" customHeight="1" x14ac:dyDescent="0.2">
      <c r="C318" s="15"/>
    </row>
    <row r="319" spans="3:3" ht="14.25" customHeight="1" x14ac:dyDescent="0.2">
      <c r="C319" s="15"/>
    </row>
    <row r="320" spans="3:3" ht="14.25" customHeight="1" x14ac:dyDescent="0.2">
      <c r="C320" s="15"/>
    </row>
    <row r="321" spans="3:3" ht="14.25" customHeight="1" x14ac:dyDescent="0.2">
      <c r="C321" s="15"/>
    </row>
    <row r="322" spans="3:3" ht="14.25" customHeight="1" x14ac:dyDescent="0.2">
      <c r="C322" s="15"/>
    </row>
    <row r="323" spans="3:3" ht="14.25" customHeight="1" x14ac:dyDescent="0.2">
      <c r="C323" s="15"/>
    </row>
    <row r="324" spans="3:3" ht="14.25" customHeight="1" x14ac:dyDescent="0.2">
      <c r="C324" s="15"/>
    </row>
    <row r="325" spans="3:3" ht="14.25" customHeight="1" x14ac:dyDescent="0.2">
      <c r="C325" s="15"/>
    </row>
    <row r="326" spans="3:3" ht="14.25" customHeight="1" x14ac:dyDescent="0.2">
      <c r="C326" s="15"/>
    </row>
    <row r="327" spans="3:3" ht="14.25" customHeight="1" x14ac:dyDescent="0.2">
      <c r="C327" s="15"/>
    </row>
    <row r="328" spans="3:3" ht="14.25" customHeight="1" x14ac:dyDescent="0.2">
      <c r="C328" s="15"/>
    </row>
    <row r="329" spans="3:3" ht="14.25" customHeight="1" x14ac:dyDescent="0.2">
      <c r="C329" s="15"/>
    </row>
    <row r="330" spans="3:3" ht="14.25" customHeight="1" x14ac:dyDescent="0.2">
      <c r="C330" s="15"/>
    </row>
    <row r="331" spans="3:3" ht="14.25" customHeight="1" x14ac:dyDescent="0.2">
      <c r="C331" s="15"/>
    </row>
    <row r="332" spans="3:3" ht="14.25" customHeight="1" x14ac:dyDescent="0.2">
      <c r="C332" s="15"/>
    </row>
    <row r="333" spans="3:3" ht="14.25" customHeight="1" x14ac:dyDescent="0.2">
      <c r="C333" s="15"/>
    </row>
    <row r="334" spans="3:3" ht="14.25" customHeight="1" x14ac:dyDescent="0.2">
      <c r="C334" s="15"/>
    </row>
    <row r="335" spans="3:3" ht="14.25" customHeight="1" x14ac:dyDescent="0.2">
      <c r="C335" s="15"/>
    </row>
    <row r="336" spans="3:3" ht="14.25" customHeight="1" x14ac:dyDescent="0.2">
      <c r="C336" s="15"/>
    </row>
    <row r="337" spans="3:3" ht="14.25" customHeight="1" x14ac:dyDescent="0.2">
      <c r="C337" s="15"/>
    </row>
    <row r="338" spans="3:3" ht="14.25" customHeight="1" x14ac:dyDescent="0.2">
      <c r="C338" s="15"/>
    </row>
    <row r="339" spans="3:3" ht="14.25" customHeight="1" x14ac:dyDescent="0.2">
      <c r="C339" s="15"/>
    </row>
    <row r="340" spans="3:3" ht="14.25" customHeight="1" x14ac:dyDescent="0.2">
      <c r="C340" s="15"/>
    </row>
    <row r="341" spans="3:3" ht="14.25" customHeight="1" x14ac:dyDescent="0.2">
      <c r="C341" s="15"/>
    </row>
    <row r="342" spans="3:3" ht="14.25" customHeight="1" x14ac:dyDescent="0.2">
      <c r="C342" s="15"/>
    </row>
    <row r="343" spans="3:3" ht="14.25" customHeight="1" x14ac:dyDescent="0.2">
      <c r="C343" s="15"/>
    </row>
    <row r="344" spans="3:3" ht="14.25" customHeight="1" x14ac:dyDescent="0.2">
      <c r="C344" s="15"/>
    </row>
    <row r="345" spans="3:3" ht="14.25" customHeight="1" x14ac:dyDescent="0.2">
      <c r="C345" s="15"/>
    </row>
    <row r="346" spans="3:3" ht="14.25" customHeight="1" x14ac:dyDescent="0.2">
      <c r="C346" s="15"/>
    </row>
    <row r="347" spans="3:3" ht="14.25" customHeight="1" x14ac:dyDescent="0.2">
      <c r="C347" s="15"/>
    </row>
    <row r="348" spans="3:3" ht="14.25" customHeight="1" x14ac:dyDescent="0.2">
      <c r="C348" s="15"/>
    </row>
    <row r="349" spans="3:3" ht="14.25" customHeight="1" x14ac:dyDescent="0.2">
      <c r="C349" s="15"/>
    </row>
    <row r="350" spans="3:3" ht="14.25" customHeight="1" x14ac:dyDescent="0.2">
      <c r="C350" s="15"/>
    </row>
    <row r="351" spans="3:3" ht="14.25" customHeight="1" x14ac:dyDescent="0.2">
      <c r="C351" s="15"/>
    </row>
    <row r="352" spans="3:3" ht="14.25" customHeight="1" x14ac:dyDescent="0.2">
      <c r="C352" s="15"/>
    </row>
    <row r="353" spans="3:3" ht="14.25" customHeight="1" x14ac:dyDescent="0.2">
      <c r="C353" s="15"/>
    </row>
    <row r="354" spans="3:3" ht="14.25" customHeight="1" x14ac:dyDescent="0.2">
      <c r="C354" s="15"/>
    </row>
    <row r="355" spans="3:3" ht="14.25" customHeight="1" x14ac:dyDescent="0.2">
      <c r="C355" s="15"/>
    </row>
    <row r="356" spans="3:3" ht="14.25" customHeight="1" x14ac:dyDescent="0.2">
      <c r="C356" s="15"/>
    </row>
    <row r="357" spans="3:3" ht="14.25" customHeight="1" x14ac:dyDescent="0.2">
      <c r="C357" s="15"/>
    </row>
    <row r="358" spans="3:3" ht="14.25" customHeight="1" x14ac:dyDescent="0.2">
      <c r="C358" s="15"/>
    </row>
    <row r="359" spans="3:3" ht="14.25" customHeight="1" x14ac:dyDescent="0.2">
      <c r="C359" s="15"/>
    </row>
    <row r="360" spans="3:3" ht="14.25" customHeight="1" x14ac:dyDescent="0.2">
      <c r="C360" s="15"/>
    </row>
    <row r="361" spans="3:3" ht="14.25" customHeight="1" x14ac:dyDescent="0.2">
      <c r="C361" s="15"/>
    </row>
    <row r="362" spans="3:3" ht="14.25" customHeight="1" x14ac:dyDescent="0.2">
      <c r="C362" s="15"/>
    </row>
    <row r="363" spans="3:3" ht="14.25" customHeight="1" x14ac:dyDescent="0.2">
      <c r="C363" s="15"/>
    </row>
    <row r="364" spans="3:3" ht="14.25" customHeight="1" x14ac:dyDescent="0.2">
      <c r="C364" s="15"/>
    </row>
    <row r="365" spans="3:3" ht="14.25" customHeight="1" x14ac:dyDescent="0.2">
      <c r="C365" s="15"/>
    </row>
    <row r="366" spans="3:3" ht="14.25" customHeight="1" x14ac:dyDescent="0.2">
      <c r="C366" s="15"/>
    </row>
    <row r="367" spans="3:3" ht="14.25" customHeight="1" x14ac:dyDescent="0.2">
      <c r="C367" s="15"/>
    </row>
    <row r="368" spans="3:3" ht="14.25" customHeight="1" x14ac:dyDescent="0.2">
      <c r="C368" s="15"/>
    </row>
    <row r="369" spans="3:3" ht="14.25" customHeight="1" x14ac:dyDescent="0.2">
      <c r="C369" s="15"/>
    </row>
    <row r="370" spans="3:3" ht="14.25" customHeight="1" x14ac:dyDescent="0.2">
      <c r="C370" s="15"/>
    </row>
    <row r="371" spans="3:3" ht="14.25" customHeight="1" x14ac:dyDescent="0.2">
      <c r="C371" s="15"/>
    </row>
    <row r="372" spans="3:3" ht="14.25" customHeight="1" x14ac:dyDescent="0.2">
      <c r="C372" s="15"/>
    </row>
    <row r="373" spans="3:3" ht="14.25" customHeight="1" x14ac:dyDescent="0.2">
      <c r="C373" s="15"/>
    </row>
    <row r="374" spans="3:3" ht="14.25" customHeight="1" x14ac:dyDescent="0.2">
      <c r="C374" s="15"/>
    </row>
    <row r="375" spans="3:3" ht="14.25" customHeight="1" x14ac:dyDescent="0.2">
      <c r="C375" s="15"/>
    </row>
    <row r="376" spans="3:3" ht="14.25" customHeight="1" x14ac:dyDescent="0.2">
      <c r="C376" s="15"/>
    </row>
    <row r="377" spans="3:3" ht="14.25" customHeight="1" x14ac:dyDescent="0.2">
      <c r="C377" s="15"/>
    </row>
    <row r="378" spans="3:3" ht="14.25" customHeight="1" x14ac:dyDescent="0.2">
      <c r="C378" s="15"/>
    </row>
    <row r="379" spans="3:3" ht="14.25" customHeight="1" x14ac:dyDescent="0.2">
      <c r="C379" s="15"/>
    </row>
    <row r="380" spans="3:3" ht="14.25" customHeight="1" x14ac:dyDescent="0.2">
      <c r="C380" s="15"/>
    </row>
    <row r="381" spans="3:3" ht="14.25" customHeight="1" x14ac:dyDescent="0.2">
      <c r="C381" s="15"/>
    </row>
    <row r="382" spans="3:3" ht="14.25" customHeight="1" x14ac:dyDescent="0.2">
      <c r="C382" s="15"/>
    </row>
    <row r="383" spans="3:3" ht="14.25" customHeight="1" x14ac:dyDescent="0.2">
      <c r="C383" s="15"/>
    </row>
    <row r="384" spans="3:3" ht="14.25" customHeight="1" x14ac:dyDescent="0.2">
      <c r="C384" s="15"/>
    </row>
    <row r="385" spans="3:3" ht="14.25" customHeight="1" x14ac:dyDescent="0.2">
      <c r="C385" s="15"/>
    </row>
    <row r="386" spans="3:3" ht="14.25" customHeight="1" x14ac:dyDescent="0.2">
      <c r="C386" s="15"/>
    </row>
    <row r="387" spans="3:3" ht="14.25" customHeight="1" x14ac:dyDescent="0.2">
      <c r="C387" s="15"/>
    </row>
    <row r="388" spans="3:3" ht="14.25" customHeight="1" x14ac:dyDescent="0.2">
      <c r="C388" s="15"/>
    </row>
    <row r="389" spans="3:3" ht="14.25" customHeight="1" x14ac:dyDescent="0.2">
      <c r="C389" s="15"/>
    </row>
    <row r="390" spans="3:3" ht="14.25" customHeight="1" x14ac:dyDescent="0.2">
      <c r="C390" s="15"/>
    </row>
    <row r="391" spans="3:3" ht="14.25" customHeight="1" x14ac:dyDescent="0.2">
      <c r="C391" s="15"/>
    </row>
    <row r="392" spans="3:3" ht="14.25" customHeight="1" x14ac:dyDescent="0.2">
      <c r="C392" s="15"/>
    </row>
    <row r="393" spans="3:3" ht="14.25" customHeight="1" x14ac:dyDescent="0.2">
      <c r="C393" s="15"/>
    </row>
    <row r="394" spans="3:3" ht="14.25" customHeight="1" x14ac:dyDescent="0.2">
      <c r="C394" s="15"/>
    </row>
    <row r="395" spans="3:3" ht="14.25" customHeight="1" x14ac:dyDescent="0.2">
      <c r="C395" s="15"/>
    </row>
    <row r="396" spans="3:3" ht="14.25" customHeight="1" x14ac:dyDescent="0.2">
      <c r="C396" s="15"/>
    </row>
    <row r="397" spans="3:3" ht="14.25" customHeight="1" x14ac:dyDescent="0.2">
      <c r="C397" s="15"/>
    </row>
    <row r="398" spans="3:3" ht="14.25" customHeight="1" x14ac:dyDescent="0.2">
      <c r="C398" s="15"/>
    </row>
    <row r="399" spans="3:3" ht="14.25" customHeight="1" x14ac:dyDescent="0.2">
      <c r="C399" s="15"/>
    </row>
    <row r="400" spans="3:3" ht="14.25" customHeight="1" x14ac:dyDescent="0.2">
      <c r="C400" s="15"/>
    </row>
    <row r="401" spans="3:3" ht="14.25" customHeight="1" x14ac:dyDescent="0.2">
      <c r="C401" s="15"/>
    </row>
    <row r="402" spans="3:3" ht="14.25" customHeight="1" x14ac:dyDescent="0.2">
      <c r="C402" s="15"/>
    </row>
    <row r="403" spans="3:3" ht="14.25" customHeight="1" x14ac:dyDescent="0.2">
      <c r="C403" s="15"/>
    </row>
    <row r="404" spans="3:3" ht="14.25" customHeight="1" x14ac:dyDescent="0.2">
      <c r="C404" s="15"/>
    </row>
    <row r="405" spans="3:3" ht="14.25" customHeight="1" x14ac:dyDescent="0.2">
      <c r="C405" s="15"/>
    </row>
    <row r="406" spans="3:3" ht="14.25" customHeight="1" x14ac:dyDescent="0.2">
      <c r="C406" s="15"/>
    </row>
    <row r="407" spans="3:3" ht="14.25" customHeight="1" x14ac:dyDescent="0.2">
      <c r="C407" s="15"/>
    </row>
    <row r="408" spans="3:3" ht="14.25" customHeight="1" x14ac:dyDescent="0.2">
      <c r="C408" s="15"/>
    </row>
    <row r="409" spans="3:3" ht="14.25" customHeight="1" x14ac:dyDescent="0.2">
      <c r="C409" s="15"/>
    </row>
    <row r="410" spans="3:3" ht="14.25" customHeight="1" x14ac:dyDescent="0.2">
      <c r="C410" s="15"/>
    </row>
    <row r="411" spans="3:3" ht="14.25" customHeight="1" x14ac:dyDescent="0.2">
      <c r="C411" s="15"/>
    </row>
    <row r="412" spans="3:3" ht="14.25" customHeight="1" x14ac:dyDescent="0.2">
      <c r="C412" s="15"/>
    </row>
    <row r="413" spans="3:3" ht="14.25" customHeight="1" x14ac:dyDescent="0.2">
      <c r="C413" s="15"/>
    </row>
    <row r="414" spans="3:3" ht="14.25" customHeight="1" x14ac:dyDescent="0.2">
      <c r="C414" s="15"/>
    </row>
    <row r="415" spans="3:3" ht="14.25" customHeight="1" x14ac:dyDescent="0.2">
      <c r="C415" s="15"/>
    </row>
    <row r="416" spans="3:3" ht="14.25" customHeight="1" x14ac:dyDescent="0.2">
      <c r="C416" s="15"/>
    </row>
    <row r="417" spans="3:3" ht="14.25" customHeight="1" x14ac:dyDescent="0.2">
      <c r="C417" s="15"/>
    </row>
    <row r="418" spans="3:3" ht="14.25" customHeight="1" x14ac:dyDescent="0.2">
      <c r="C418" s="15"/>
    </row>
    <row r="419" spans="3:3" ht="14.25" customHeight="1" x14ac:dyDescent="0.2">
      <c r="C419" s="15"/>
    </row>
    <row r="420" spans="3:3" ht="14.25" customHeight="1" x14ac:dyDescent="0.2">
      <c r="C420" s="15"/>
    </row>
    <row r="421" spans="3:3" ht="14.25" customHeight="1" x14ac:dyDescent="0.2">
      <c r="C421" s="15"/>
    </row>
    <row r="422" spans="3:3" ht="14.25" customHeight="1" x14ac:dyDescent="0.2">
      <c r="C422" s="15"/>
    </row>
    <row r="423" spans="3:3" ht="14.25" customHeight="1" x14ac:dyDescent="0.2">
      <c r="C423" s="15"/>
    </row>
    <row r="424" spans="3:3" ht="14.25" customHeight="1" x14ac:dyDescent="0.2">
      <c r="C424" s="15"/>
    </row>
    <row r="425" spans="3:3" ht="14.25" customHeight="1" x14ac:dyDescent="0.2">
      <c r="C425" s="15"/>
    </row>
    <row r="426" spans="3:3" ht="14.25" customHeight="1" x14ac:dyDescent="0.2">
      <c r="C426" s="15"/>
    </row>
    <row r="427" spans="3:3" ht="14.25" customHeight="1" x14ac:dyDescent="0.2">
      <c r="C427" s="15"/>
    </row>
    <row r="428" spans="3:3" ht="14.25" customHeight="1" x14ac:dyDescent="0.2">
      <c r="C428" s="15"/>
    </row>
    <row r="429" spans="3:3" ht="14.25" customHeight="1" x14ac:dyDescent="0.2">
      <c r="C429" s="15"/>
    </row>
    <row r="430" spans="3:3" ht="14.25" customHeight="1" x14ac:dyDescent="0.2">
      <c r="C430" s="15"/>
    </row>
    <row r="431" spans="3:3" ht="14.25" customHeight="1" x14ac:dyDescent="0.2">
      <c r="C431" s="15"/>
    </row>
    <row r="432" spans="3:3" ht="14.25" customHeight="1" x14ac:dyDescent="0.2">
      <c r="C432" s="15"/>
    </row>
    <row r="433" spans="3:3" ht="14.25" customHeight="1" x14ac:dyDescent="0.2">
      <c r="C433" s="15"/>
    </row>
    <row r="434" spans="3:3" ht="14.25" customHeight="1" x14ac:dyDescent="0.2">
      <c r="C434" s="15"/>
    </row>
    <row r="435" spans="3:3" ht="14.25" customHeight="1" x14ac:dyDescent="0.2">
      <c r="C435" s="15"/>
    </row>
    <row r="436" spans="3:3" ht="14.25" customHeight="1" x14ac:dyDescent="0.2">
      <c r="C436" s="15"/>
    </row>
    <row r="437" spans="3:3" ht="14.25" customHeight="1" x14ac:dyDescent="0.2">
      <c r="C437" s="15"/>
    </row>
    <row r="438" spans="3:3" ht="14.25" customHeight="1" x14ac:dyDescent="0.2">
      <c r="C438" s="15"/>
    </row>
    <row r="439" spans="3:3" ht="14.25" customHeight="1" x14ac:dyDescent="0.2">
      <c r="C439" s="15"/>
    </row>
    <row r="440" spans="3:3" ht="14.25" customHeight="1" x14ac:dyDescent="0.2">
      <c r="C440" s="15"/>
    </row>
    <row r="441" spans="3:3" ht="14.25" customHeight="1" x14ac:dyDescent="0.2">
      <c r="C441" s="15"/>
    </row>
    <row r="442" spans="3:3" ht="14.25" customHeight="1" x14ac:dyDescent="0.2">
      <c r="C442" s="15"/>
    </row>
    <row r="443" spans="3:3" ht="14.25" customHeight="1" x14ac:dyDescent="0.2">
      <c r="C443" s="15"/>
    </row>
    <row r="444" spans="3:3" ht="14.25" customHeight="1" x14ac:dyDescent="0.2">
      <c r="C444" s="15"/>
    </row>
    <row r="445" spans="3:3" ht="14.25" customHeight="1" x14ac:dyDescent="0.2">
      <c r="C445" s="15"/>
    </row>
    <row r="446" spans="3:3" ht="14.25" customHeight="1" x14ac:dyDescent="0.2">
      <c r="C446" s="15"/>
    </row>
    <row r="447" spans="3:3" ht="14.25" customHeight="1" x14ac:dyDescent="0.2">
      <c r="C447" s="15"/>
    </row>
    <row r="448" spans="3:3" ht="14.25" customHeight="1" x14ac:dyDescent="0.2">
      <c r="C448" s="15"/>
    </row>
    <row r="449" spans="3:3" ht="14.25" customHeight="1" x14ac:dyDescent="0.2">
      <c r="C449" s="15"/>
    </row>
    <row r="450" spans="3:3" ht="14.25" customHeight="1" x14ac:dyDescent="0.2">
      <c r="C450" s="15"/>
    </row>
    <row r="451" spans="3:3" ht="14.25" customHeight="1" x14ac:dyDescent="0.2">
      <c r="C451" s="15"/>
    </row>
    <row r="452" spans="3:3" ht="14.25" customHeight="1" x14ac:dyDescent="0.2">
      <c r="C452" s="15"/>
    </row>
    <row r="453" spans="3:3" ht="14.25" customHeight="1" x14ac:dyDescent="0.2">
      <c r="C453" s="15"/>
    </row>
    <row r="454" spans="3:3" ht="14.25" customHeight="1" x14ac:dyDescent="0.2">
      <c r="C454" s="15"/>
    </row>
    <row r="455" spans="3:3" ht="14.25" customHeight="1" x14ac:dyDescent="0.2">
      <c r="C455" s="15"/>
    </row>
    <row r="456" spans="3:3" ht="14.25" customHeight="1" x14ac:dyDescent="0.2">
      <c r="C456" s="15"/>
    </row>
    <row r="457" spans="3:3" ht="14.25" customHeight="1" x14ac:dyDescent="0.2">
      <c r="C457" s="15"/>
    </row>
    <row r="458" spans="3:3" ht="14.25" customHeight="1" x14ac:dyDescent="0.2">
      <c r="C458" s="15"/>
    </row>
    <row r="459" spans="3:3" ht="14.25" customHeight="1" x14ac:dyDescent="0.2">
      <c r="C459" s="15"/>
    </row>
    <row r="460" spans="3:3" ht="14.25" customHeight="1" x14ac:dyDescent="0.2">
      <c r="C460" s="15"/>
    </row>
    <row r="461" spans="3:3" ht="14.25" customHeight="1" x14ac:dyDescent="0.2">
      <c r="C461" s="15"/>
    </row>
    <row r="462" spans="3:3" ht="14.25" customHeight="1" x14ac:dyDescent="0.2">
      <c r="C462" s="15"/>
    </row>
    <row r="463" spans="3:3" ht="14.25" customHeight="1" x14ac:dyDescent="0.2">
      <c r="C463" s="15"/>
    </row>
    <row r="464" spans="3:3" ht="14.25" customHeight="1" x14ac:dyDescent="0.2">
      <c r="C464" s="15"/>
    </row>
    <row r="465" spans="3:3" ht="14.25" customHeight="1" x14ac:dyDescent="0.2">
      <c r="C465" s="15"/>
    </row>
    <row r="466" spans="3:3" ht="14.25" customHeight="1" x14ac:dyDescent="0.2">
      <c r="C466" s="15"/>
    </row>
    <row r="467" spans="3:3" ht="14.25" customHeight="1" x14ac:dyDescent="0.2">
      <c r="C467" s="15"/>
    </row>
    <row r="468" spans="3:3" ht="14.25" customHeight="1" x14ac:dyDescent="0.2">
      <c r="C468" s="15"/>
    </row>
    <row r="469" spans="3:3" ht="14.25" customHeight="1" x14ac:dyDescent="0.2">
      <c r="C469" s="15"/>
    </row>
    <row r="470" spans="3:3" ht="14.25" customHeight="1" x14ac:dyDescent="0.2">
      <c r="C470" s="15"/>
    </row>
    <row r="471" spans="3:3" ht="14.25" customHeight="1" x14ac:dyDescent="0.2">
      <c r="C471" s="15"/>
    </row>
    <row r="472" spans="3:3" ht="14.25" customHeight="1" x14ac:dyDescent="0.2">
      <c r="C472" s="15"/>
    </row>
    <row r="473" spans="3:3" ht="14.25" customHeight="1" x14ac:dyDescent="0.2">
      <c r="C473" s="15"/>
    </row>
    <row r="474" spans="3:3" ht="14.25" customHeight="1" x14ac:dyDescent="0.2">
      <c r="C474" s="15"/>
    </row>
    <row r="475" spans="3:3" ht="14.25" customHeight="1" x14ac:dyDescent="0.2">
      <c r="C475" s="15"/>
    </row>
    <row r="476" spans="3:3" ht="14.25" customHeight="1" x14ac:dyDescent="0.2">
      <c r="C476" s="15"/>
    </row>
    <row r="477" spans="3:3" ht="14.25" customHeight="1" x14ac:dyDescent="0.2">
      <c r="C477" s="15"/>
    </row>
    <row r="478" spans="3:3" ht="14.25" customHeight="1" x14ac:dyDescent="0.2">
      <c r="C478" s="15"/>
    </row>
    <row r="479" spans="3:3" ht="14.25" customHeight="1" x14ac:dyDescent="0.2">
      <c r="C479" s="15"/>
    </row>
    <row r="480" spans="3:3" ht="14.25" customHeight="1" x14ac:dyDescent="0.2">
      <c r="C480" s="15"/>
    </row>
    <row r="481" spans="3:3" ht="14.25" customHeight="1" x14ac:dyDescent="0.2">
      <c r="C481" s="15"/>
    </row>
    <row r="482" spans="3:3" ht="14.25" customHeight="1" x14ac:dyDescent="0.2">
      <c r="C482" s="15"/>
    </row>
    <row r="483" spans="3:3" ht="14.25" customHeight="1" x14ac:dyDescent="0.2">
      <c r="C483" s="15"/>
    </row>
    <row r="484" spans="3:3" ht="14.25" customHeight="1" x14ac:dyDescent="0.2">
      <c r="C484" s="15"/>
    </row>
    <row r="485" spans="3:3" ht="14.25" customHeight="1" x14ac:dyDescent="0.2">
      <c r="C485" s="15"/>
    </row>
    <row r="486" spans="3:3" ht="14.25" customHeight="1" x14ac:dyDescent="0.2">
      <c r="C486" s="15"/>
    </row>
    <row r="487" spans="3:3" ht="14.25" customHeight="1" x14ac:dyDescent="0.2">
      <c r="C487" s="15"/>
    </row>
    <row r="488" spans="3:3" ht="14.25" customHeight="1" x14ac:dyDescent="0.2">
      <c r="C488" s="15"/>
    </row>
    <row r="489" spans="3:3" ht="14.25" customHeight="1" x14ac:dyDescent="0.2">
      <c r="C489" s="15"/>
    </row>
    <row r="490" spans="3:3" ht="14.25" customHeight="1" x14ac:dyDescent="0.2">
      <c r="C490" s="15"/>
    </row>
    <row r="491" spans="3:3" ht="14.25" customHeight="1" x14ac:dyDescent="0.2">
      <c r="C491" s="15"/>
    </row>
    <row r="492" spans="3:3" ht="14.25" customHeight="1" x14ac:dyDescent="0.2">
      <c r="C492" s="15"/>
    </row>
    <row r="493" spans="3:3" ht="14.25" customHeight="1" x14ac:dyDescent="0.2">
      <c r="C493" s="15"/>
    </row>
    <row r="494" spans="3:3" ht="14.25" customHeight="1" x14ac:dyDescent="0.2">
      <c r="C494" s="15"/>
    </row>
    <row r="495" spans="3:3" ht="14.25" customHeight="1" x14ac:dyDescent="0.2">
      <c r="C495" s="15"/>
    </row>
    <row r="496" spans="3:3" ht="14.25" customHeight="1" x14ac:dyDescent="0.2">
      <c r="C496" s="15"/>
    </row>
    <row r="497" spans="3:3" ht="14.25" customHeight="1" x14ac:dyDescent="0.2">
      <c r="C497" s="15"/>
    </row>
    <row r="498" spans="3:3" ht="14.25" customHeight="1" x14ac:dyDescent="0.2">
      <c r="C498" s="15"/>
    </row>
    <row r="499" spans="3:3" ht="14.25" customHeight="1" x14ac:dyDescent="0.2">
      <c r="C499" s="15"/>
    </row>
    <row r="500" spans="3:3" ht="14.25" customHeight="1" x14ac:dyDescent="0.2">
      <c r="C500" s="15"/>
    </row>
    <row r="501" spans="3:3" ht="14.25" customHeight="1" x14ac:dyDescent="0.2">
      <c r="C501" s="15"/>
    </row>
    <row r="502" spans="3:3" ht="14.25" customHeight="1" x14ac:dyDescent="0.2">
      <c r="C502" s="15"/>
    </row>
    <row r="503" spans="3:3" ht="14.25" customHeight="1" x14ac:dyDescent="0.2">
      <c r="C503" s="15"/>
    </row>
    <row r="504" spans="3:3" ht="14.25" customHeight="1" x14ac:dyDescent="0.2">
      <c r="C504" s="15"/>
    </row>
    <row r="505" spans="3:3" ht="14.25" customHeight="1" x14ac:dyDescent="0.2">
      <c r="C505" s="15"/>
    </row>
    <row r="506" spans="3:3" ht="14.25" customHeight="1" x14ac:dyDescent="0.2">
      <c r="C506" s="15"/>
    </row>
    <row r="507" spans="3:3" ht="14.25" customHeight="1" x14ac:dyDescent="0.2">
      <c r="C507" s="15"/>
    </row>
    <row r="508" spans="3:3" ht="14.25" customHeight="1" x14ac:dyDescent="0.2">
      <c r="C508" s="15"/>
    </row>
    <row r="509" spans="3:3" ht="14.25" customHeight="1" x14ac:dyDescent="0.2">
      <c r="C509" s="15"/>
    </row>
    <row r="510" spans="3:3" ht="14.25" customHeight="1" x14ac:dyDescent="0.2">
      <c r="C510" s="15"/>
    </row>
    <row r="511" spans="3:3" ht="14.25" customHeight="1" x14ac:dyDescent="0.2">
      <c r="C511" s="15"/>
    </row>
    <row r="512" spans="3:3" ht="14.25" customHeight="1" x14ac:dyDescent="0.2">
      <c r="C512" s="15"/>
    </row>
    <row r="513" spans="3:3" ht="14.25" customHeight="1" x14ac:dyDescent="0.2">
      <c r="C513" s="15"/>
    </row>
    <row r="514" spans="3:3" ht="14.25" customHeight="1" x14ac:dyDescent="0.2">
      <c r="C514" s="15"/>
    </row>
    <row r="515" spans="3:3" ht="14.25" customHeight="1" x14ac:dyDescent="0.2">
      <c r="C515" s="15"/>
    </row>
    <row r="516" spans="3:3" ht="14.25" customHeight="1" x14ac:dyDescent="0.2">
      <c r="C516" s="15"/>
    </row>
    <row r="517" spans="3:3" ht="14.25" customHeight="1" x14ac:dyDescent="0.2">
      <c r="C517" s="15"/>
    </row>
    <row r="518" spans="3:3" ht="14.25" customHeight="1" x14ac:dyDescent="0.2">
      <c r="C518" s="15"/>
    </row>
    <row r="519" spans="3:3" ht="14.25" customHeight="1" x14ac:dyDescent="0.2">
      <c r="C519" s="15"/>
    </row>
    <row r="520" spans="3:3" ht="14.25" customHeight="1" x14ac:dyDescent="0.2">
      <c r="C520" s="15"/>
    </row>
    <row r="521" spans="3:3" ht="14.25" customHeight="1" x14ac:dyDescent="0.2">
      <c r="C521" s="15"/>
    </row>
    <row r="522" spans="3:3" ht="14.25" customHeight="1" x14ac:dyDescent="0.2">
      <c r="C522" s="15"/>
    </row>
    <row r="523" spans="3:3" ht="14.25" customHeight="1" x14ac:dyDescent="0.2">
      <c r="C523" s="15"/>
    </row>
    <row r="524" spans="3:3" ht="14.25" customHeight="1" x14ac:dyDescent="0.2">
      <c r="C524" s="15"/>
    </row>
    <row r="525" spans="3:3" ht="14.25" customHeight="1" x14ac:dyDescent="0.2">
      <c r="C525" s="15"/>
    </row>
    <row r="526" spans="3:3" ht="14.25" customHeight="1" x14ac:dyDescent="0.2">
      <c r="C526" s="15"/>
    </row>
    <row r="527" spans="3:3" ht="14.25" customHeight="1" x14ac:dyDescent="0.2">
      <c r="C527" s="15"/>
    </row>
    <row r="528" spans="3:3" ht="14.25" customHeight="1" x14ac:dyDescent="0.2">
      <c r="C528" s="15"/>
    </row>
    <row r="529" spans="3:3" ht="14.25" customHeight="1" x14ac:dyDescent="0.2">
      <c r="C529" s="15"/>
    </row>
    <row r="530" spans="3:3" ht="14.25" customHeight="1" x14ac:dyDescent="0.2">
      <c r="C530" s="15"/>
    </row>
    <row r="531" spans="3:3" ht="14.25" customHeight="1" x14ac:dyDescent="0.2">
      <c r="C531" s="15"/>
    </row>
    <row r="532" spans="3:3" ht="14.25" customHeight="1" x14ac:dyDescent="0.2">
      <c r="C532" s="15"/>
    </row>
    <row r="533" spans="3:3" ht="14.25" customHeight="1" x14ac:dyDescent="0.2">
      <c r="C533" s="15"/>
    </row>
    <row r="534" spans="3:3" ht="14.25" customHeight="1" x14ac:dyDescent="0.2">
      <c r="C534" s="15"/>
    </row>
    <row r="535" spans="3:3" ht="14.25" customHeight="1" x14ac:dyDescent="0.2">
      <c r="C535" s="15"/>
    </row>
    <row r="536" spans="3:3" ht="14.25" customHeight="1" x14ac:dyDescent="0.2">
      <c r="C536" s="15"/>
    </row>
    <row r="537" spans="3:3" ht="14.25" customHeight="1" x14ac:dyDescent="0.2">
      <c r="C537" s="15"/>
    </row>
    <row r="538" spans="3:3" ht="14.25" customHeight="1" x14ac:dyDescent="0.2">
      <c r="C538" s="15"/>
    </row>
    <row r="539" spans="3:3" ht="14.25" customHeight="1" x14ac:dyDescent="0.2">
      <c r="C539" s="15"/>
    </row>
    <row r="540" spans="3:3" ht="14.25" customHeight="1" x14ac:dyDescent="0.2">
      <c r="C540" s="15"/>
    </row>
    <row r="541" spans="3:3" ht="14.25" customHeight="1" x14ac:dyDescent="0.2">
      <c r="C541" s="15"/>
    </row>
    <row r="542" spans="3:3" ht="14.25" customHeight="1" x14ac:dyDescent="0.2">
      <c r="C542" s="15"/>
    </row>
    <row r="543" spans="3:3" ht="14.25" customHeight="1" x14ac:dyDescent="0.2">
      <c r="C543" s="15"/>
    </row>
    <row r="544" spans="3:3" ht="14.25" customHeight="1" x14ac:dyDescent="0.2">
      <c r="C544" s="15"/>
    </row>
    <row r="545" spans="3:3" ht="14.25" customHeight="1" x14ac:dyDescent="0.2">
      <c r="C545" s="15"/>
    </row>
    <row r="546" spans="3:3" ht="14.25" customHeight="1" x14ac:dyDescent="0.2">
      <c r="C546" s="15"/>
    </row>
    <row r="547" spans="3:3" ht="14.25" customHeight="1" x14ac:dyDescent="0.2">
      <c r="C547" s="15"/>
    </row>
    <row r="548" spans="3:3" ht="14.25" customHeight="1" x14ac:dyDescent="0.2">
      <c r="C548" s="15"/>
    </row>
    <row r="549" spans="3:3" ht="14.25" customHeight="1" x14ac:dyDescent="0.2">
      <c r="C549" s="15"/>
    </row>
    <row r="550" spans="3:3" ht="14.25" customHeight="1" x14ac:dyDescent="0.2">
      <c r="C550" s="15"/>
    </row>
    <row r="551" spans="3:3" ht="14.25" customHeight="1" x14ac:dyDescent="0.2">
      <c r="C551" s="15"/>
    </row>
    <row r="552" spans="3:3" ht="14.25" customHeight="1" x14ac:dyDescent="0.2">
      <c r="C552" s="15"/>
    </row>
    <row r="553" spans="3:3" ht="14.25" customHeight="1" x14ac:dyDescent="0.2">
      <c r="C553" s="15"/>
    </row>
    <row r="554" spans="3:3" ht="14.25" customHeight="1" x14ac:dyDescent="0.2">
      <c r="C554" s="15"/>
    </row>
    <row r="555" spans="3:3" ht="14.25" customHeight="1" x14ac:dyDescent="0.2">
      <c r="C555" s="15"/>
    </row>
    <row r="556" spans="3:3" ht="14.25" customHeight="1" x14ac:dyDescent="0.2">
      <c r="C556" s="15"/>
    </row>
    <row r="557" spans="3:3" ht="14.25" customHeight="1" x14ac:dyDescent="0.2">
      <c r="C557" s="15"/>
    </row>
    <row r="558" spans="3:3" ht="14.25" customHeight="1" x14ac:dyDescent="0.2">
      <c r="C558" s="15"/>
    </row>
    <row r="559" spans="3:3" ht="14.25" customHeight="1" x14ac:dyDescent="0.2">
      <c r="C559" s="15"/>
    </row>
    <row r="560" spans="3:3" ht="14.25" customHeight="1" x14ac:dyDescent="0.2">
      <c r="C560" s="15"/>
    </row>
    <row r="561" spans="3:3" ht="14.25" customHeight="1" x14ac:dyDescent="0.2">
      <c r="C561" s="15"/>
    </row>
    <row r="562" spans="3:3" ht="14.25" customHeight="1" x14ac:dyDescent="0.2">
      <c r="C562" s="15"/>
    </row>
    <row r="563" spans="3:3" ht="14.25" customHeight="1" x14ac:dyDescent="0.2">
      <c r="C563" s="15"/>
    </row>
    <row r="564" spans="3:3" ht="14.25" customHeight="1" x14ac:dyDescent="0.2">
      <c r="C564" s="15"/>
    </row>
    <row r="565" spans="3:3" ht="14.25" customHeight="1" x14ac:dyDescent="0.2">
      <c r="C565" s="15"/>
    </row>
    <row r="566" spans="3:3" ht="14.25" customHeight="1" x14ac:dyDescent="0.2">
      <c r="C566" s="15"/>
    </row>
    <row r="567" spans="3:3" ht="14.25" customHeight="1" x14ac:dyDescent="0.2">
      <c r="C567" s="15"/>
    </row>
    <row r="568" spans="3:3" ht="14.25" customHeight="1" x14ac:dyDescent="0.2">
      <c r="C568" s="15"/>
    </row>
    <row r="569" spans="3:3" ht="14.25" customHeight="1" x14ac:dyDescent="0.2">
      <c r="C569" s="15"/>
    </row>
    <row r="570" spans="3:3" ht="14.25" customHeight="1" x14ac:dyDescent="0.2">
      <c r="C570" s="15"/>
    </row>
    <row r="571" spans="3:3" ht="14.25" customHeight="1" x14ac:dyDescent="0.2">
      <c r="C571" s="15"/>
    </row>
    <row r="572" spans="3:3" ht="14.25" customHeight="1" x14ac:dyDescent="0.2">
      <c r="C572" s="15"/>
    </row>
    <row r="573" spans="3:3" ht="14.25" customHeight="1" x14ac:dyDescent="0.2">
      <c r="C573" s="15"/>
    </row>
    <row r="574" spans="3:3" ht="14.25" customHeight="1" x14ac:dyDescent="0.2">
      <c r="C574" s="15"/>
    </row>
    <row r="575" spans="3:3" ht="14.25" customHeight="1" x14ac:dyDescent="0.2">
      <c r="C575" s="15"/>
    </row>
    <row r="576" spans="3:3" ht="14.25" customHeight="1" x14ac:dyDescent="0.2">
      <c r="C576" s="15"/>
    </row>
    <row r="577" spans="3:3" ht="14.25" customHeight="1" x14ac:dyDescent="0.2">
      <c r="C577" s="15"/>
    </row>
    <row r="578" spans="3:3" ht="14.25" customHeight="1" x14ac:dyDescent="0.2">
      <c r="C578" s="15"/>
    </row>
    <row r="579" spans="3:3" ht="14.25" customHeight="1" x14ac:dyDescent="0.2">
      <c r="C579" s="15"/>
    </row>
    <row r="580" spans="3:3" ht="14.25" customHeight="1" x14ac:dyDescent="0.2">
      <c r="C580" s="15"/>
    </row>
    <row r="581" spans="3:3" ht="14.25" customHeight="1" x14ac:dyDescent="0.2">
      <c r="C581" s="15"/>
    </row>
    <row r="582" spans="3:3" ht="14.25" customHeight="1" x14ac:dyDescent="0.2">
      <c r="C582" s="15"/>
    </row>
    <row r="583" spans="3:3" ht="14.25" customHeight="1" x14ac:dyDescent="0.2">
      <c r="C583" s="15"/>
    </row>
    <row r="584" spans="3:3" ht="14.25" customHeight="1" x14ac:dyDescent="0.2">
      <c r="C584" s="15"/>
    </row>
    <row r="585" spans="3:3" ht="14.25" customHeight="1" x14ac:dyDescent="0.2">
      <c r="C585" s="15"/>
    </row>
    <row r="586" spans="3:3" ht="14.25" customHeight="1" x14ac:dyDescent="0.2">
      <c r="C586" s="15"/>
    </row>
    <row r="587" spans="3:3" ht="14.25" customHeight="1" x14ac:dyDescent="0.2">
      <c r="C587" s="15"/>
    </row>
    <row r="588" spans="3:3" ht="14.25" customHeight="1" x14ac:dyDescent="0.2">
      <c r="C588" s="15"/>
    </row>
    <row r="589" spans="3:3" ht="14.25" customHeight="1" x14ac:dyDescent="0.2">
      <c r="C589" s="15"/>
    </row>
    <row r="590" spans="3:3" ht="14.25" customHeight="1" x14ac:dyDescent="0.2">
      <c r="C590" s="15"/>
    </row>
    <row r="591" spans="3:3" ht="14.25" customHeight="1" x14ac:dyDescent="0.2">
      <c r="C591" s="15"/>
    </row>
    <row r="592" spans="3:3" ht="14.25" customHeight="1" x14ac:dyDescent="0.2">
      <c r="C592" s="15"/>
    </row>
    <row r="593" spans="3:3" ht="14.25" customHeight="1" x14ac:dyDescent="0.2">
      <c r="C593" s="15"/>
    </row>
    <row r="594" spans="3:3" ht="14.25" customHeight="1" x14ac:dyDescent="0.2">
      <c r="C594" s="15"/>
    </row>
    <row r="595" spans="3:3" ht="14.25" customHeight="1" x14ac:dyDescent="0.2">
      <c r="C595" s="15"/>
    </row>
    <row r="596" spans="3:3" ht="14.25" customHeight="1" x14ac:dyDescent="0.2">
      <c r="C596" s="15"/>
    </row>
    <row r="597" spans="3:3" ht="14.25" customHeight="1" x14ac:dyDescent="0.2">
      <c r="C597" s="15"/>
    </row>
    <row r="598" spans="3:3" ht="14.25" customHeight="1" x14ac:dyDescent="0.2">
      <c r="C598" s="15"/>
    </row>
    <row r="599" spans="3:3" ht="14.25" customHeight="1" x14ac:dyDescent="0.2">
      <c r="C599" s="15"/>
    </row>
    <row r="600" spans="3:3" ht="14.25" customHeight="1" x14ac:dyDescent="0.2">
      <c r="C600" s="15"/>
    </row>
    <row r="601" spans="3:3" ht="14.25" customHeight="1" x14ac:dyDescent="0.2">
      <c r="C601" s="15"/>
    </row>
    <row r="602" spans="3:3" ht="14.25" customHeight="1" x14ac:dyDescent="0.2">
      <c r="C602" s="15"/>
    </row>
    <row r="603" spans="3:3" ht="14.25" customHeight="1" x14ac:dyDescent="0.2">
      <c r="C603" s="15"/>
    </row>
    <row r="604" spans="3:3" ht="14.25" customHeight="1" x14ac:dyDescent="0.2">
      <c r="C604" s="15"/>
    </row>
    <row r="605" spans="3:3" ht="14.25" customHeight="1" x14ac:dyDescent="0.2">
      <c r="C605" s="15"/>
    </row>
    <row r="606" spans="3:3" ht="14.25" customHeight="1" x14ac:dyDescent="0.2">
      <c r="C606" s="15"/>
    </row>
    <row r="607" spans="3:3" ht="14.25" customHeight="1" x14ac:dyDescent="0.2">
      <c r="C607" s="15"/>
    </row>
    <row r="608" spans="3:3" ht="14.25" customHeight="1" x14ac:dyDescent="0.2">
      <c r="C608" s="15"/>
    </row>
    <row r="609" spans="3:3" ht="14.25" customHeight="1" x14ac:dyDescent="0.2">
      <c r="C609" s="15"/>
    </row>
    <row r="610" spans="3:3" ht="14.25" customHeight="1" x14ac:dyDescent="0.2">
      <c r="C610" s="15"/>
    </row>
    <row r="611" spans="3:3" ht="14.25" customHeight="1" x14ac:dyDescent="0.2">
      <c r="C611" s="15"/>
    </row>
    <row r="612" spans="3:3" ht="14.25" customHeight="1" x14ac:dyDescent="0.2">
      <c r="C612" s="15"/>
    </row>
    <row r="613" spans="3:3" ht="14.25" customHeight="1" x14ac:dyDescent="0.2">
      <c r="C613" s="15"/>
    </row>
    <row r="614" spans="3:3" ht="14.25" customHeight="1" x14ac:dyDescent="0.2">
      <c r="C614" s="15"/>
    </row>
    <row r="615" spans="3:3" ht="14.25" customHeight="1" x14ac:dyDescent="0.2">
      <c r="C615" s="15"/>
    </row>
    <row r="616" spans="3:3" ht="14.25" customHeight="1" x14ac:dyDescent="0.2">
      <c r="C616" s="15"/>
    </row>
    <row r="617" spans="3:3" ht="14.25" customHeight="1" x14ac:dyDescent="0.2">
      <c r="C617" s="15"/>
    </row>
    <row r="618" spans="3:3" ht="14.25" customHeight="1" x14ac:dyDescent="0.2">
      <c r="C618" s="15"/>
    </row>
    <row r="619" spans="3:3" ht="14.25" customHeight="1" x14ac:dyDescent="0.2">
      <c r="C619" s="15"/>
    </row>
    <row r="620" spans="3:3" ht="14.25" customHeight="1" x14ac:dyDescent="0.2">
      <c r="C620" s="15"/>
    </row>
    <row r="621" spans="3:3" ht="14.25" customHeight="1" x14ac:dyDescent="0.2">
      <c r="C621" s="15"/>
    </row>
    <row r="622" spans="3:3" ht="14.25" customHeight="1" x14ac:dyDescent="0.2">
      <c r="C622" s="15"/>
    </row>
    <row r="623" spans="3:3" ht="14.25" customHeight="1" x14ac:dyDescent="0.2">
      <c r="C623" s="15"/>
    </row>
    <row r="624" spans="3:3" ht="14.25" customHeight="1" x14ac:dyDescent="0.2">
      <c r="C624" s="15"/>
    </row>
    <row r="625" spans="3:3" ht="14.25" customHeight="1" x14ac:dyDescent="0.2">
      <c r="C625" s="15"/>
    </row>
    <row r="626" spans="3:3" ht="14.25" customHeight="1" x14ac:dyDescent="0.2">
      <c r="C626" s="15"/>
    </row>
    <row r="627" spans="3:3" ht="14.25" customHeight="1" x14ac:dyDescent="0.2">
      <c r="C627" s="15"/>
    </row>
    <row r="628" spans="3:3" ht="14.25" customHeight="1" x14ac:dyDescent="0.2">
      <c r="C628" s="15"/>
    </row>
    <row r="629" spans="3:3" ht="14.25" customHeight="1" x14ac:dyDescent="0.2">
      <c r="C629" s="15"/>
    </row>
    <row r="630" spans="3:3" ht="14.25" customHeight="1" x14ac:dyDescent="0.2">
      <c r="C630" s="15"/>
    </row>
    <row r="631" spans="3:3" ht="14.25" customHeight="1" x14ac:dyDescent="0.2">
      <c r="C631" s="15"/>
    </row>
    <row r="632" spans="3:3" ht="14.25" customHeight="1" x14ac:dyDescent="0.2">
      <c r="C632" s="15"/>
    </row>
    <row r="633" spans="3:3" ht="14.25" customHeight="1" x14ac:dyDescent="0.2">
      <c r="C633" s="15"/>
    </row>
    <row r="634" spans="3:3" ht="14.25" customHeight="1" x14ac:dyDescent="0.2">
      <c r="C634" s="15"/>
    </row>
    <row r="635" spans="3:3" ht="14.25" customHeight="1" x14ac:dyDescent="0.2">
      <c r="C635" s="15"/>
    </row>
    <row r="636" spans="3:3" ht="14.25" customHeight="1" x14ac:dyDescent="0.2">
      <c r="C636" s="15"/>
    </row>
    <row r="637" spans="3:3" ht="14.25" customHeight="1" x14ac:dyDescent="0.2">
      <c r="C637" s="15"/>
    </row>
    <row r="638" spans="3:3" ht="14.25" customHeight="1" x14ac:dyDescent="0.2">
      <c r="C638" s="15"/>
    </row>
    <row r="639" spans="3:3" ht="14.25" customHeight="1" x14ac:dyDescent="0.2">
      <c r="C639" s="15"/>
    </row>
    <row r="640" spans="3:3" ht="14.25" customHeight="1" x14ac:dyDescent="0.2">
      <c r="C640" s="15"/>
    </row>
    <row r="641" spans="3:3" ht="14.25" customHeight="1" x14ac:dyDescent="0.2">
      <c r="C641" s="15"/>
    </row>
    <row r="642" spans="3:3" ht="14.25" customHeight="1" x14ac:dyDescent="0.2">
      <c r="C642" s="15"/>
    </row>
    <row r="643" spans="3:3" ht="14.25" customHeight="1" x14ac:dyDescent="0.2">
      <c r="C643" s="15"/>
    </row>
    <row r="644" spans="3:3" ht="14.25" customHeight="1" x14ac:dyDescent="0.2">
      <c r="C644" s="15"/>
    </row>
    <row r="645" spans="3:3" ht="14.25" customHeight="1" x14ac:dyDescent="0.2">
      <c r="C645" s="15"/>
    </row>
    <row r="646" spans="3:3" ht="14.25" customHeight="1" x14ac:dyDescent="0.2">
      <c r="C646" s="15"/>
    </row>
    <row r="647" spans="3:3" ht="14.25" customHeight="1" x14ac:dyDescent="0.2">
      <c r="C647" s="15"/>
    </row>
    <row r="648" spans="3:3" ht="14.25" customHeight="1" x14ac:dyDescent="0.2">
      <c r="C648" s="15"/>
    </row>
    <row r="649" spans="3:3" ht="14.25" customHeight="1" x14ac:dyDescent="0.2">
      <c r="C649" s="15"/>
    </row>
    <row r="650" spans="3:3" ht="14.25" customHeight="1" x14ac:dyDescent="0.2">
      <c r="C650" s="15"/>
    </row>
    <row r="651" spans="3:3" ht="14.25" customHeight="1" x14ac:dyDescent="0.2">
      <c r="C651" s="15"/>
    </row>
    <row r="652" spans="3:3" ht="14.25" customHeight="1" x14ac:dyDescent="0.2">
      <c r="C652" s="15"/>
    </row>
    <row r="653" spans="3:3" ht="14.25" customHeight="1" x14ac:dyDescent="0.2">
      <c r="C653" s="15"/>
    </row>
    <row r="654" spans="3:3" ht="14.25" customHeight="1" x14ac:dyDescent="0.2">
      <c r="C654" s="15"/>
    </row>
    <row r="655" spans="3:3" ht="14.25" customHeight="1" x14ac:dyDescent="0.2">
      <c r="C655" s="15"/>
    </row>
    <row r="656" spans="3:3" ht="14.25" customHeight="1" x14ac:dyDescent="0.2">
      <c r="C656" s="15"/>
    </row>
    <row r="657" spans="3:3" ht="14.25" customHeight="1" x14ac:dyDescent="0.2">
      <c r="C657" s="15"/>
    </row>
    <row r="658" spans="3:3" ht="14.25" customHeight="1" x14ac:dyDescent="0.2">
      <c r="C658" s="15"/>
    </row>
    <row r="659" spans="3:3" ht="14.25" customHeight="1" x14ac:dyDescent="0.2">
      <c r="C659" s="15"/>
    </row>
    <row r="660" spans="3:3" ht="14.25" customHeight="1" x14ac:dyDescent="0.2">
      <c r="C660" s="15"/>
    </row>
    <row r="661" spans="3:3" ht="14.25" customHeight="1" x14ac:dyDescent="0.2">
      <c r="C661" s="15"/>
    </row>
    <row r="662" spans="3:3" ht="14.25" customHeight="1" x14ac:dyDescent="0.2">
      <c r="C662" s="15"/>
    </row>
    <row r="663" spans="3:3" ht="14.25" customHeight="1" x14ac:dyDescent="0.2">
      <c r="C663" s="15"/>
    </row>
    <row r="664" spans="3:3" ht="14.25" customHeight="1" x14ac:dyDescent="0.2">
      <c r="C664" s="15"/>
    </row>
    <row r="665" spans="3:3" ht="14.25" customHeight="1" x14ac:dyDescent="0.2">
      <c r="C665" s="15"/>
    </row>
    <row r="666" spans="3:3" ht="14.25" customHeight="1" x14ac:dyDescent="0.2">
      <c r="C666" s="15"/>
    </row>
    <row r="667" spans="3:3" ht="14.25" customHeight="1" x14ac:dyDescent="0.2">
      <c r="C667" s="15"/>
    </row>
    <row r="668" spans="3:3" ht="14.25" customHeight="1" x14ac:dyDescent="0.2">
      <c r="C668" s="15"/>
    </row>
    <row r="669" spans="3:3" ht="14.25" customHeight="1" x14ac:dyDescent="0.2">
      <c r="C669" s="15"/>
    </row>
    <row r="670" spans="3:3" ht="14.25" customHeight="1" x14ac:dyDescent="0.2">
      <c r="C670" s="15"/>
    </row>
    <row r="671" spans="3:3" ht="14.25" customHeight="1" x14ac:dyDescent="0.2">
      <c r="C671" s="15"/>
    </row>
    <row r="672" spans="3:3" ht="14.25" customHeight="1" x14ac:dyDescent="0.2">
      <c r="C672" s="15"/>
    </row>
    <row r="673" spans="3:3" ht="14.25" customHeight="1" x14ac:dyDescent="0.2">
      <c r="C673" s="15"/>
    </row>
    <row r="674" spans="3:3" ht="14.25" customHeight="1" x14ac:dyDescent="0.2">
      <c r="C674" s="15"/>
    </row>
    <row r="675" spans="3:3" ht="14.25" customHeight="1" x14ac:dyDescent="0.2">
      <c r="C675" s="15"/>
    </row>
    <row r="676" spans="3:3" ht="14.25" customHeight="1" x14ac:dyDescent="0.2">
      <c r="C676" s="15"/>
    </row>
    <row r="677" spans="3:3" ht="14.25" customHeight="1" x14ac:dyDescent="0.2">
      <c r="C677" s="15"/>
    </row>
    <row r="678" spans="3:3" ht="14.25" customHeight="1" x14ac:dyDescent="0.2">
      <c r="C678" s="15"/>
    </row>
    <row r="679" spans="3:3" ht="14.25" customHeight="1" x14ac:dyDescent="0.2">
      <c r="C679" s="15"/>
    </row>
    <row r="680" spans="3:3" ht="14.25" customHeight="1" x14ac:dyDescent="0.2">
      <c r="C680" s="15"/>
    </row>
    <row r="681" spans="3:3" ht="14.25" customHeight="1" x14ac:dyDescent="0.2">
      <c r="C681" s="15"/>
    </row>
    <row r="682" spans="3:3" ht="14.25" customHeight="1" x14ac:dyDescent="0.2">
      <c r="C682" s="15"/>
    </row>
    <row r="683" spans="3:3" ht="14.25" customHeight="1" x14ac:dyDescent="0.2">
      <c r="C683" s="15"/>
    </row>
    <row r="684" spans="3:3" ht="14.25" customHeight="1" x14ac:dyDescent="0.2">
      <c r="C684" s="15"/>
    </row>
    <row r="685" spans="3:3" ht="14.25" customHeight="1" x14ac:dyDescent="0.2">
      <c r="C685" s="15"/>
    </row>
    <row r="686" spans="3:3" ht="14.25" customHeight="1" x14ac:dyDescent="0.2">
      <c r="C686" s="15"/>
    </row>
    <row r="687" spans="3:3" ht="14.25" customHeight="1" x14ac:dyDescent="0.2">
      <c r="C687" s="15"/>
    </row>
    <row r="688" spans="3:3" ht="14.25" customHeight="1" x14ac:dyDescent="0.2">
      <c r="C688" s="15"/>
    </row>
    <row r="689" spans="3:3" ht="14.25" customHeight="1" x14ac:dyDescent="0.2">
      <c r="C689" s="15"/>
    </row>
    <row r="690" spans="3:3" ht="14.25" customHeight="1" x14ac:dyDescent="0.2">
      <c r="C690" s="15"/>
    </row>
    <row r="691" spans="3:3" ht="14.25" customHeight="1" x14ac:dyDescent="0.2">
      <c r="C691" s="15"/>
    </row>
    <row r="692" spans="3:3" ht="14.25" customHeight="1" x14ac:dyDescent="0.2">
      <c r="C692" s="15"/>
    </row>
    <row r="693" spans="3:3" ht="14.25" customHeight="1" x14ac:dyDescent="0.2">
      <c r="C693" s="15"/>
    </row>
    <row r="694" spans="3:3" ht="14.25" customHeight="1" x14ac:dyDescent="0.2">
      <c r="C694" s="15"/>
    </row>
    <row r="695" spans="3:3" ht="14.25" customHeight="1" x14ac:dyDescent="0.2">
      <c r="C695" s="15"/>
    </row>
    <row r="696" spans="3:3" ht="14.25" customHeight="1" x14ac:dyDescent="0.2">
      <c r="C696" s="15"/>
    </row>
    <row r="697" spans="3:3" ht="14.25" customHeight="1" x14ac:dyDescent="0.2">
      <c r="C697" s="15"/>
    </row>
    <row r="698" spans="3:3" ht="14.25" customHeight="1" x14ac:dyDescent="0.2">
      <c r="C698" s="15"/>
    </row>
    <row r="699" spans="3:3" ht="14.25" customHeight="1" x14ac:dyDescent="0.2">
      <c r="C699" s="15"/>
    </row>
    <row r="700" spans="3:3" ht="14.25" customHeight="1" x14ac:dyDescent="0.2">
      <c r="C700" s="15"/>
    </row>
    <row r="701" spans="3:3" ht="14.25" customHeight="1" x14ac:dyDescent="0.2">
      <c r="C701" s="15"/>
    </row>
    <row r="702" spans="3:3" ht="14.25" customHeight="1" x14ac:dyDescent="0.2">
      <c r="C702" s="15"/>
    </row>
    <row r="703" spans="3:3" ht="14.25" customHeight="1" x14ac:dyDescent="0.2">
      <c r="C703" s="15"/>
    </row>
    <row r="704" spans="3:3" ht="14.25" customHeight="1" x14ac:dyDescent="0.2">
      <c r="C704" s="15"/>
    </row>
    <row r="705" spans="3:3" ht="14.25" customHeight="1" x14ac:dyDescent="0.2">
      <c r="C705" s="15"/>
    </row>
    <row r="706" spans="3:3" ht="14.25" customHeight="1" x14ac:dyDescent="0.2">
      <c r="C706" s="15"/>
    </row>
    <row r="707" spans="3:3" ht="14.25" customHeight="1" x14ac:dyDescent="0.2">
      <c r="C707" s="15"/>
    </row>
    <row r="708" spans="3:3" ht="14.25" customHeight="1" x14ac:dyDescent="0.2">
      <c r="C708" s="15"/>
    </row>
    <row r="709" spans="3:3" ht="14.25" customHeight="1" x14ac:dyDescent="0.2">
      <c r="C709" s="15"/>
    </row>
    <row r="710" spans="3:3" ht="14.25" customHeight="1" x14ac:dyDescent="0.2">
      <c r="C710" s="15"/>
    </row>
    <row r="711" spans="3:3" ht="14.25" customHeight="1" x14ac:dyDescent="0.2">
      <c r="C711" s="15"/>
    </row>
    <row r="712" spans="3:3" ht="14.25" customHeight="1" x14ac:dyDescent="0.2">
      <c r="C712" s="15"/>
    </row>
    <row r="713" spans="3:3" ht="14.25" customHeight="1" x14ac:dyDescent="0.2">
      <c r="C713" s="15"/>
    </row>
    <row r="714" spans="3:3" ht="14.25" customHeight="1" x14ac:dyDescent="0.2">
      <c r="C714" s="15"/>
    </row>
    <row r="715" spans="3:3" ht="14.25" customHeight="1" x14ac:dyDescent="0.2">
      <c r="C715" s="15"/>
    </row>
    <row r="716" spans="3:3" ht="14.25" customHeight="1" x14ac:dyDescent="0.2">
      <c r="C716" s="15"/>
    </row>
    <row r="717" spans="3:3" ht="14.25" customHeight="1" x14ac:dyDescent="0.2">
      <c r="C717" s="15"/>
    </row>
    <row r="718" spans="3:3" ht="14.25" customHeight="1" x14ac:dyDescent="0.2">
      <c r="C718" s="15"/>
    </row>
    <row r="719" spans="3:3" ht="14.25" customHeight="1" x14ac:dyDescent="0.2">
      <c r="C719" s="15"/>
    </row>
    <row r="720" spans="3:3" ht="14.25" customHeight="1" x14ac:dyDescent="0.2">
      <c r="C720" s="15"/>
    </row>
    <row r="721" spans="3:3" ht="14.25" customHeight="1" x14ac:dyDescent="0.2">
      <c r="C721" s="15"/>
    </row>
    <row r="722" spans="3:3" ht="14.25" customHeight="1" x14ac:dyDescent="0.2">
      <c r="C722" s="15"/>
    </row>
    <row r="723" spans="3:3" ht="14.25" customHeight="1" x14ac:dyDescent="0.2">
      <c r="C723" s="15"/>
    </row>
    <row r="724" spans="3:3" ht="14.25" customHeight="1" x14ac:dyDescent="0.2">
      <c r="C724" s="15"/>
    </row>
    <row r="725" spans="3:3" ht="14.25" customHeight="1" x14ac:dyDescent="0.2">
      <c r="C725" s="15"/>
    </row>
    <row r="726" spans="3:3" ht="14.25" customHeight="1" x14ac:dyDescent="0.2">
      <c r="C726" s="15"/>
    </row>
    <row r="727" spans="3:3" ht="14.25" customHeight="1" x14ac:dyDescent="0.2">
      <c r="C727" s="15"/>
    </row>
    <row r="728" spans="3:3" ht="14.25" customHeight="1" x14ac:dyDescent="0.2">
      <c r="C728" s="15"/>
    </row>
    <row r="729" spans="3:3" ht="14.25" customHeight="1" x14ac:dyDescent="0.2">
      <c r="C729" s="15"/>
    </row>
    <row r="730" spans="3:3" ht="14.25" customHeight="1" x14ac:dyDescent="0.2">
      <c r="C730" s="15"/>
    </row>
    <row r="731" spans="3:3" ht="14.25" customHeight="1" x14ac:dyDescent="0.2">
      <c r="C731" s="15"/>
    </row>
    <row r="732" spans="3:3" ht="14.25" customHeight="1" x14ac:dyDescent="0.2">
      <c r="C732" s="15"/>
    </row>
    <row r="733" spans="3:3" ht="14.25" customHeight="1" x14ac:dyDescent="0.2">
      <c r="C733" s="15"/>
    </row>
    <row r="734" spans="3:3" ht="14.25" customHeight="1" x14ac:dyDescent="0.2">
      <c r="C734" s="15"/>
    </row>
    <row r="735" spans="3:3" ht="14.25" customHeight="1" x14ac:dyDescent="0.2">
      <c r="C735" s="15"/>
    </row>
    <row r="736" spans="3:3" ht="14.25" customHeight="1" x14ac:dyDescent="0.2">
      <c r="C736" s="15"/>
    </row>
    <row r="737" spans="3:3" ht="14.25" customHeight="1" x14ac:dyDescent="0.2">
      <c r="C737" s="15"/>
    </row>
    <row r="738" spans="3:3" ht="14.25" customHeight="1" x14ac:dyDescent="0.2">
      <c r="C738" s="15"/>
    </row>
    <row r="739" spans="3:3" ht="14.25" customHeight="1" x14ac:dyDescent="0.2">
      <c r="C739" s="15"/>
    </row>
    <row r="740" spans="3:3" ht="14.25" customHeight="1" x14ac:dyDescent="0.2">
      <c r="C740" s="15"/>
    </row>
    <row r="741" spans="3:3" ht="14.25" customHeight="1" x14ac:dyDescent="0.2">
      <c r="C741" s="15"/>
    </row>
    <row r="742" spans="3:3" ht="14.25" customHeight="1" x14ac:dyDescent="0.2">
      <c r="C742" s="15"/>
    </row>
    <row r="743" spans="3:3" ht="14.25" customHeight="1" x14ac:dyDescent="0.2">
      <c r="C743" s="15"/>
    </row>
    <row r="744" spans="3:3" ht="14.25" customHeight="1" x14ac:dyDescent="0.2">
      <c r="C744" s="15"/>
    </row>
    <row r="745" spans="3:3" ht="14.25" customHeight="1" x14ac:dyDescent="0.2">
      <c r="C745" s="15"/>
    </row>
    <row r="746" spans="3:3" ht="14.25" customHeight="1" x14ac:dyDescent="0.2">
      <c r="C746" s="15"/>
    </row>
    <row r="747" spans="3:3" ht="14.25" customHeight="1" x14ac:dyDescent="0.2">
      <c r="C747" s="15"/>
    </row>
    <row r="748" spans="3:3" ht="14.25" customHeight="1" x14ac:dyDescent="0.2">
      <c r="C748" s="15"/>
    </row>
    <row r="749" spans="3:3" ht="14.25" customHeight="1" x14ac:dyDescent="0.2">
      <c r="C749" s="15"/>
    </row>
    <row r="750" spans="3:3" ht="14.25" customHeight="1" x14ac:dyDescent="0.2">
      <c r="C750" s="15"/>
    </row>
    <row r="751" spans="3:3" ht="14.25" customHeight="1" x14ac:dyDescent="0.2">
      <c r="C751" s="15"/>
    </row>
    <row r="752" spans="3:3" ht="14.25" customHeight="1" x14ac:dyDescent="0.2">
      <c r="C752" s="15"/>
    </row>
    <row r="753" spans="3:3" ht="14.25" customHeight="1" x14ac:dyDescent="0.2">
      <c r="C753" s="15"/>
    </row>
    <row r="754" spans="3:3" ht="14.25" customHeight="1" x14ac:dyDescent="0.2">
      <c r="C754" s="15"/>
    </row>
    <row r="755" spans="3:3" ht="14.25" customHeight="1" x14ac:dyDescent="0.2">
      <c r="C755" s="15"/>
    </row>
    <row r="756" spans="3:3" ht="14.25" customHeight="1" x14ac:dyDescent="0.2">
      <c r="C756" s="15"/>
    </row>
    <row r="757" spans="3:3" ht="14.25" customHeight="1" x14ac:dyDescent="0.2">
      <c r="C757" s="15"/>
    </row>
    <row r="758" spans="3:3" ht="14.25" customHeight="1" x14ac:dyDescent="0.2">
      <c r="C758" s="15"/>
    </row>
    <row r="759" spans="3:3" ht="14.25" customHeight="1" x14ac:dyDescent="0.2">
      <c r="C759" s="15"/>
    </row>
    <row r="760" spans="3:3" ht="14.25" customHeight="1" x14ac:dyDescent="0.2">
      <c r="C760" s="15"/>
    </row>
    <row r="761" spans="3:3" ht="14.25" customHeight="1" x14ac:dyDescent="0.2">
      <c r="C761" s="15"/>
    </row>
    <row r="762" spans="3:3" ht="14.25" customHeight="1" x14ac:dyDescent="0.2">
      <c r="C762" s="15"/>
    </row>
    <row r="763" spans="3:3" ht="14.25" customHeight="1" x14ac:dyDescent="0.2">
      <c r="C763" s="15"/>
    </row>
    <row r="764" spans="3:3" ht="14.25" customHeight="1" x14ac:dyDescent="0.2">
      <c r="C764" s="15"/>
    </row>
    <row r="765" spans="3:3" ht="14.25" customHeight="1" x14ac:dyDescent="0.2">
      <c r="C765" s="15"/>
    </row>
    <row r="766" spans="3:3" ht="14.25" customHeight="1" x14ac:dyDescent="0.2">
      <c r="C766" s="15"/>
    </row>
    <row r="767" spans="3:3" ht="14.25" customHeight="1" x14ac:dyDescent="0.2">
      <c r="C767" s="15"/>
    </row>
    <row r="768" spans="3:3" ht="14.25" customHeight="1" x14ac:dyDescent="0.2">
      <c r="C768" s="15"/>
    </row>
    <row r="769" spans="3:3" ht="14.25" customHeight="1" x14ac:dyDescent="0.2">
      <c r="C769" s="15"/>
    </row>
    <row r="770" spans="3:3" ht="14.25" customHeight="1" x14ac:dyDescent="0.2">
      <c r="C770" s="15"/>
    </row>
    <row r="771" spans="3:3" ht="14.25" customHeight="1" x14ac:dyDescent="0.2">
      <c r="C771" s="15"/>
    </row>
    <row r="772" spans="3:3" ht="14.25" customHeight="1" x14ac:dyDescent="0.2">
      <c r="C772" s="15"/>
    </row>
    <row r="773" spans="3:3" ht="14.25" customHeight="1" x14ac:dyDescent="0.2">
      <c r="C773" s="15"/>
    </row>
    <row r="774" spans="3:3" ht="14.25" customHeight="1" x14ac:dyDescent="0.2">
      <c r="C774" s="15"/>
    </row>
    <row r="775" spans="3:3" ht="14.25" customHeight="1" x14ac:dyDescent="0.2">
      <c r="C775" s="15"/>
    </row>
    <row r="776" spans="3:3" ht="14.25" customHeight="1" x14ac:dyDescent="0.2">
      <c r="C776" s="15"/>
    </row>
    <row r="777" spans="3:3" ht="14.25" customHeight="1" x14ac:dyDescent="0.2">
      <c r="C777" s="15"/>
    </row>
    <row r="778" spans="3:3" ht="14.25" customHeight="1" x14ac:dyDescent="0.2">
      <c r="C778" s="15"/>
    </row>
    <row r="779" spans="3:3" ht="14.25" customHeight="1" x14ac:dyDescent="0.2">
      <c r="C779" s="15"/>
    </row>
    <row r="780" spans="3:3" ht="14.25" customHeight="1" x14ac:dyDescent="0.2">
      <c r="C780" s="15"/>
    </row>
    <row r="781" spans="3:3" ht="14.25" customHeight="1" x14ac:dyDescent="0.2">
      <c r="C781" s="15"/>
    </row>
    <row r="782" spans="3:3" ht="14.25" customHeight="1" x14ac:dyDescent="0.2">
      <c r="C782" s="15"/>
    </row>
    <row r="783" spans="3:3" ht="14.25" customHeight="1" x14ac:dyDescent="0.2">
      <c r="C783" s="15"/>
    </row>
    <row r="784" spans="3:3" ht="14.25" customHeight="1" x14ac:dyDescent="0.2">
      <c r="C784" s="15"/>
    </row>
    <row r="785" spans="3:3" ht="14.25" customHeight="1" x14ac:dyDescent="0.2">
      <c r="C785" s="15"/>
    </row>
    <row r="786" spans="3:3" ht="14.25" customHeight="1" x14ac:dyDescent="0.2">
      <c r="C786" s="15"/>
    </row>
    <row r="787" spans="3:3" ht="14.25" customHeight="1" x14ac:dyDescent="0.2">
      <c r="C787" s="15"/>
    </row>
    <row r="788" spans="3:3" ht="14.25" customHeight="1" x14ac:dyDescent="0.2">
      <c r="C788" s="15"/>
    </row>
    <row r="789" spans="3:3" ht="14.25" customHeight="1" x14ac:dyDescent="0.2">
      <c r="C789" s="15"/>
    </row>
    <row r="790" spans="3:3" ht="14.25" customHeight="1" x14ac:dyDescent="0.2">
      <c r="C790" s="15"/>
    </row>
    <row r="791" spans="3:3" ht="14.25" customHeight="1" x14ac:dyDescent="0.2">
      <c r="C791" s="15"/>
    </row>
    <row r="792" spans="3:3" ht="14.25" customHeight="1" x14ac:dyDescent="0.2">
      <c r="C792" s="15"/>
    </row>
    <row r="793" spans="3:3" ht="14.25" customHeight="1" x14ac:dyDescent="0.2">
      <c r="C793" s="15"/>
    </row>
    <row r="794" spans="3:3" ht="14.25" customHeight="1" x14ac:dyDescent="0.2">
      <c r="C794" s="15"/>
    </row>
    <row r="795" spans="3:3" ht="14.25" customHeight="1" x14ac:dyDescent="0.2">
      <c r="C795" s="15"/>
    </row>
    <row r="796" spans="3:3" ht="14.25" customHeight="1" x14ac:dyDescent="0.2">
      <c r="C796" s="15"/>
    </row>
    <row r="797" spans="3:3" ht="14.25" customHeight="1" x14ac:dyDescent="0.2">
      <c r="C797" s="15"/>
    </row>
    <row r="798" spans="3:3" ht="14.25" customHeight="1" x14ac:dyDescent="0.2">
      <c r="C798" s="15"/>
    </row>
    <row r="799" spans="3:3" ht="14.25" customHeight="1" x14ac:dyDescent="0.2">
      <c r="C799" s="15"/>
    </row>
    <row r="800" spans="3:3" ht="14.25" customHeight="1" x14ac:dyDescent="0.2">
      <c r="C800" s="15"/>
    </row>
    <row r="801" spans="3:3" ht="14.25" customHeight="1" x14ac:dyDescent="0.2">
      <c r="C801" s="15"/>
    </row>
    <row r="802" spans="3:3" ht="14.25" customHeight="1" x14ac:dyDescent="0.2">
      <c r="C802" s="15"/>
    </row>
    <row r="803" spans="3:3" ht="14.25" customHeight="1" x14ac:dyDescent="0.2">
      <c r="C803" s="15"/>
    </row>
    <row r="804" spans="3:3" ht="14.25" customHeight="1" x14ac:dyDescent="0.2">
      <c r="C804" s="15"/>
    </row>
    <row r="805" spans="3:3" ht="14.25" customHeight="1" x14ac:dyDescent="0.2">
      <c r="C805" s="15"/>
    </row>
    <row r="806" spans="3:3" ht="14.25" customHeight="1" x14ac:dyDescent="0.2">
      <c r="C806" s="15"/>
    </row>
    <row r="807" spans="3:3" ht="14.25" customHeight="1" x14ac:dyDescent="0.2">
      <c r="C807" s="15"/>
    </row>
    <row r="808" spans="3:3" ht="14.25" customHeight="1" x14ac:dyDescent="0.2">
      <c r="C808" s="15"/>
    </row>
    <row r="809" spans="3:3" ht="14.25" customHeight="1" x14ac:dyDescent="0.2">
      <c r="C809" s="15"/>
    </row>
    <row r="810" spans="3:3" ht="14.25" customHeight="1" x14ac:dyDescent="0.2">
      <c r="C810" s="15"/>
    </row>
    <row r="811" spans="3:3" ht="14.25" customHeight="1" x14ac:dyDescent="0.2">
      <c r="C811" s="15"/>
    </row>
    <row r="812" spans="3:3" ht="14.25" customHeight="1" x14ac:dyDescent="0.2">
      <c r="C812" s="15"/>
    </row>
    <row r="813" spans="3:3" ht="14.25" customHeight="1" x14ac:dyDescent="0.2">
      <c r="C813" s="15"/>
    </row>
    <row r="814" spans="3:3" ht="14.25" customHeight="1" x14ac:dyDescent="0.2">
      <c r="C814" s="15"/>
    </row>
    <row r="815" spans="3:3" ht="14.25" customHeight="1" x14ac:dyDescent="0.2">
      <c r="C815" s="15"/>
    </row>
    <row r="816" spans="3:3" ht="14.25" customHeight="1" x14ac:dyDescent="0.2">
      <c r="C816" s="15"/>
    </row>
    <row r="817" spans="3:3" ht="14.25" customHeight="1" x14ac:dyDescent="0.2">
      <c r="C817" s="15"/>
    </row>
    <row r="818" spans="3:3" ht="14.25" customHeight="1" x14ac:dyDescent="0.2">
      <c r="C818" s="15"/>
    </row>
    <row r="819" spans="3:3" ht="14.25" customHeight="1" x14ac:dyDescent="0.2">
      <c r="C819" s="15"/>
    </row>
    <row r="820" spans="3:3" ht="14.25" customHeight="1" x14ac:dyDescent="0.2">
      <c r="C820" s="15"/>
    </row>
    <row r="821" spans="3:3" ht="14.25" customHeight="1" x14ac:dyDescent="0.2">
      <c r="C821" s="15"/>
    </row>
    <row r="822" spans="3:3" ht="14.25" customHeight="1" x14ac:dyDescent="0.2">
      <c r="C822" s="15"/>
    </row>
    <row r="823" spans="3:3" ht="14.25" customHeight="1" x14ac:dyDescent="0.2">
      <c r="C823" s="15"/>
    </row>
    <row r="824" spans="3:3" ht="14.25" customHeight="1" x14ac:dyDescent="0.2">
      <c r="C824" s="15"/>
    </row>
    <row r="825" spans="3:3" ht="14.25" customHeight="1" x14ac:dyDescent="0.2">
      <c r="C825" s="15"/>
    </row>
    <row r="826" spans="3:3" ht="14.25" customHeight="1" x14ac:dyDescent="0.2">
      <c r="C826" s="15"/>
    </row>
    <row r="827" spans="3:3" ht="14.25" customHeight="1" x14ac:dyDescent="0.2">
      <c r="C827" s="15"/>
    </row>
    <row r="828" spans="3:3" ht="14.25" customHeight="1" x14ac:dyDescent="0.2">
      <c r="C828" s="15"/>
    </row>
    <row r="829" spans="3:3" ht="14.25" customHeight="1" x14ac:dyDescent="0.2">
      <c r="C829" s="15"/>
    </row>
    <row r="830" spans="3:3" ht="14.25" customHeight="1" x14ac:dyDescent="0.2">
      <c r="C830" s="15"/>
    </row>
    <row r="831" spans="3:3" ht="14.25" customHeight="1" x14ac:dyDescent="0.2">
      <c r="C831" s="15"/>
    </row>
    <row r="832" spans="3:3" ht="14.25" customHeight="1" x14ac:dyDescent="0.2">
      <c r="C832" s="15"/>
    </row>
    <row r="833" spans="3:3" ht="14.25" customHeight="1" x14ac:dyDescent="0.2">
      <c r="C833" s="15"/>
    </row>
    <row r="834" spans="3:3" ht="14.25" customHeight="1" x14ac:dyDescent="0.2">
      <c r="C834" s="15"/>
    </row>
    <row r="835" spans="3:3" ht="14.25" customHeight="1" x14ac:dyDescent="0.2">
      <c r="C835" s="15"/>
    </row>
    <row r="836" spans="3:3" ht="14.25" customHeight="1" x14ac:dyDescent="0.2">
      <c r="C836" s="15"/>
    </row>
    <row r="837" spans="3:3" ht="14.25" customHeight="1" x14ac:dyDescent="0.2">
      <c r="C837" s="15"/>
    </row>
    <row r="838" spans="3:3" ht="14.25" customHeight="1" x14ac:dyDescent="0.2">
      <c r="C838" s="15"/>
    </row>
    <row r="839" spans="3:3" ht="14.25" customHeight="1" x14ac:dyDescent="0.2">
      <c r="C839" s="15"/>
    </row>
    <row r="840" spans="3:3" ht="14.25" customHeight="1" x14ac:dyDescent="0.2">
      <c r="C840" s="15"/>
    </row>
    <row r="841" spans="3:3" ht="14.25" customHeight="1" x14ac:dyDescent="0.2">
      <c r="C841" s="15"/>
    </row>
    <row r="842" spans="3:3" ht="14.25" customHeight="1" x14ac:dyDescent="0.2">
      <c r="C842" s="15"/>
    </row>
    <row r="843" spans="3:3" ht="14.25" customHeight="1" x14ac:dyDescent="0.2">
      <c r="C843" s="15"/>
    </row>
    <row r="844" spans="3:3" ht="14.25" customHeight="1" x14ac:dyDescent="0.2">
      <c r="C844" s="15"/>
    </row>
    <row r="845" spans="3:3" ht="14.25" customHeight="1" x14ac:dyDescent="0.2">
      <c r="C845" s="15"/>
    </row>
    <row r="846" spans="3:3" ht="14.25" customHeight="1" x14ac:dyDescent="0.2">
      <c r="C846" s="15"/>
    </row>
    <row r="847" spans="3:3" ht="14.25" customHeight="1" x14ac:dyDescent="0.2">
      <c r="C847" s="15"/>
    </row>
    <row r="848" spans="3:3" ht="14.25" customHeight="1" x14ac:dyDescent="0.2">
      <c r="C848" s="15"/>
    </row>
    <row r="849" spans="3:3" ht="14.25" customHeight="1" x14ac:dyDescent="0.2">
      <c r="C849" s="15"/>
    </row>
    <row r="850" spans="3:3" ht="14.25" customHeight="1" x14ac:dyDescent="0.2">
      <c r="C850" s="15"/>
    </row>
    <row r="851" spans="3:3" ht="14.25" customHeight="1" x14ac:dyDescent="0.2">
      <c r="C851" s="15"/>
    </row>
    <row r="852" spans="3:3" ht="14.25" customHeight="1" x14ac:dyDescent="0.2">
      <c r="C852" s="15"/>
    </row>
    <row r="853" spans="3:3" ht="14.25" customHeight="1" x14ac:dyDescent="0.2">
      <c r="C853" s="15"/>
    </row>
    <row r="854" spans="3:3" ht="14.25" customHeight="1" x14ac:dyDescent="0.2">
      <c r="C854" s="15"/>
    </row>
    <row r="855" spans="3:3" ht="14.25" customHeight="1" x14ac:dyDescent="0.2">
      <c r="C855" s="15"/>
    </row>
    <row r="856" spans="3:3" ht="14.25" customHeight="1" x14ac:dyDescent="0.2">
      <c r="C856" s="15"/>
    </row>
    <row r="857" spans="3:3" ht="14.25" customHeight="1" x14ac:dyDescent="0.2">
      <c r="C857" s="15"/>
    </row>
    <row r="858" spans="3:3" ht="14.25" customHeight="1" x14ac:dyDescent="0.2">
      <c r="C858" s="15"/>
    </row>
    <row r="859" spans="3:3" ht="14.25" customHeight="1" x14ac:dyDescent="0.2">
      <c r="C859" s="15"/>
    </row>
    <row r="860" spans="3:3" ht="14.25" customHeight="1" x14ac:dyDescent="0.2">
      <c r="C860" s="15"/>
    </row>
    <row r="861" spans="3:3" ht="14.25" customHeight="1" x14ac:dyDescent="0.2">
      <c r="C861" s="15"/>
    </row>
    <row r="862" spans="3:3" ht="14.25" customHeight="1" x14ac:dyDescent="0.2">
      <c r="C862" s="15"/>
    </row>
    <row r="863" spans="3:3" ht="14.25" customHeight="1" x14ac:dyDescent="0.2">
      <c r="C863" s="15"/>
    </row>
    <row r="864" spans="3:3" ht="14.25" customHeight="1" x14ac:dyDescent="0.2">
      <c r="C864" s="15"/>
    </row>
    <row r="865" spans="3:3" ht="14.25" customHeight="1" x14ac:dyDescent="0.2">
      <c r="C865" s="15"/>
    </row>
    <row r="866" spans="3:3" ht="14.25" customHeight="1" x14ac:dyDescent="0.2">
      <c r="C866" s="15"/>
    </row>
    <row r="867" spans="3:3" ht="14.25" customHeight="1" x14ac:dyDescent="0.2">
      <c r="C867" s="15"/>
    </row>
    <row r="868" spans="3:3" ht="14.25" customHeight="1" x14ac:dyDescent="0.2">
      <c r="C868" s="15"/>
    </row>
    <row r="869" spans="3:3" ht="14.25" customHeight="1" x14ac:dyDescent="0.2">
      <c r="C869" s="15"/>
    </row>
    <row r="870" spans="3:3" ht="14.25" customHeight="1" x14ac:dyDescent="0.2">
      <c r="C870" s="15"/>
    </row>
    <row r="871" spans="3:3" ht="14.25" customHeight="1" x14ac:dyDescent="0.2">
      <c r="C871" s="15"/>
    </row>
    <row r="872" spans="3:3" ht="14.25" customHeight="1" x14ac:dyDescent="0.2">
      <c r="C872" s="15"/>
    </row>
    <row r="873" spans="3:3" ht="14.25" customHeight="1" x14ac:dyDescent="0.2">
      <c r="C873" s="15"/>
    </row>
    <row r="874" spans="3:3" ht="14.25" customHeight="1" x14ac:dyDescent="0.2">
      <c r="C874" s="15"/>
    </row>
    <row r="875" spans="3:3" ht="14.25" customHeight="1" x14ac:dyDescent="0.2">
      <c r="C875" s="15"/>
    </row>
    <row r="876" spans="3:3" ht="14.25" customHeight="1" x14ac:dyDescent="0.2">
      <c r="C876" s="15"/>
    </row>
    <row r="877" spans="3:3" ht="14.25" customHeight="1" x14ac:dyDescent="0.2">
      <c r="C877" s="15"/>
    </row>
    <row r="878" spans="3:3" ht="14.25" customHeight="1" x14ac:dyDescent="0.2">
      <c r="C878" s="15"/>
    </row>
    <row r="879" spans="3:3" ht="14.25" customHeight="1" x14ac:dyDescent="0.2">
      <c r="C879" s="15"/>
    </row>
    <row r="880" spans="3:3" ht="14.25" customHeight="1" x14ac:dyDescent="0.2">
      <c r="C880" s="15"/>
    </row>
    <row r="881" spans="3:3" ht="14.25" customHeight="1" x14ac:dyDescent="0.2">
      <c r="C881" s="15"/>
    </row>
    <row r="882" spans="3:3" ht="14.25" customHeight="1" x14ac:dyDescent="0.2">
      <c r="C882" s="15"/>
    </row>
    <row r="883" spans="3:3" ht="14.25" customHeight="1" x14ac:dyDescent="0.2">
      <c r="C883" s="15"/>
    </row>
    <row r="884" spans="3:3" ht="14.25" customHeight="1" x14ac:dyDescent="0.2">
      <c r="C884" s="15"/>
    </row>
    <row r="885" spans="3:3" ht="14.25" customHeight="1" x14ac:dyDescent="0.2">
      <c r="C885" s="15"/>
    </row>
    <row r="886" spans="3:3" ht="14.25" customHeight="1" x14ac:dyDescent="0.2">
      <c r="C886" s="15"/>
    </row>
    <row r="887" spans="3:3" ht="14.25" customHeight="1" x14ac:dyDescent="0.2">
      <c r="C887" s="15"/>
    </row>
    <row r="888" spans="3:3" ht="14.25" customHeight="1" x14ac:dyDescent="0.2">
      <c r="C888" s="15"/>
    </row>
    <row r="889" spans="3:3" ht="14.25" customHeight="1" x14ac:dyDescent="0.2">
      <c r="C889" s="15"/>
    </row>
    <row r="890" spans="3:3" ht="14.25" customHeight="1" x14ac:dyDescent="0.2">
      <c r="C890" s="15"/>
    </row>
    <row r="891" spans="3:3" ht="14.25" customHeight="1" x14ac:dyDescent="0.2">
      <c r="C891" s="15"/>
    </row>
    <row r="892" spans="3:3" ht="14.25" customHeight="1" x14ac:dyDescent="0.2">
      <c r="C892" s="15"/>
    </row>
    <row r="893" spans="3:3" ht="14.25" customHeight="1" x14ac:dyDescent="0.2">
      <c r="C893" s="15"/>
    </row>
    <row r="894" spans="3:3" ht="14.25" customHeight="1" x14ac:dyDescent="0.2">
      <c r="C894" s="15"/>
    </row>
    <row r="895" spans="3:3" ht="14.25" customHeight="1" x14ac:dyDescent="0.2">
      <c r="C895" s="15"/>
    </row>
    <row r="896" spans="3:3" ht="14.25" customHeight="1" x14ac:dyDescent="0.2">
      <c r="C896" s="15"/>
    </row>
    <row r="897" spans="3:3" ht="14.25" customHeight="1" x14ac:dyDescent="0.2">
      <c r="C897" s="15"/>
    </row>
    <row r="898" spans="3:3" ht="14.25" customHeight="1" x14ac:dyDescent="0.2">
      <c r="C898" s="15"/>
    </row>
    <row r="899" spans="3:3" ht="14.25" customHeight="1" x14ac:dyDescent="0.2">
      <c r="C899" s="15"/>
    </row>
    <row r="900" spans="3:3" ht="14.25" customHeight="1" x14ac:dyDescent="0.2">
      <c r="C900" s="15"/>
    </row>
    <row r="901" spans="3:3" ht="14.25" customHeight="1" x14ac:dyDescent="0.2">
      <c r="C901" s="15"/>
    </row>
    <row r="902" spans="3:3" ht="14.25" customHeight="1" x14ac:dyDescent="0.2">
      <c r="C902" s="15"/>
    </row>
    <row r="903" spans="3:3" ht="14.25" customHeight="1" x14ac:dyDescent="0.2">
      <c r="C903" s="15"/>
    </row>
    <row r="904" spans="3:3" ht="14.25" customHeight="1" x14ac:dyDescent="0.2">
      <c r="C904" s="15"/>
    </row>
    <row r="905" spans="3:3" ht="14.25" customHeight="1" x14ac:dyDescent="0.2">
      <c r="C905" s="15"/>
    </row>
    <row r="906" spans="3:3" ht="14.25" customHeight="1" x14ac:dyDescent="0.2">
      <c r="C906" s="15"/>
    </row>
    <row r="907" spans="3:3" ht="14.25" customHeight="1" x14ac:dyDescent="0.2">
      <c r="C907" s="15"/>
    </row>
    <row r="908" spans="3:3" ht="14.25" customHeight="1" x14ac:dyDescent="0.2">
      <c r="C908" s="15"/>
    </row>
    <row r="909" spans="3:3" ht="14.25" customHeight="1" x14ac:dyDescent="0.2">
      <c r="C909" s="15"/>
    </row>
    <row r="910" spans="3:3" ht="14.25" customHeight="1" x14ac:dyDescent="0.2">
      <c r="C910" s="15"/>
    </row>
    <row r="911" spans="3:3" ht="14.25" customHeight="1" x14ac:dyDescent="0.2">
      <c r="C911" s="15"/>
    </row>
    <row r="912" spans="3:3" ht="14.25" customHeight="1" x14ac:dyDescent="0.2">
      <c r="C912" s="15"/>
    </row>
    <row r="913" spans="3:3" ht="14.25" customHeight="1" x14ac:dyDescent="0.2">
      <c r="C913" s="15"/>
    </row>
    <row r="914" spans="3:3" ht="14.25" customHeight="1" x14ac:dyDescent="0.2">
      <c r="C914" s="15"/>
    </row>
    <row r="915" spans="3:3" ht="14.25" customHeight="1" x14ac:dyDescent="0.2">
      <c r="C915" s="15"/>
    </row>
    <row r="916" spans="3:3" ht="14.25" customHeight="1" x14ac:dyDescent="0.2">
      <c r="C916" s="15"/>
    </row>
    <row r="917" spans="3:3" ht="14.25" customHeight="1" x14ac:dyDescent="0.2">
      <c r="C917" s="15"/>
    </row>
    <row r="918" spans="3:3" ht="14.25" customHeight="1" x14ac:dyDescent="0.2">
      <c r="C918" s="15"/>
    </row>
    <row r="919" spans="3:3" ht="14.25" customHeight="1" x14ac:dyDescent="0.2">
      <c r="C919" s="15"/>
    </row>
    <row r="920" spans="3:3" ht="14.25" customHeight="1" x14ac:dyDescent="0.2">
      <c r="C920" s="15"/>
    </row>
    <row r="921" spans="3:3" ht="14.25" customHeight="1" x14ac:dyDescent="0.2">
      <c r="C921" s="15"/>
    </row>
    <row r="922" spans="3:3" ht="14.25" customHeight="1" x14ac:dyDescent="0.2">
      <c r="C922" s="15"/>
    </row>
    <row r="923" spans="3:3" ht="14.25" customHeight="1" x14ac:dyDescent="0.2">
      <c r="C923" s="15"/>
    </row>
    <row r="924" spans="3:3" ht="14.25" customHeight="1" x14ac:dyDescent="0.2">
      <c r="C924" s="15"/>
    </row>
    <row r="925" spans="3:3" ht="14.25" customHeight="1" x14ac:dyDescent="0.2">
      <c r="C925" s="15"/>
    </row>
    <row r="926" spans="3:3" ht="14.25" customHeight="1" x14ac:dyDescent="0.2">
      <c r="C926" s="15"/>
    </row>
    <row r="927" spans="3:3" ht="14.25" customHeight="1" x14ac:dyDescent="0.2">
      <c r="C927" s="15"/>
    </row>
    <row r="928" spans="3:3" ht="14.25" customHeight="1" x14ac:dyDescent="0.2">
      <c r="C928" s="15"/>
    </row>
    <row r="929" spans="3:3" ht="14.25" customHeight="1" x14ac:dyDescent="0.2">
      <c r="C929" s="15"/>
    </row>
    <row r="930" spans="3:3" ht="14.25" customHeight="1" x14ac:dyDescent="0.2">
      <c r="C930" s="15"/>
    </row>
    <row r="931" spans="3:3" ht="14.25" customHeight="1" x14ac:dyDescent="0.2">
      <c r="C931" s="15"/>
    </row>
    <row r="932" spans="3:3" ht="14.25" customHeight="1" x14ac:dyDescent="0.2">
      <c r="C932" s="15"/>
    </row>
    <row r="933" spans="3:3" ht="14.25" customHeight="1" x14ac:dyDescent="0.2">
      <c r="C933" s="15"/>
    </row>
    <row r="934" spans="3:3" ht="14.25" customHeight="1" x14ac:dyDescent="0.2">
      <c r="C934" s="15"/>
    </row>
    <row r="935" spans="3:3" ht="14.25" customHeight="1" x14ac:dyDescent="0.2">
      <c r="C935" s="15"/>
    </row>
    <row r="936" spans="3:3" ht="14.25" customHeight="1" x14ac:dyDescent="0.2">
      <c r="C936" s="15"/>
    </row>
    <row r="937" spans="3:3" ht="14.25" customHeight="1" x14ac:dyDescent="0.2">
      <c r="C937" s="15"/>
    </row>
    <row r="938" spans="3:3" ht="14.25" customHeight="1" x14ac:dyDescent="0.2">
      <c r="C938" s="15"/>
    </row>
    <row r="939" spans="3:3" ht="14.25" customHeight="1" x14ac:dyDescent="0.2">
      <c r="C939" s="15"/>
    </row>
    <row r="940" spans="3:3" ht="14.25" customHeight="1" x14ac:dyDescent="0.2">
      <c r="C940" s="15"/>
    </row>
    <row r="941" spans="3:3" ht="14.25" customHeight="1" x14ac:dyDescent="0.2">
      <c r="C941" s="15"/>
    </row>
    <row r="942" spans="3:3" ht="14.25" customHeight="1" x14ac:dyDescent="0.2">
      <c r="C942" s="15"/>
    </row>
    <row r="943" spans="3:3" ht="14.25" customHeight="1" x14ac:dyDescent="0.2">
      <c r="C943" s="15"/>
    </row>
    <row r="944" spans="3:3" ht="14.25" customHeight="1" x14ac:dyDescent="0.2">
      <c r="C944" s="15"/>
    </row>
    <row r="945" spans="3:3" ht="14.25" customHeight="1" x14ac:dyDescent="0.2">
      <c r="C945" s="15"/>
    </row>
    <row r="946" spans="3:3" ht="14.25" customHeight="1" x14ac:dyDescent="0.2">
      <c r="C946" s="15"/>
    </row>
    <row r="947" spans="3:3" ht="14.25" customHeight="1" x14ac:dyDescent="0.2">
      <c r="C947" s="15"/>
    </row>
    <row r="948" spans="3:3" ht="14.25" customHeight="1" x14ac:dyDescent="0.2">
      <c r="C948" s="15"/>
    </row>
    <row r="949" spans="3:3" ht="14.25" customHeight="1" x14ac:dyDescent="0.2">
      <c r="C949" s="15"/>
    </row>
    <row r="950" spans="3:3" ht="14.25" customHeight="1" x14ac:dyDescent="0.2">
      <c r="C950" s="15"/>
    </row>
    <row r="951" spans="3:3" ht="14.25" customHeight="1" x14ac:dyDescent="0.2">
      <c r="C951" s="15"/>
    </row>
    <row r="952" spans="3:3" ht="14.25" customHeight="1" x14ac:dyDescent="0.2">
      <c r="C952" s="15"/>
    </row>
    <row r="953" spans="3:3" ht="14.25" customHeight="1" x14ac:dyDescent="0.2">
      <c r="C953" s="15"/>
    </row>
    <row r="954" spans="3:3" ht="14.25" customHeight="1" x14ac:dyDescent="0.2">
      <c r="C954" s="15"/>
    </row>
    <row r="955" spans="3:3" ht="14.25" customHeight="1" x14ac:dyDescent="0.2">
      <c r="C955" s="15"/>
    </row>
    <row r="956" spans="3:3" ht="14.25" customHeight="1" x14ac:dyDescent="0.2">
      <c r="C956" s="15"/>
    </row>
    <row r="957" spans="3:3" ht="14.25" customHeight="1" x14ac:dyDescent="0.2">
      <c r="C957" s="15"/>
    </row>
    <row r="958" spans="3:3" ht="14.25" customHeight="1" x14ac:dyDescent="0.2">
      <c r="C958" s="15"/>
    </row>
    <row r="959" spans="3:3" ht="14.25" customHeight="1" x14ac:dyDescent="0.2">
      <c r="C959" s="15"/>
    </row>
    <row r="960" spans="3:3" ht="14.25" customHeight="1" x14ac:dyDescent="0.2">
      <c r="C960" s="15"/>
    </row>
    <row r="961" spans="3:3" ht="14.25" customHeight="1" x14ac:dyDescent="0.2">
      <c r="C961" s="15"/>
    </row>
    <row r="962" spans="3:3" ht="14.25" customHeight="1" x14ac:dyDescent="0.2">
      <c r="C962" s="15"/>
    </row>
    <row r="963" spans="3:3" ht="14.25" customHeight="1" x14ac:dyDescent="0.2">
      <c r="C963" s="15"/>
    </row>
    <row r="964" spans="3:3" ht="14.25" customHeight="1" x14ac:dyDescent="0.2">
      <c r="C964" s="15"/>
    </row>
    <row r="965" spans="3:3" ht="14.25" customHeight="1" x14ac:dyDescent="0.2">
      <c r="C965" s="15"/>
    </row>
    <row r="966" spans="3:3" ht="14.25" customHeight="1" x14ac:dyDescent="0.2">
      <c r="C966" s="15"/>
    </row>
    <row r="967" spans="3:3" ht="14.25" customHeight="1" x14ac:dyDescent="0.2">
      <c r="C967" s="15"/>
    </row>
    <row r="968" spans="3:3" ht="14.25" customHeight="1" x14ac:dyDescent="0.2">
      <c r="C968" s="15"/>
    </row>
    <row r="969" spans="3:3" ht="14.25" customHeight="1" x14ac:dyDescent="0.2">
      <c r="C969" s="15"/>
    </row>
    <row r="970" spans="3:3" ht="14.25" customHeight="1" x14ac:dyDescent="0.2">
      <c r="C970" s="15"/>
    </row>
    <row r="971" spans="3:3" ht="14.25" customHeight="1" x14ac:dyDescent="0.2">
      <c r="C971" s="15"/>
    </row>
    <row r="972" spans="3:3" ht="14.25" customHeight="1" x14ac:dyDescent="0.2">
      <c r="C972" s="15"/>
    </row>
    <row r="973" spans="3:3" ht="14.25" customHeight="1" x14ac:dyDescent="0.2">
      <c r="C973" s="15"/>
    </row>
    <row r="974" spans="3:3" ht="14.25" customHeight="1" x14ac:dyDescent="0.2">
      <c r="C974" s="15"/>
    </row>
    <row r="975" spans="3:3" ht="14.25" customHeight="1" x14ac:dyDescent="0.2">
      <c r="C975" s="15"/>
    </row>
    <row r="976" spans="3:3" ht="14.25" customHeight="1" x14ac:dyDescent="0.2">
      <c r="C976" s="15"/>
    </row>
    <row r="977" spans="3:3" ht="14.25" customHeight="1" x14ac:dyDescent="0.2">
      <c r="C977" s="15"/>
    </row>
    <row r="978" spans="3:3" ht="14.25" customHeight="1" x14ac:dyDescent="0.2">
      <c r="C978" s="15"/>
    </row>
    <row r="979" spans="3:3" ht="14.25" customHeight="1" x14ac:dyDescent="0.2">
      <c r="C979" s="15"/>
    </row>
    <row r="980" spans="3:3" ht="14.25" customHeight="1" x14ac:dyDescent="0.2">
      <c r="C980" s="15"/>
    </row>
    <row r="981" spans="3:3" ht="14.25" customHeight="1" x14ac:dyDescent="0.2">
      <c r="C981" s="15"/>
    </row>
    <row r="982" spans="3:3" ht="14.25" customHeight="1" x14ac:dyDescent="0.2">
      <c r="C982" s="15"/>
    </row>
    <row r="983" spans="3:3" ht="14.25" customHeight="1" x14ac:dyDescent="0.2">
      <c r="C983" s="15"/>
    </row>
    <row r="984" spans="3:3" ht="14.25" customHeight="1" x14ac:dyDescent="0.2">
      <c r="C984" s="15"/>
    </row>
    <row r="985" spans="3:3" ht="14.25" customHeight="1" x14ac:dyDescent="0.2">
      <c r="C985" s="15"/>
    </row>
    <row r="986" spans="3:3" ht="14.25" customHeight="1" x14ac:dyDescent="0.2">
      <c r="C986" s="15"/>
    </row>
    <row r="987" spans="3:3" ht="14.25" customHeight="1" x14ac:dyDescent="0.2">
      <c r="C987" s="15"/>
    </row>
    <row r="988" spans="3:3" ht="14.25" customHeight="1" x14ac:dyDescent="0.2">
      <c r="C988" s="15"/>
    </row>
    <row r="989" spans="3:3" ht="14.25" customHeight="1" x14ac:dyDescent="0.2">
      <c r="C989" s="15"/>
    </row>
    <row r="990" spans="3:3" ht="14.25" customHeight="1" x14ac:dyDescent="0.2">
      <c r="C990" s="15"/>
    </row>
    <row r="991" spans="3:3" ht="14.25" customHeight="1" x14ac:dyDescent="0.2">
      <c r="C991" s="15"/>
    </row>
    <row r="992" spans="3:3" ht="14.25" customHeight="1" x14ac:dyDescent="0.2">
      <c r="C992" s="15"/>
    </row>
    <row r="993" spans="3:3" ht="14.25" customHeight="1" x14ac:dyDescent="0.2">
      <c r="C993" s="15"/>
    </row>
    <row r="994" spans="3:3" ht="14.25" customHeight="1" x14ac:dyDescent="0.2">
      <c r="C994" s="15"/>
    </row>
    <row r="995" spans="3:3" ht="14.25" customHeight="1" x14ac:dyDescent="0.2">
      <c r="C995" s="15"/>
    </row>
    <row r="996" spans="3:3" ht="14.25" customHeight="1" x14ac:dyDescent="0.2">
      <c r="C996" s="15"/>
    </row>
    <row r="997" spans="3:3" ht="14.25" customHeight="1" x14ac:dyDescent="0.2">
      <c r="C997" s="15"/>
    </row>
    <row r="998" spans="3:3" ht="14.25" customHeight="1" x14ac:dyDescent="0.2">
      <c r="C998" s="15"/>
    </row>
    <row r="999" spans="3:3" ht="14.25" customHeight="1" x14ac:dyDescent="0.2">
      <c r="C999" s="15"/>
    </row>
    <row r="1000" spans="3:3" ht="14.25" customHeight="1" x14ac:dyDescent="0.2">
      <c r="C1000" s="15"/>
    </row>
    <row r="1001" spans="3:3" ht="14.25" customHeight="1" x14ac:dyDescent="0.2">
      <c r="C1001" s="15"/>
    </row>
    <row r="1002" spans="3:3" ht="14.25" customHeight="1" x14ac:dyDescent="0.2">
      <c r="C1002" s="15"/>
    </row>
    <row r="1003" spans="3:3" ht="14.25" customHeight="1" x14ac:dyDescent="0.2">
      <c r="C1003" s="15"/>
    </row>
  </sheetData>
  <conditionalFormatting sqref="D51:F51">
    <cfRule type="cellIs" dxfId="2" priority="1" operator="lessThan">
      <formula>0</formula>
    </cfRule>
  </conditionalFormatting>
  <conditionalFormatting sqref="D48:P48 R48:AN48">
    <cfRule type="cellIs" dxfId="1" priority="2" operator="lessThan">
      <formula>0</formula>
    </cfRule>
  </conditionalFormatting>
  <pageMargins left="0.7" right="0.7" top="0.75" bottom="0.75" header="0" footer="0"/>
  <pageSetup orientation="portrait" r:id="rId1"/>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A8CA9-6C91-452C-B804-E1BC61263472}">
  <dimension ref="A1"/>
  <sheetViews>
    <sheetView workbookViewId="0"/>
  </sheetViews>
  <sheetFormatPr baseColWidth="10" defaultColWidth="8.83203125" defaultRowHeight="15" x14ac:dyDescent="0.2"/>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B8349-28B2-4F43-857E-E5978A7DAF55}">
  <dimension ref="A1:N13"/>
  <sheetViews>
    <sheetView zoomScale="101" workbookViewId="0">
      <selection activeCell="H19" sqref="H19"/>
    </sheetView>
  </sheetViews>
  <sheetFormatPr baseColWidth="10" defaultColWidth="8.83203125" defaultRowHeight="15" x14ac:dyDescent="0.2"/>
  <cols>
    <col min="1" max="1" width="15.5" bestFit="1" customWidth="1"/>
  </cols>
  <sheetData>
    <row r="1" spans="1:14" x14ac:dyDescent="0.2">
      <c r="A1" t="s">
        <v>253</v>
      </c>
    </row>
    <row r="2" spans="1:14" x14ac:dyDescent="0.2">
      <c r="B2" t="s">
        <v>254</v>
      </c>
    </row>
    <row r="3" spans="1:14" x14ac:dyDescent="0.2">
      <c r="A3" s="19"/>
      <c r="B3" s="20" t="s">
        <v>255</v>
      </c>
      <c r="C3" s="20" t="s">
        <v>256</v>
      </c>
      <c r="D3" s="20" t="s">
        <v>257</v>
      </c>
      <c r="E3" s="20" t="s">
        <v>258</v>
      </c>
      <c r="F3" s="20" t="s">
        <v>259</v>
      </c>
      <c r="G3" s="20" t="s">
        <v>260</v>
      </c>
      <c r="H3" s="20" t="s">
        <v>261</v>
      </c>
      <c r="I3" s="20" t="s">
        <v>262</v>
      </c>
      <c r="J3" s="20" t="s">
        <v>263</v>
      </c>
      <c r="K3" s="20" t="s">
        <v>264</v>
      </c>
      <c r="L3" s="20" t="s">
        <v>265</v>
      </c>
      <c r="M3" s="20" t="s">
        <v>266</v>
      </c>
      <c r="N3" s="20" t="s">
        <v>267</v>
      </c>
    </row>
    <row r="4" spans="1:14" x14ac:dyDescent="0.2">
      <c r="B4" s="21">
        <v>45831</v>
      </c>
      <c r="C4" s="21">
        <v>45838</v>
      </c>
      <c r="D4" s="21">
        <v>45845</v>
      </c>
      <c r="E4" s="21">
        <v>45852</v>
      </c>
      <c r="F4" s="21">
        <v>45859</v>
      </c>
      <c r="G4" s="21">
        <v>45866</v>
      </c>
      <c r="H4" s="21">
        <v>45873</v>
      </c>
      <c r="I4" s="21">
        <v>45880</v>
      </c>
      <c r="J4" s="21">
        <v>45887</v>
      </c>
      <c r="K4" s="21">
        <v>45894</v>
      </c>
      <c r="L4" s="21">
        <v>45901</v>
      </c>
      <c r="M4" s="21">
        <v>45908</v>
      </c>
      <c r="N4" s="21">
        <v>45915</v>
      </c>
    </row>
    <row r="6" spans="1:14" x14ac:dyDescent="0.2">
      <c r="A6" t="s">
        <v>268</v>
      </c>
      <c r="E6">
        <v>12320</v>
      </c>
    </row>
    <row r="7" spans="1:14" x14ac:dyDescent="0.2">
      <c r="A7" t="s">
        <v>269</v>
      </c>
      <c r="B7" s="152"/>
      <c r="C7" s="152">
        <f>35498+64740+200</f>
        <v>100438</v>
      </c>
      <c r="D7" s="152">
        <v>24765</v>
      </c>
      <c r="E7">
        <f>80000-E6</f>
        <v>67680</v>
      </c>
      <c r="F7">
        <v>80000</v>
      </c>
      <c r="G7">
        <v>80000</v>
      </c>
      <c r="H7">
        <v>0</v>
      </c>
      <c r="I7">
        <f t="shared" ref="I7:N7" si="0">325000/4</f>
        <v>81250</v>
      </c>
      <c r="J7">
        <v>0</v>
      </c>
      <c r="K7">
        <v>30000</v>
      </c>
      <c r="L7">
        <v>0</v>
      </c>
      <c r="N7">
        <f t="shared" si="0"/>
        <v>81250</v>
      </c>
    </row>
    <row r="8" spans="1:14" x14ac:dyDescent="0.2">
      <c r="A8" t="s">
        <v>270</v>
      </c>
      <c r="H8">
        <v>125000</v>
      </c>
      <c r="I8">
        <f>125000-I7</f>
        <v>43750</v>
      </c>
      <c r="J8">
        <v>125000</v>
      </c>
      <c r="K8">
        <f>125000-K7</f>
        <v>95000</v>
      </c>
      <c r="L8">
        <v>125000</v>
      </c>
      <c r="M8">
        <v>125000</v>
      </c>
      <c r="N8">
        <f>125000-N7</f>
        <v>43750</v>
      </c>
    </row>
    <row r="13" spans="1:14" x14ac:dyDescent="0.2">
      <c r="A13" t="s">
        <v>271</v>
      </c>
      <c r="C13">
        <f t="shared" ref="C13:D13" si="1">SUM(C6:C12)</f>
        <v>100438</v>
      </c>
      <c r="D13">
        <f t="shared" si="1"/>
        <v>24765</v>
      </c>
      <c r="E13">
        <f>SUM(E6:E12)</f>
        <v>80000</v>
      </c>
      <c r="F13">
        <f t="shared" ref="F13:N13" si="2">SUM(F6:F12)</f>
        <v>80000</v>
      </c>
      <c r="G13">
        <f t="shared" si="2"/>
        <v>80000</v>
      </c>
      <c r="H13">
        <f t="shared" si="2"/>
        <v>125000</v>
      </c>
      <c r="I13">
        <f t="shared" si="2"/>
        <v>125000</v>
      </c>
      <c r="J13">
        <f t="shared" si="2"/>
        <v>125000</v>
      </c>
      <c r="K13">
        <f t="shared" si="2"/>
        <v>125000</v>
      </c>
      <c r="L13">
        <f t="shared" si="2"/>
        <v>125000</v>
      </c>
      <c r="M13">
        <f t="shared" si="2"/>
        <v>125000</v>
      </c>
      <c r="N13">
        <f t="shared" si="2"/>
        <v>125000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4"/>
  </sheetPr>
  <dimension ref="A1:Z1000"/>
  <sheetViews>
    <sheetView showGridLines="0" workbookViewId="0">
      <pane xSplit="3" ySplit="3" topLeftCell="D4" activePane="bottomRight" state="frozen"/>
      <selection pane="topRight" activeCell="D1" sqref="D1"/>
      <selection pane="bottomLeft" activeCell="A4" sqref="A4"/>
      <selection pane="bottomRight" activeCell="D4" sqref="D4"/>
    </sheetView>
  </sheetViews>
  <sheetFormatPr baseColWidth="10" defaultColWidth="14.5" defaultRowHeight="15" customHeight="1" x14ac:dyDescent="0.2"/>
  <cols>
    <col min="1" max="1" width="2.6640625" customWidth="1"/>
    <col min="2" max="2" width="54.6640625" customWidth="1"/>
    <col min="3" max="3" width="31.33203125" customWidth="1"/>
    <col min="4" max="4" width="16.6640625" customWidth="1"/>
    <col min="5" max="6" width="15.33203125" customWidth="1"/>
    <col min="7" max="16" width="15.83203125" customWidth="1"/>
    <col min="17" max="26" width="8.6640625" customWidth="1"/>
  </cols>
  <sheetData>
    <row r="1" spans="2:16" ht="14.25" customHeight="1" x14ac:dyDescent="0.2">
      <c r="C1" s="15"/>
      <c r="D1" s="16">
        <v>1</v>
      </c>
      <c r="E1" s="16">
        <f t="shared" ref="E1:P1" si="0">D1+1</f>
        <v>2</v>
      </c>
      <c r="F1" s="16">
        <f t="shared" si="0"/>
        <v>3</v>
      </c>
      <c r="G1" s="16">
        <f t="shared" si="0"/>
        <v>4</v>
      </c>
      <c r="H1" s="16">
        <f t="shared" si="0"/>
        <v>5</v>
      </c>
      <c r="I1" s="16">
        <f t="shared" si="0"/>
        <v>6</v>
      </c>
      <c r="J1" s="16">
        <f t="shared" si="0"/>
        <v>7</v>
      </c>
      <c r="K1" s="16">
        <f t="shared" si="0"/>
        <v>8</v>
      </c>
      <c r="L1" s="16">
        <f t="shared" si="0"/>
        <v>9</v>
      </c>
      <c r="M1" s="16">
        <f t="shared" si="0"/>
        <v>10</v>
      </c>
      <c r="N1" s="16">
        <f t="shared" si="0"/>
        <v>11</v>
      </c>
      <c r="O1" s="16">
        <f t="shared" si="0"/>
        <v>12</v>
      </c>
      <c r="P1" s="16">
        <f t="shared" si="0"/>
        <v>13</v>
      </c>
    </row>
    <row r="2" spans="2:16" ht="14.25" customHeight="1" x14ac:dyDescent="0.2">
      <c r="B2" s="114" t="s">
        <v>272</v>
      </c>
      <c r="C2" s="19" t="s">
        <v>273</v>
      </c>
      <c r="D2" s="20" t="str">
        <f t="shared" ref="D2:P2" si="1">"Week"&amp;" "&amp;D1</f>
        <v>Week 1</v>
      </c>
      <c r="E2" s="20" t="str">
        <f t="shared" si="1"/>
        <v>Week 2</v>
      </c>
      <c r="F2" s="20" t="str">
        <f t="shared" si="1"/>
        <v>Week 3</v>
      </c>
      <c r="G2" s="20" t="str">
        <f t="shared" si="1"/>
        <v>Week 4</v>
      </c>
      <c r="H2" s="20" t="str">
        <f t="shared" si="1"/>
        <v>Week 5</v>
      </c>
      <c r="I2" s="20" t="str">
        <f t="shared" si="1"/>
        <v>Week 6</v>
      </c>
      <c r="J2" s="20" t="str">
        <f t="shared" si="1"/>
        <v>Week 7</v>
      </c>
      <c r="K2" s="20" t="str">
        <f t="shared" si="1"/>
        <v>Week 8</v>
      </c>
      <c r="L2" s="20" t="str">
        <f t="shared" si="1"/>
        <v>Week 9</v>
      </c>
      <c r="M2" s="20" t="str">
        <f t="shared" si="1"/>
        <v>Week 10</v>
      </c>
      <c r="N2" s="20" t="str">
        <f t="shared" si="1"/>
        <v>Week 11</v>
      </c>
      <c r="O2" s="20" t="str">
        <f t="shared" si="1"/>
        <v>Week 12</v>
      </c>
      <c r="P2" s="20" t="str">
        <f t="shared" si="1"/>
        <v>Week 13</v>
      </c>
    </row>
    <row r="3" spans="2:16" ht="14.25" customHeight="1" x14ac:dyDescent="0.2">
      <c r="B3" s="115" t="s">
        <v>274</v>
      </c>
      <c r="C3" s="19" t="s">
        <v>218</v>
      </c>
      <c r="D3" s="21">
        <v>45383</v>
      </c>
      <c r="E3" s="21">
        <v>45390</v>
      </c>
      <c r="F3" s="21">
        <v>45397</v>
      </c>
      <c r="G3" s="21">
        <v>45404</v>
      </c>
      <c r="H3" s="21">
        <v>45411</v>
      </c>
      <c r="I3" s="21">
        <v>45418</v>
      </c>
      <c r="J3" s="21">
        <v>45425</v>
      </c>
      <c r="K3" s="21">
        <v>45432</v>
      </c>
      <c r="L3" s="21">
        <v>45439</v>
      </c>
      <c r="M3" s="21">
        <v>45446</v>
      </c>
      <c r="N3" s="21">
        <v>45453</v>
      </c>
      <c r="O3" s="21">
        <v>45460</v>
      </c>
      <c r="P3" s="21">
        <v>45467</v>
      </c>
    </row>
    <row r="4" spans="2:16" ht="14.25" customHeight="1" x14ac:dyDescent="0.2">
      <c r="B4" s="22" t="s">
        <v>2</v>
      </c>
      <c r="C4" s="209"/>
      <c r="D4" s="23"/>
      <c r="E4" s="23"/>
      <c r="F4" s="23"/>
      <c r="G4" s="23"/>
      <c r="H4" s="23"/>
      <c r="I4" s="23"/>
      <c r="J4" s="23"/>
      <c r="K4" s="23"/>
      <c r="L4" s="23"/>
      <c r="M4" s="23"/>
      <c r="N4" s="23"/>
      <c r="O4" s="23"/>
      <c r="P4" s="23"/>
    </row>
    <row r="5" spans="2:16" ht="14.25" customHeight="1" x14ac:dyDescent="0.2">
      <c r="B5" s="24" t="s">
        <v>3</v>
      </c>
      <c r="C5" s="199"/>
      <c r="D5" s="25"/>
      <c r="E5" s="25"/>
      <c r="F5" s="25"/>
      <c r="G5" s="25"/>
      <c r="H5" s="25"/>
      <c r="I5" s="25"/>
      <c r="J5" s="25"/>
      <c r="K5" s="25"/>
      <c r="L5" s="25"/>
      <c r="M5" s="25"/>
      <c r="N5" s="25"/>
      <c r="O5" s="25"/>
      <c r="P5" s="25"/>
    </row>
    <row r="6" spans="2:16" ht="14.25" customHeight="1" x14ac:dyDescent="0.2">
      <c r="B6" s="26" t="s">
        <v>4</v>
      </c>
      <c r="C6" s="15" t="s">
        <v>219</v>
      </c>
      <c r="D6" s="27"/>
      <c r="E6" s="27"/>
      <c r="F6" s="27"/>
      <c r="G6" s="27"/>
      <c r="H6" s="27"/>
      <c r="I6" s="27"/>
      <c r="J6" s="27"/>
      <c r="K6" s="27"/>
      <c r="L6" s="27"/>
      <c r="M6" s="27"/>
      <c r="N6" s="27"/>
      <c r="O6" s="27"/>
      <c r="P6" s="78"/>
    </row>
    <row r="7" spans="2:16" ht="14.25" customHeight="1" x14ac:dyDescent="0.2">
      <c r="B7" s="26" t="s">
        <v>6</v>
      </c>
      <c r="C7" s="15" t="s">
        <v>220</v>
      </c>
      <c r="D7" s="27"/>
      <c r="E7" s="27"/>
      <c r="F7" s="27"/>
      <c r="G7" s="27"/>
      <c r="H7" s="27"/>
      <c r="I7" s="27"/>
      <c r="J7" s="27"/>
      <c r="K7" s="27"/>
      <c r="L7" s="27"/>
      <c r="M7" s="27"/>
      <c r="N7" s="27"/>
      <c r="O7" s="27"/>
      <c r="P7" s="78"/>
    </row>
    <row r="8" spans="2:16" ht="14.25" customHeight="1" x14ac:dyDescent="0.2">
      <c r="B8" s="26" t="s">
        <v>8</v>
      </c>
      <c r="C8" s="15" t="s">
        <v>221</v>
      </c>
      <c r="D8" s="27"/>
      <c r="E8" s="27"/>
      <c r="F8" s="27"/>
      <c r="G8" s="27"/>
      <c r="H8" s="27"/>
      <c r="I8" s="27"/>
      <c r="J8" s="27"/>
      <c r="K8" s="27"/>
      <c r="L8" s="27"/>
      <c r="M8" s="27"/>
      <c r="N8" s="27"/>
      <c r="O8" s="27"/>
      <c r="P8" s="27"/>
    </row>
    <row r="9" spans="2:16" ht="14.25" customHeight="1" x14ac:dyDescent="0.2">
      <c r="B9" s="200" t="s">
        <v>10</v>
      </c>
      <c r="C9" s="201" t="s">
        <v>222</v>
      </c>
      <c r="D9" s="27"/>
      <c r="E9" s="27"/>
      <c r="F9" s="27"/>
      <c r="G9" s="27"/>
      <c r="H9" s="27"/>
      <c r="I9" s="27"/>
      <c r="J9" s="27"/>
      <c r="K9" s="27"/>
      <c r="L9" s="27"/>
      <c r="M9" s="27"/>
      <c r="N9" s="27"/>
      <c r="O9" s="27"/>
      <c r="P9" s="27"/>
    </row>
    <row r="10" spans="2:16" ht="14.25" customHeight="1" x14ac:dyDescent="0.2">
      <c r="B10" s="24" t="s">
        <v>12</v>
      </c>
      <c r="C10" s="15"/>
      <c r="D10" s="28">
        <f t="shared" ref="D10:P10" si="2">SUM(D6:D9)</f>
        <v>0</v>
      </c>
      <c r="E10" s="28">
        <f t="shared" si="2"/>
        <v>0</v>
      </c>
      <c r="F10" s="28">
        <f t="shared" si="2"/>
        <v>0</v>
      </c>
      <c r="G10" s="28">
        <f t="shared" si="2"/>
        <v>0</v>
      </c>
      <c r="H10" s="28">
        <f t="shared" si="2"/>
        <v>0</v>
      </c>
      <c r="I10" s="28">
        <f t="shared" si="2"/>
        <v>0</v>
      </c>
      <c r="J10" s="28">
        <f t="shared" si="2"/>
        <v>0</v>
      </c>
      <c r="K10" s="28">
        <f t="shared" si="2"/>
        <v>0</v>
      </c>
      <c r="L10" s="28">
        <f t="shared" si="2"/>
        <v>0</v>
      </c>
      <c r="M10" s="28">
        <f t="shared" si="2"/>
        <v>0</v>
      </c>
      <c r="N10" s="28">
        <f t="shared" si="2"/>
        <v>0</v>
      </c>
      <c r="O10" s="28">
        <f t="shared" si="2"/>
        <v>0</v>
      </c>
      <c r="P10" s="28">
        <f t="shared" si="2"/>
        <v>0</v>
      </c>
    </row>
    <row r="11" spans="2:16" ht="14.25" customHeight="1" x14ac:dyDescent="0.2">
      <c r="B11" s="24"/>
      <c r="C11" s="15"/>
      <c r="D11" s="27"/>
      <c r="E11" s="27"/>
      <c r="F11" s="27"/>
      <c r="G11" s="27"/>
      <c r="H11" s="27"/>
      <c r="I11" s="27"/>
      <c r="J11" s="27"/>
      <c r="K11" s="27"/>
      <c r="L11" s="27"/>
      <c r="M11" s="27"/>
      <c r="N11" s="27"/>
      <c r="O11" s="27"/>
      <c r="P11" s="27"/>
    </row>
    <row r="12" spans="2:16" ht="14.25" customHeight="1" x14ac:dyDescent="0.2">
      <c r="B12" s="22" t="s">
        <v>13</v>
      </c>
      <c r="C12" s="29"/>
      <c r="D12" s="30"/>
      <c r="E12" s="30"/>
      <c r="F12" s="30"/>
      <c r="G12" s="30"/>
      <c r="H12" s="30"/>
      <c r="I12" s="30"/>
      <c r="J12" s="30"/>
      <c r="K12" s="30"/>
      <c r="L12" s="30"/>
      <c r="M12" s="30"/>
      <c r="N12" s="30"/>
      <c r="O12" s="30"/>
      <c r="P12" s="30"/>
    </row>
    <row r="13" spans="2:16" ht="14.25" customHeight="1" x14ac:dyDescent="0.2">
      <c r="B13" s="24" t="s">
        <v>14</v>
      </c>
      <c r="C13" s="31"/>
      <c r="D13" s="27"/>
      <c r="E13" s="27"/>
      <c r="F13" s="27"/>
      <c r="G13" s="27"/>
      <c r="H13" s="27"/>
      <c r="I13" s="27"/>
      <c r="J13" s="27"/>
      <c r="K13" s="27"/>
      <c r="L13" s="27"/>
      <c r="M13" s="27"/>
      <c r="N13" s="27"/>
      <c r="O13" s="27"/>
      <c r="P13" s="27"/>
    </row>
    <row r="14" spans="2:16" ht="14.25" customHeight="1" x14ac:dyDescent="0.2">
      <c r="B14" s="26" t="s">
        <v>275</v>
      </c>
      <c r="C14" s="15" t="s">
        <v>276</v>
      </c>
      <c r="D14" s="27"/>
      <c r="E14" s="27"/>
      <c r="F14" s="27"/>
      <c r="G14" s="27"/>
      <c r="H14" s="27"/>
      <c r="I14" s="27"/>
      <c r="J14" s="27"/>
      <c r="K14" s="27"/>
      <c r="L14" s="27"/>
      <c r="M14" s="27"/>
      <c r="N14" s="27"/>
      <c r="O14" s="27"/>
      <c r="P14" s="27"/>
    </row>
    <row r="15" spans="2:16" ht="14.25" customHeight="1" x14ac:dyDescent="0.2">
      <c r="B15" s="26" t="s">
        <v>17</v>
      </c>
      <c r="C15" s="15" t="s">
        <v>277</v>
      </c>
      <c r="D15" s="27"/>
      <c r="E15" s="27"/>
      <c r="F15" s="27"/>
      <c r="G15" s="27"/>
      <c r="H15" s="27"/>
      <c r="I15" s="27"/>
      <c r="J15" s="27"/>
      <c r="K15" s="27"/>
      <c r="L15" s="27"/>
      <c r="M15" s="27"/>
      <c r="N15" s="27"/>
      <c r="O15" s="27"/>
      <c r="P15" s="27"/>
    </row>
    <row r="16" spans="2:16" ht="14.25" customHeight="1" x14ac:dyDescent="0.2">
      <c r="B16" s="26" t="s">
        <v>19</v>
      </c>
      <c r="C16" s="15" t="s">
        <v>277</v>
      </c>
      <c r="D16" s="27"/>
      <c r="E16" s="27"/>
      <c r="F16" s="27"/>
      <c r="G16" s="27"/>
      <c r="H16" s="27"/>
      <c r="I16" s="27"/>
      <c r="J16" s="27"/>
      <c r="K16" s="27"/>
      <c r="L16" s="27"/>
      <c r="M16" s="27"/>
      <c r="N16" s="27"/>
      <c r="O16" s="27"/>
      <c r="P16" s="27"/>
    </row>
    <row r="17" spans="2:17" ht="14.25" customHeight="1" x14ac:dyDescent="0.2">
      <c r="B17" s="26" t="s">
        <v>21</v>
      </c>
      <c r="C17" s="15" t="s">
        <v>278</v>
      </c>
      <c r="D17" s="27"/>
      <c r="E17" s="27"/>
      <c r="F17" s="27"/>
      <c r="G17" s="27"/>
      <c r="H17" s="27"/>
      <c r="I17" s="27"/>
      <c r="J17" s="27"/>
      <c r="K17" s="27"/>
      <c r="L17" s="27"/>
      <c r="M17" s="27"/>
      <c r="N17" s="27"/>
      <c r="O17" s="27"/>
      <c r="P17" s="27"/>
      <c r="Q17" s="1" t="s">
        <v>279</v>
      </c>
    </row>
    <row r="18" spans="2:17" ht="14.25" customHeight="1" x14ac:dyDescent="0.2">
      <c r="B18" s="26" t="s">
        <v>23</v>
      </c>
      <c r="C18" s="15" t="s">
        <v>280</v>
      </c>
      <c r="D18" s="27"/>
      <c r="E18" s="27"/>
      <c r="F18" s="27"/>
      <c r="G18" s="27"/>
      <c r="H18" s="27"/>
      <c r="I18" s="27"/>
      <c r="J18" s="27"/>
      <c r="K18" s="27"/>
      <c r="L18" s="27"/>
      <c r="M18" s="27"/>
      <c r="N18" s="27"/>
      <c r="O18" s="27"/>
      <c r="P18" s="27"/>
      <c r="Q18" s="1" t="s">
        <v>17</v>
      </c>
    </row>
    <row r="19" spans="2:17" ht="14.25" customHeight="1" x14ac:dyDescent="0.2">
      <c r="B19" s="200" t="s">
        <v>25</v>
      </c>
      <c r="C19" s="201" t="s">
        <v>222</v>
      </c>
      <c r="D19" s="202"/>
      <c r="E19" s="202"/>
      <c r="F19" s="202"/>
      <c r="G19" s="202"/>
      <c r="H19" s="202"/>
      <c r="I19" s="202"/>
      <c r="J19" s="202"/>
      <c r="K19" s="202"/>
      <c r="L19" s="202"/>
      <c r="M19" s="202"/>
      <c r="N19" s="202"/>
      <c r="O19" s="202"/>
      <c r="P19" s="202"/>
    </row>
    <row r="20" spans="2:17" ht="14.25" customHeight="1" x14ac:dyDescent="0.2">
      <c r="B20" s="24" t="s">
        <v>27</v>
      </c>
      <c r="C20" s="15"/>
      <c r="D20" s="28">
        <f t="shared" ref="D20:P20" si="3">SUM(D14:D19)</f>
        <v>0</v>
      </c>
      <c r="E20" s="28">
        <f t="shared" si="3"/>
        <v>0</v>
      </c>
      <c r="F20" s="28">
        <f t="shared" si="3"/>
        <v>0</v>
      </c>
      <c r="G20" s="28">
        <f t="shared" si="3"/>
        <v>0</v>
      </c>
      <c r="H20" s="28">
        <f t="shared" si="3"/>
        <v>0</v>
      </c>
      <c r="I20" s="28">
        <f t="shared" si="3"/>
        <v>0</v>
      </c>
      <c r="J20" s="28">
        <f t="shared" si="3"/>
        <v>0</v>
      </c>
      <c r="K20" s="28">
        <f t="shared" si="3"/>
        <v>0</v>
      </c>
      <c r="L20" s="28">
        <f t="shared" si="3"/>
        <v>0</v>
      </c>
      <c r="M20" s="28">
        <f t="shared" si="3"/>
        <v>0</v>
      </c>
      <c r="N20" s="28">
        <f t="shared" si="3"/>
        <v>0</v>
      </c>
      <c r="O20" s="28">
        <f t="shared" si="3"/>
        <v>0</v>
      </c>
      <c r="P20" s="28">
        <f t="shared" si="3"/>
        <v>0</v>
      </c>
    </row>
    <row r="21" spans="2:17" ht="14.25" customHeight="1" x14ac:dyDescent="0.2">
      <c r="B21" s="24" t="s">
        <v>28</v>
      </c>
      <c r="C21" s="15"/>
      <c r="D21" s="27"/>
      <c r="E21" s="27"/>
      <c r="F21" s="27"/>
      <c r="G21" s="27"/>
      <c r="H21" s="27"/>
      <c r="I21" s="27"/>
      <c r="J21" s="27"/>
      <c r="K21" s="27"/>
      <c r="L21" s="27"/>
      <c r="M21" s="27"/>
      <c r="N21" s="27"/>
      <c r="O21" s="27"/>
      <c r="P21" s="27"/>
    </row>
    <row r="22" spans="2:17" ht="14.25" customHeight="1" x14ac:dyDescent="0.2">
      <c r="B22" s="26" t="s">
        <v>29</v>
      </c>
      <c r="C22" s="15" t="s">
        <v>227</v>
      </c>
      <c r="D22" s="27"/>
      <c r="E22" s="27"/>
      <c r="F22" s="27"/>
      <c r="G22" s="27"/>
      <c r="H22" s="27"/>
      <c r="I22" s="27"/>
      <c r="J22" s="27"/>
      <c r="K22" s="27"/>
      <c r="L22" s="27"/>
      <c r="M22" s="27"/>
      <c r="N22" s="27"/>
      <c r="O22" s="27"/>
      <c r="P22" s="27"/>
    </row>
    <row r="23" spans="2:17" ht="14.25" customHeight="1" x14ac:dyDescent="0.2">
      <c r="B23" s="26" t="s">
        <v>31</v>
      </c>
      <c r="C23" s="15" t="s">
        <v>228</v>
      </c>
      <c r="D23" s="27"/>
      <c r="E23" s="27"/>
      <c r="F23" s="27"/>
      <c r="G23" s="27"/>
      <c r="H23" s="27"/>
      <c r="I23" s="27"/>
      <c r="J23" s="27"/>
      <c r="K23" s="27"/>
      <c r="L23" s="27"/>
      <c r="M23" s="27"/>
      <c r="N23" s="27"/>
      <c r="O23" s="27"/>
      <c r="P23" s="27"/>
    </row>
    <row r="24" spans="2:17" ht="14.25" customHeight="1" x14ac:dyDescent="0.2">
      <c r="B24" s="26" t="s">
        <v>33</v>
      </c>
      <c r="C24" s="15" t="s">
        <v>229</v>
      </c>
      <c r="D24" s="27"/>
      <c r="E24" s="27"/>
      <c r="F24" s="27"/>
      <c r="G24" s="27"/>
      <c r="H24" s="27"/>
      <c r="I24" s="27"/>
      <c r="J24" s="27"/>
      <c r="K24" s="27"/>
      <c r="L24" s="27"/>
      <c r="M24" s="27"/>
      <c r="N24" s="27"/>
      <c r="O24" s="27"/>
      <c r="P24" s="27"/>
    </row>
    <row r="25" spans="2:17" ht="14.25" customHeight="1" x14ac:dyDescent="0.2">
      <c r="B25" s="200" t="s">
        <v>35</v>
      </c>
      <c r="C25" s="201" t="s">
        <v>230</v>
      </c>
      <c r="D25" s="202"/>
      <c r="E25" s="202"/>
      <c r="F25" s="202"/>
      <c r="G25" s="202"/>
      <c r="H25" s="202"/>
      <c r="I25" s="202"/>
      <c r="J25" s="202"/>
      <c r="K25" s="202"/>
      <c r="L25" s="202"/>
      <c r="M25" s="202"/>
      <c r="N25" s="202"/>
      <c r="O25" s="202"/>
      <c r="P25" s="202"/>
    </row>
    <row r="26" spans="2:17" ht="14.25" customHeight="1" x14ac:dyDescent="0.2">
      <c r="B26" s="32" t="s">
        <v>37</v>
      </c>
      <c r="C26" s="33"/>
      <c r="D26" s="34">
        <f t="shared" ref="D26:P26" si="4">SUM(D22:D25)</f>
        <v>0</v>
      </c>
      <c r="E26" s="34">
        <f t="shared" si="4"/>
        <v>0</v>
      </c>
      <c r="F26" s="34">
        <f t="shared" si="4"/>
        <v>0</v>
      </c>
      <c r="G26" s="34">
        <f t="shared" si="4"/>
        <v>0</v>
      </c>
      <c r="H26" s="34">
        <f t="shared" si="4"/>
        <v>0</v>
      </c>
      <c r="I26" s="34">
        <f t="shared" si="4"/>
        <v>0</v>
      </c>
      <c r="J26" s="34">
        <f t="shared" si="4"/>
        <v>0</v>
      </c>
      <c r="K26" s="34">
        <f t="shared" si="4"/>
        <v>0</v>
      </c>
      <c r="L26" s="34">
        <f t="shared" si="4"/>
        <v>0</v>
      </c>
      <c r="M26" s="34">
        <f t="shared" si="4"/>
        <v>0</v>
      </c>
      <c r="N26" s="34">
        <f t="shared" si="4"/>
        <v>0</v>
      </c>
      <c r="O26" s="34">
        <f t="shared" si="4"/>
        <v>0</v>
      </c>
      <c r="P26" s="34">
        <f t="shared" si="4"/>
        <v>0</v>
      </c>
    </row>
    <row r="27" spans="2:17" ht="14.25" customHeight="1" x14ac:dyDescent="0.2">
      <c r="B27" s="24" t="s">
        <v>38</v>
      </c>
      <c r="C27" s="15"/>
      <c r="D27" s="28">
        <f t="shared" ref="D27:P27" si="5">D20+D26</f>
        <v>0</v>
      </c>
      <c r="E27" s="28">
        <f t="shared" si="5"/>
        <v>0</v>
      </c>
      <c r="F27" s="28">
        <f t="shared" si="5"/>
        <v>0</v>
      </c>
      <c r="G27" s="28">
        <f t="shared" si="5"/>
        <v>0</v>
      </c>
      <c r="H27" s="28">
        <f t="shared" si="5"/>
        <v>0</v>
      </c>
      <c r="I27" s="28">
        <f t="shared" si="5"/>
        <v>0</v>
      </c>
      <c r="J27" s="28">
        <f t="shared" si="5"/>
        <v>0</v>
      </c>
      <c r="K27" s="28">
        <f t="shared" si="5"/>
        <v>0</v>
      </c>
      <c r="L27" s="28">
        <f t="shared" si="5"/>
        <v>0</v>
      </c>
      <c r="M27" s="28">
        <f t="shared" si="5"/>
        <v>0</v>
      </c>
      <c r="N27" s="28">
        <f t="shared" si="5"/>
        <v>0</v>
      </c>
      <c r="O27" s="28">
        <f t="shared" si="5"/>
        <v>0</v>
      </c>
      <c r="P27" s="28">
        <f t="shared" si="5"/>
        <v>0</v>
      </c>
    </row>
    <row r="28" spans="2:17" ht="14.25" customHeight="1" x14ac:dyDescent="0.2">
      <c r="B28" s="24"/>
      <c r="C28" s="15"/>
      <c r="D28" s="28"/>
      <c r="E28" s="28"/>
      <c r="F28" s="28"/>
      <c r="G28" s="28"/>
      <c r="H28" s="28"/>
      <c r="I28" s="28"/>
      <c r="J28" s="28"/>
      <c r="K28" s="28"/>
      <c r="L28" s="28"/>
      <c r="M28" s="28"/>
      <c r="N28" s="28"/>
      <c r="O28" s="28"/>
      <c r="P28" s="28"/>
    </row>
    <row r="29" spans="2:17" ht="14.25" customHeight="1" x14ac:dyDescent="0.2">
      <c r="B29" s="193" t="s">
        <v>39</v>
      </c>
      <c r="C29" s="203"/>
      <c r="D29" s="204">
        <f t="shared" ref="D29:P29" si="6">D10-D27</f>
        <v>0</v>
      </c>
      <c r="E29" s="204">
        <f t="shared" si="6"/>
        <v>0</v>
      </c>
      <c r="F29" s="204">
        <f t="shared" si="6"/>
        <v>0</v>
      </c>
      <c r="G29" s="204">
        <f t="shared" si="6"/>
        <v>0</v>
      </c>
      <c r="H29" s="204">
        <f t="shared" si="6"/>
        <v>0</v>
      </c>
      <c r="I29" s="204">
        <f t="shared" si="6"/>
        <v>0</v>
      </c>
      <c r="J29" s="204">
        <f t="shared" si="6"/>
        <v>0</v>
      </c>
      <c r="K29" s="204">
        <f t="shared" si="6"/>
        <v>0</v>
      </c>
      <c r="L29" s="204">
        <f t="shared" si="6"/>
        <v>0</v>
      </c>
      <c r="M29" s="204">
        <f t="shared" si="6"/>
        <v>0</v>
      </c>
      <c r="N29" s="204">
        <f t="shared" si="6"/>
        <v>0</v>
      </c>
      <c r="O29" s="204">
        <f t="shared" si="6"/>
        <v>0</v>
      </c>
      <c r="P29" s="204">
        <f t="shared" si="6"/>
        <v>0</v>
      </c>
    </row>
    <row r="30" spans="2:17" ht="14.25" customHeight="1" x14ac:dyDescent="0.2">
      <c r="B30" s="24"/>
      <c r="C30" s="15"/>
      <c r="D30" s="28"/>
      <c r="E30" s="28"/>
      <c r="F30" s="28"/>
      <c r="G30" s="28"/>
      <c r="H30" s="28"/>
      <c r="I30" s="28"/>
      <c r="J30" s="28"/>
      <c r="K30" s="28"/>
      <c r="L30" s="28"/>
      <c r="M30" s="28"/>
      <c r="N30" s="28"/>
      <c r="O30" s="28"/>
      <c r="P30" s="28"/>
    </row>
    <row r="31" spans="2:17" ht="14.25" customHeight="1" x14ac:dyDescent="0.2">
      <c r="B31" s="35" t="s">
        <v>41</v>
      </c>
      <c r="C31" s="36"/>
      <c r="D31" s="37"/>
      <c r="E31" s="37"/>
      <c r="F31" s="37"/>
      <c r="G31" s="37"/>
      <c r="H31" s="37"/>
      <c r="I31" s="37"/>
      <c r="J31" s="37"/>
      <c r="K31" s="37"/>
      <c r="L31" s="37"/>
      <c r="M31" s="37"/>
      <c r="N31" s="37"/>
      <c r="O31" s="37"/>
      <c r="P31" s="37"/>
    </row>
    <row r="32" spans="2:17" ht="14.25" customHeight="1" x14ac:dyDescent="0.2">
      <c r="B32" s="1" t="s">
        <v>42</v>
      </c>
      <c r="C32" s="15"/>
      <c r="D32" s="38">
        <v>0</v>
      </c>
      <c r="E32" s="38">
        <v>0</v>
      </c>
      <c r="F32" s="38">
        <v>0</v>
      </c>
      <c r="G32" s="38">
        <v>0</v>
      </c>
      <c r="H32" s="38">
        <v>0</v>
      </c>
      <c r="I32" s="38">
        <v>0</v>
      </c>
      <c r="J32" s="38">
        <v>0</v>
      </c>
      <c r="K32" s="38">
        <v>0</v>
      </c>
      <c r="L32" s="38">
        <v>0</v>
      </c>
      <c r="M32" s="38">
        <v>0</v>
      </c>
      <c r="N32" s="38">
        <v>0</v>
      </c>
      <c r="O32" s="38">
        <v>0</v>
      </c>
      <c r="P32" s="38">
        <v>0</v>
      </c>
    </row>
    <row r="33" spans="1:26" ht="14.25" customHeight="1" x14ac:dyDescent="0.2">
      <c r="B33" s="206" t="s">
        <v>44</v>
      </c>
      <c r="C33" s="201"/>
      <c r="D33" s="39">
        <v>0</v>
      </c>
      <c r="E33" s="39">
        <v>0</v>
      </c>
      <c r="F33" s="39">
        <v>0</v>
      </c>
      <c r="G33" s="39">
        <v>0</v>
      </c>
      <c r="H33" s="39">
        <v>0</v>
      </c>
      <c r="I33" s="39">
        <v>0</v>
      </c>
      <c r="J33" s="39">
        <v>0</v>
      </c>
      <c r="K33" s="39">
        <v>0</v>
      </c>
      <c r="L33" s="39">
        <v>0</v>
      </c>
      <c r="M33" s="39">
        <v>0</v>
      </c>
      <c r="N33" s="39">
        <v>0</v>
      </c>
      <c r="O33" s="39">
        <v>0</v>
      </c>
      <c r="P33" s="39">
        <v>0</v>
      </c>
    </row>
    <row r="34" spans="1:26" ht="14.25" customHeight="1" x14ac:dyDescent="0.2">
      <c r="B34" s="24" t="s">
        <v>46</v>
      </c>
      <c r="C34" s="15"/>
      <c r="D34" s="28">
        <f>SUM(D32:D33)</f>
        <v>0</v>
      </c>
      <c r="E34" s="28">
        <v>0</v>
      </c>
      <c r="F34" s="28">
        <v>0</v>
      </c>
      <c r="G34" s="28">
        <v>0</v>
      </c>
      <c r="H34" s="28">
        <v>0</v>
      </c>
      <c r="I34" s="28">
        <v>0</v>
      </c>
      <c r="J34" s="28">
        <v>0</v>
      </c>
      <c r="K34" s="28">
        <v>0</v>
      </c>
      <c r="L34" s="28">
        <v>0</v>
      </c>
      <c r="M34" s="28">
        <v>0</v>
      </c>
      <c r="N34" s="28">
        <v>0</v>
      </c>
      <c r="O34" s="28">
        <v>0</v>
      </c>
      <c r="P34" s="28">
        <v>0</v>
      </c>
    </row>
    <row r="35" spans="1:26" ht="14.25" customHeight="1" x14ac:dyDescent="0.2">
      <c r="B35" s="24"/>
      <c r="C35" s="15"/>
      <c r="D35" s="28"/>
      <c r="E35" s="28"/>
      <c r="F35" s="28"/>
      <c r="G35" s="28"/>
      <c r="H35" s="28"/>
      <c r="I35" s="28"/>
      <c r="J35" s="28"/>
      <c r="K35" s="28"/>
      <c r="L35" s="28"/>
      <c r="M35" s="28"/>
      <c r="N35" s="28"/>
      <c r="O35" s="28"/>
      <c r="P35" s="28"/>
    </row>
    <row r="36" spans="1:26" ht="14.25" customHeight="1" x14ac:dyDescent="0.2">
      <c r="B36" s="35" t="s">
        <v>47</v>
      </c>
      <c r="C36" s="36"/>
      <c r="D36" s="37"/>
      <c r="E36" s="37"/>
      <c r="F36" s="37"/>
      <c r="G36" s="37"/>
      <c r="H36" s="37"/>
      <c r="I36" s="37"/>
      <c r="J36" s="37"/>
      <c r="K36" s="37"/>
      <c r="L36" s="37"/>
      <c r="M36" s="37"/>
      <c r="N36" s="37"/>
      <c r="O36" s="37"/>
      <c r="P36" s="37"/>
    </row>
    <row r="37" spans="1:26" ht="14.25" customHeight="1" x14ac:dyDescent="0.2">
      <c r="B37" s="26" t="s">
        <v>48</v>
      </c>
      <c r="C37" s="15" t="s">
        <v>231</v>
      </c>
      <c r="D37" s="40">
        <v>0</v>
      </c>
      <c r="E37" s="40"/>
      <c r="F37" s="40"/>
      <c r="G37" s="40"/>
      <c r="H37" s="40"/>
      <c r="I37" s="40"/>
      <c r="J37" s="40"/>
      <c r="K37" s="40"/>
      <c r="L37" s="40"/>
      <c r="M37" s="40"/>
      <c r="N37" s="40"/>
      <c r="O37" s="40"/>
      <c r="P37" s="40"/>
    </row>
    <row r="38" spans="1:26" ht="14.25" customHeight="1" x14ac:dyDescent="0.2">
      <c r="B38" s="26" t="s">
        <v>50</v>
      </c>
      <c r="C38" s="15" t="s">
        <v>232</v>
      </c>
      <c r="D38" s="40">
        <v>0</v>
      </c>
      <c r="E38" s="40"/>
      <c r="F38" s="40"/>
      <c r="G38" s="40"/>
      <c r="H38" s="40"/>
      <c r="I38" s="40"/>
      <c r="J38" s="40"/>
      <c r="K38" s="40"/>
      <c r="L38" s="40"/>
      <c r="M38" s="40"/>
      <c r="N38" s="40"/>
      <c r="O38" s="40"/>
      <c r="P38" s="40"/>
    </row>
    <row r="39" spans="1:26" ht="14.25" customHeight="1" x14ac:dyDescent="0.2">
      <c r="B39" s="26" t="s">
        <v>52</v>
      </c>
      <c r="C39" s="15" t="s">
        <v>233</v>
      </c>
      <c r="D39" s="40">
        <v>0</v>
      </c>
      <c r="E39" s="40">
        <v>0</v>
      </c>
      <c r="F39" s="40">
        <v>0</v>
      </c>
      <c r="G39" s="40">
        <v>0</v>
      </c>
      <c r="H39" s="40">
        <v>0</v>
      </c>
      <c r="I39" s="40">
        <v>0</v>
      </c>
      <c r="J39" s="40">
        <v>0</v>
      </c>
      <c r="K39" s="40">
        <v>0</v>
      </c>
      <c r="L39" s="40">
        <v>0</v>
      </c>
      <c r="M39" s="40">
        <v>0</v>
      </c>
      <c r="N39" s="40">
        <v>0</v>
      </c>
      <c r="O39" s="40">
        <v>0</v>
      </c>
      <c r="P39" s="40">
        <v>0</v>
      </c>
    </row>
    <row r="40" spans="1:26" ht="14.25" customHeight="1" x14ac:dyDescent="0.2">
      <c r="B40" s="24"/>
      <c r="C40" s="15"/>
      <c r="D40" s="27"/>
      <c r="E40" s="27"/>
      <c r="F40" s="27"/>
      <c r="G40" s="27"/>
      <c r="H40" s="27"/>
      <c r="I40" s="27"/>
      <c r="J40" s="27"/>
      <c r="K40" s="27"/>
      <c r="L40" s="27"/>
      <c r="M40" s="27"/>
      <c r="N40" s="27"/>
      <c r="O40" s="27"/>
      <c r="P40" s="27"/>
    </row>
    <row r="41" spans="1:26" ht="14.25" customHeight="1" x14ac:dyDescent="0.2">
      <c r="B41" s="197" t="s">
        <v>54</v>
      </c>
      <c r="C41" s="207"/>
      <c r="D41" s="208">
        <f t="shared" ref="D41:P41" si="7">D29+D34-SUM(D37:D39)</f>
        <v>0</v>
      </c>
      <c r="E41" s="208">
        <f t="shared" si="7"/>
        <v>0</v>
      </c>
      <c r="F41" s="208">
        <f t="shared" si="7"/>
        <v>0</v>
      </c>
      <c r="G41" s="208">
        <f t="shared" si="7"/>
        <v>0</v>
      </c>
      <c r="H41" s="208">
        <f t="shared" si="7"/>
        <v>0</v>
      </c>
      <c r="I41" s="208">
        <f t="shared" si="7"/>
        <v>0</v>
      </c>
      <c r="J41" s="208">
        <f t="shared" si="7"/>
        <v>0</v>
      </c>
      <c r="K41" s="208">
        <f t="shared" si="7"/>
        <v>0</v>
      </c>
      <c r="L41" s="208">
        <f t="shared" si="7"/>
        <v>0</v>
      </c>
      <c r="M41" s="208">
        <f t="shared" si="7"/>
        <v>0</v>
      </c>
      <c r="N41" s="208">
        <f t="shared" si="7"/>
        <v>0</v>
      </c>
      <c r="O41" s="208">
        <f t="shared" si="7"/>
        <v>0</v>
      </c>
      <c r="P41" s="208">
        <f t="shared" si="7"/>
        <v>0</v>
      </c>
    </row>
    <row r="42" spans="1:26" ht="14.25" customHeight="1" x14ac:dyDescent="0.2">
      <c r="B42" s="26"/>
      <c r="C42" s="15"/>
      <c r="D42" s="41"/>
      <c r="E42" s="41"/>
      <c r="F42" s="41"/>
      <c r="G42" s="41"/>
      <c r="H42" s="41"/>
      <c r="I42" s="41"/>
      <c r="J42" s="41"/>
      <c r="K42" s="41"/>
      <c r="L42" s="41"/>
      <c r="M42" s="41"/>
      <c r="N42" s="41"/>
      <c r="O42" s="41"/>
      <c r="P42" s="41"/>
    </row>
    <row r="43" spans="1:26" ht="14.25" customHeight="1" x14ac:dyDescent="0.2">
      <c r="B43" s="26" t="s">
        <v>56</v>
      </c>
      <c r="C43" s="15" t="s">
        <v>234</v>
      </c>
      <c r="D43" s="41"/>
      <c r="E43" s="41">
        <f t="shared" ref="E43:P43" si="8">D46</f>
        <v>0</v>
      </c>
      <c r="F43" s="41">
        <f t="shared" si="8"/>
        <v>0</v>
      </c>
      <c r="G43" s="41">
        <f t="shared" si="8"/>
        <v>0</v>
      </c>
      <c r="H43" s="41">
        <f t="shared" si="8"/>
        <v>0</v>
      </c>
      <c r="I43" s="41">
        <f t="shared" si="8"/>
        <v>0</v>
      </c>
      <c r="J43" s="41">
        <f t="shared" si="8"/>
        <v>0</v>
      </c>
      <c r="K43" s="41">
        <f t="shared" si="8"/>
        <v>0</v>
      </c>
      <c r="L43" s="41">
        <f t="shared" si="8"/>
        <v>0</v>
      </c>
      <c r="M43" s="41">
        <f t="shared" si="8"/>
        <v>0</v>
      </c>
      <c r="N43" s="41">
        <f t="shared" si="8"/>
        <v>0</v>
      </c>
      <c r="O43" s="41">
        <f t="shared" si="8"/>
        <v>0</v>
      </c>
      <c r="P43" s="41">
        <f t="shared" si="8"/>
        <v>0</v>
      </c>
    </row>
    <row r="44" spans="1:26" ht="14.25" customHeight="1" x14ac:dyDescent="0.2">
      <c r="B44" s="26" t="s">
        <v>58</v>
      </c>
      <c r="C44" s="15" t="s">
        <v>235</v>
      </c>
      <c r="D44" s="27">
        <v>0</v>
      </c>
      <c r="E44" s="27">
        <v>0</v>
      </c>
      <c r="F44" s="27">
        <v>0</v>
      </c>
      <c r="G44" s="27">
        <v>0</v>
      </c>
      <c r="H44" s="27">
        <v>0</v>
      </c>
      <c r="I44" s="27">
        <v>0</v>
      </c>
      <c r="J44" s="27">
        <v>0</v>
      </c>
      <c r="K44" s="27">
        <v>0</v>
      </c>
      <c r="L44" s="27">
        <v>0</v>
      </c>
      <c r="M44" s="27">
        <v>0</v>
      </c>
      <c r="N44" s="27">
        <v>0</v>
      </c>
      <c r="O44" s="27">
        <v>0</v>
      </c>
      <c r="P44" s="27">
        <v>0</v>
      </c>
    </row>
    <row r="45" spans="1:26" ht="14.25" customHeight="1" x14ac:dyDescent="0.2">
      <c r="B45" s="26"/>
      <c r="C45" s="15"/>
      <c r="D45" s="27"/>
      <c r="E45" s="27"/>
      <c r="F45" s="27"/>
      <c r="G45" s="27"/>
      <c r="H45" s="27"/>
      <c r="I45" s="27"/>
      <c r="J45" s="27"/>
      <c r="K45" s="27"/>
      <c r="L45" s="27"/>
      <c r="M45" s="27"/>
      <c r="N45" s="27"/>
      <c r="O45" s="27"/>
      <c r="P45" s="27"/>
    </row>
    <row r="46" spans="1:26" ht="14.25" customHeight="1" x14ac:dyDescent="0.2">
      <c r="A46" s="24"/>
      <c r="B46" s="193" t="s">
        <v>60</v>
      </c>
      <c r="C46" s="207"/>
      <c r="D46" s="208">
        <f t="shared" ref="D46:P46" si="9">D43+D41+D44</f>
        <v>0</v>
      </c>
      <c r="E46" s="208">
        <f t="shared" si="9"/>
        <v>0</v>
      </c>
      <c r="F46" s="208">
        <f t="shared" si="9"/>
        <v>0</v>
      </c>
      <c r="G46" s="208">
        <f t="shared" si="9"/>
        <v>0</v>
      </c>
      <c r="H46" s="208">
        <f t="shared" si="9"/>
        <v>0</v>
      </c>
      <c r="I46" s="208">
        <f t="shared" si="9"/>
        <v>0</v>
      </c>
      <c r="J46" s="208">
        <f t="shared" si="9"/>
        <v>0</v>
      </c>
      <c r="K46" s="208">
        <f t="shared" si="9"/>
        <v>0</v>
      </c>
      <c r="L46" s="208">
        <f t="shared" si="9"/>
        <v>0</v>
      </c>
      <c r="M46" s="208">
        <f t="shared" si="9"/>
        <v>0</v>
      </c>
      <c r="N46" s="208">
        <f t="shared" si="9"/>
        <v>0</v>
      </c>
      <c r="O46" s="208">
        <f t="shared" si="9"/>
        <v>0</v>
      </c>
      <c r="P46" s="208">
        <f t="shared" si="9"/>
        <v>0</v>
      </c>
      <c r="Q46" s="24"/>
      <c r="R46" s="24"/>
      <c r="S46" s="24"/>
      <c r="T46" s="24"/>
      <c r="U46" s="24"/>
      <c r="V46" s="24"/>
      <c r="W46" s="24"/>
      <c r="X46" s="24"/>
      <c r="Y46" s="24"/>
      <c r="Z46" s="24"/>
    </row>
    <row r="47" spans="1:26" ht="14.25" customHeight="1" x14ac:dyDescent="0.2">
      <c r="C47" s="15"/>
    </row>
    <row r="48" spans="1:26" ht="14.25" customHeight="1" x14ac:dyDescent="0.2">
      <c r="C48" s="15"/>
    </row>
    <row r="49" spans="3:3" ht="14.25" customHeight="1" x14ac:dyDescent="0.2">
      <c r="C49" s="15"/>
    </row>
    <row r="50" spans="3:3" ht="14.25" customHeight="1" x14ac:dyDescent="0.2">
      <c r="C50" s="15"/>
    </row>
    <row r="51" spans="3:3" ht="14.25" customHeight="1" x14ac:dyDescent="0.2">
      <c r="C51" s="15"/>
    </row>
    <row r="52" spans="3:3" ht="14.25" customHeight="1" x14ac:dyDescent="0.2">
      <c r="C52" s="15"/>
    </row>
    <row r="53" spans="3:3" ht="14.25" customHeight="1" x14ac:dyDescent="0.2">
      <c r="C53" s="15"/>
    </row>
    <row r="54" spans="3:3" ht="14.25" customHeight="1" x14ac:dyDescent="0.2">
      <c r="C54" s="15"/>
    </row>
    <row r="55" spans="3:3" ht="14.25" customHeight="1" x14ac:dyDescent="0.2">
      <c r="C55" s="15"/>
    </row>
    <row r="56" spans="3:3" ht="14.25" customHeight="1" x14ac:dyDescent="0.2">
      <c r="C56" s="15"/>
    </row>
    <row r="57" spans="3:3" ht="14.25" customHeight="1" x14ac:dyDescent="0.2">
      <c r="C57" s="15"/>
    </row>
    <row r="58" spans="3:3" ht="14.25" customHeight="1" x14ac:dyDescent="0.2">
      <c r="C58" s="15"/>
    </row>
    <row r="59" spans="3:3" ht="14.25" customHeight="1" x14ac:dyDescent="0.2">
      <c r="C59" s="15"/>
    </row>
    <row r="60" spans="3:3" ht="14.25" customHeight="1" x14ac:dyDescent="0.2">
      <c r="C60" s="15"/>
    </row>
    <row r="61" spans="3:3" ht="14.25" customHeight="1" x14ac:dyDescent="0.2">
      <c r="C61" s="15"/>
    </row>
    <row r="62" spans="3:3" ht="14.25" customHeight="1" x14ac:dyDescent="0.2">
      <c r="C62" s="15"/>
    </row>
    <row r="63" spans="3:3" ht="14.25" customHeight="1" x14ac:dyDescent="0.2">
      <c r="C63" s="15"/>
    </row>
    <row r="64" spans="3:3" ht="14.25" customHeight="1" x14ac:dyDescent="0.2">
      <c r="C64" s="15"/>
    </row>
    <row r="65" spans="3:3" ht="14.25" customHeight="1" x14ac:dyDescent="0.2">
      <c r="C65" s="15"/>
    </row>
    <row r="66" spans="3:3" ht="14.25" customHeight="1" x14ac:dyDescent="0.2">
      <c r="C66" s="15"/>
    </row>
    <row r="67" spans="3:3" ht="14.25" customHeight="1" x14ac:dyDescent="0.2">
      <c r="C67" s="15"/>
    </row>
    <row r="68" spans="3:3" ht="14.25" customHeight="1" x14ac:dyDescent="0.2">
      <c r="C68" s="15"/>
    </row>
    <row r="69" spans="3:3" ht="14.25" customHeight="1" x14ac:dyDescent="0.2">
      <c r="C69" s="15"/>
    </row>
    <row r="70" spans="3:3" ht="14.25" customHeight="1" x14ac:dyDescent="0.2">
      <c r="C70" s="15"/>
    </row>
    <row r="71" spans="3:3" ht="14.25" customHeight="1" x14ac:dyDescent="0.2">
      <c r="C71" s="15"/>
    </row>
    <row r="72" spans="3:3" ht="14.25" customHeight="1" x14ac:dyDescent="0.2">
      <c r="C72" s="15"/>
    </row>
    <row r="73" spans="3:3" ht="14.25" customHeight="1" x14ac:dyDescent="0.2">
      <c r="C73" s="15"/>
    </row>
    <row r="74" spans="3:3" ht="14.25" customHeight="1" x14ac:dyDescent="0.2">
      <c r="C74" s="15"/>
    </row>
    <row r="75" spans="3:3" ht="14.25" customHeight="1" x14ac:dyDescent="0.2">
      <c r="C75" s="15"/>
    </row>
    <row r="76" spans="3:3" ht="14.25" customHeight="1" x14ac:dyDescent="0.2">
      <c r="C76" s="15"/>
    </row>
    <row r="77" spans="3:3" ht="14.25" customHeight="1" x14ac:dyDescent="0.2">
      <c r="C77" s="15"/>
    </row>
    <row r="78" spans="3:3" ht="14.25" customHeight="1" x14ac:dyDescent="0.2">
      <c r="C78" s="15"/>
    </row>
    <row r="79" spans="3:3" ht="14.25" customHeight="1" x14ac:dyDescent="0.2">
      <c r="C79" s="15"/>
    </row>
    <row r="80" spans="3:3" ht="14.25" customHeight="1" x14ac:dyDescent="0.2">
      <c r="C80" s="15"/>
    </row>
    <row r="81" spans="3:3" ht="14.25" customHeight="1" x14ac:dyDescent="0.2">
      <c r="C81" s="15"/>
    </row>
    <row r="82" spans="3:3" ht="14.25" customHeight="1" x14ac:dyDescent="0.2">
      <c r="C82" s="15"/>
    </row>
    <row r="83" spans="3:3" ht="14.25" customHeight="1" x14ac:dyDescent="0.2">
      <c r="C83" s="15"/>
    </row>
    <row r="84" spans="3:3" ht="14.25" customHeight="1" x14ac:dyDescent="0.2">
      <c r="C84" s="15"/>
    </row>
    <row r="85" spans="3:3" ht="14.25" customHeight="1" x14ac:dyDescent="0.2">
      <c r="C85" s="15"/>
    </row>
    <row r="86" spans="3:3" ht="14.25" customHeight="1" x14ac:dyDescent="0.2">
      <c r="C86" s="15"/>
    </row>
    <row r="87" spans="3:3" ht="14.25" customHeight="1" x14ac:dyDescent="0.2">
      <c r="C87" s="15"/>
    </row>
    <row r="88" spans="3:3" ht="14.25" customHeight="1" x14ac:dyDescent="0.2">
      <c r="C88" s="15"/>
    </row>
    <row r="89" spans="3:3" ht="14.25" customHeight="1" x14ac:dyDescent="0.2">
      <c r="C89" s="15"/>
    </row>
    <row r="90" spans="3:3" ht="14.25" customHeight="1" x14ac:dyDescent="0.2">
      <c r="C90" s="15"/>
    </row>
    <row r="91" spans="3:3" ht="14.25" customHeight="1" x14ac:dyDescent="0.2">
      <c r="C91" s="15"/>
    </row>
    <row r="92" spans="3:3" ht="14.25" customHeight="1" x14ac:dyDescent="0.2">
      <c r="C92" s="15"/>
    </row>
    <row r="93" spans="3:3" ht="14.25" customHeight="1" x14ac:dyDescent="0.2">
      <c r="C93" s="15"/>
    </row>
    <row r="94" spans="3:3" ht="14.25" customHeight="1" x14ac:dyDescent="0.2">
      <c r="C94" s="15"/>
    </row>
    <row r="95" spans="3:3" ht="14.25" customHeight="1" x14ac:dyDescent="0.2">
      <c r="C95" s="15"/>
    </row>
    <row r="96" spans="3:3" ht="14.25" customHeight="1" x14ac:dyDescent="0.2">
      <c r="C96" s="15"/>
    </row>
    <row r="97" spans="3:3" ht="14.25" customHeight="1" x14ac:dyDescent="0.2">
      <c r="C97" s="15"/>
    </row>
    <row r="98" spans="3:3" ht="14.25" customHeight="1" x14ac:dyDescent="0.2">
      <c r="C98" s="15"/>
    </row>
    <row r="99" spans="3:3" ht="14.25" customHeight="1" x14ac:dyDescent="0.2">
      <c r="C99" s="15"/>
    </row>
    <row r="100" spans="3:3" ht="14.25" customHeight="1" x14ac:dyDescent="0.2">
      <c r="C100" s="15"/>
    </row>
    <row r="101" spans="3:3" ht="14.25" customHeight="1" x14ac:dyDescent="0.2">
      <c r="C101" s="15"/>
    </row>
    <row r="102" spans="3:3" ht="14.25" customHeight="1" x14ac:dyDescent="0.2">
      <c r="C102" s="15"/>
    </row>
    <row r="103" spans="3:3" ht="14.25" customHeight="1" x14ac:dyDescent="0.2">
      <c r="C103" s="15"/>
    </row>
    <row r="104" spans="3:3" ht="14.25" customHeight="1" x14ac:dyDescent="0.2">
      <c r="C104" s="15"/>
    </row>
    <row r="105" spans="3:3" ht="14.25" customHeight="1" x14ac:dyDescent="0.2">
      <c r="C105" s="15"/>
    </row>
    <row r="106" spans="3:3" ht="14.25" customHeight="1" x14ac:dyDescent="0.2">
      <c r="C106" s="15"/>
    </row>
    <row r="107" spans="3:3" ht="14.25" customHeight="1" x14ac:dyDescent="0.2">
      <c r="C107" s="15"/>
    </row>
    <row r="108" spans="3:3" ht="14.25" customHeight="1" x14ac:dyDescent="0.2">
      <c r="C108" s="15"/>
    </row>
    <row r="109" spans="3:3" ht="14.25" customHeight="1" x14ac:dyDescent="0.2">
      <c r="C109" s="15"/>
    </row>
    <row r="110" spans="3:3" ht="14.25" customHeight="1" x14ac:dyDescent="0.2">
      <c r="C110" s="15"/>
    </row>
    <row r="111" spans="3:3" ht="14.25" customHeight="1" x14ac:dyDescent="0.2">
      <c r="C111" s="15"/>
    </row>
    <row r="112" spans="3:3" ht="14.25" customHeight="1" x14ac:dyDescent="0.2">
      <c r="C112" s="15"/>
    </row>
    <row r="113" spans="3:3" ht="14.25" customHeight="1" x14ac:dyDescent="0.2">
      <c r="C113" s="15"/>
    </row>
    <row r="114" spans="3:3" ht="14.25" customHeight="1" x14ac:dyDescent="0.2">
      <c r="C114" s="15"/>
    </row>
    <row r="115" spans="3:3" ht="14.25" customHeight="1" x14ac:dyDescent="0.2">
      <c r="C115" s="15"/>
    </row>
    <row r="116" spans="3:3" ht="14.25" customHeight="1" x14ac:dyDescent="0.2">
      <c r="C116" s="15"/>
    </row>
    <row r="117" spans="3:3" ht="14.25" customHeight="1" x14ac:dyDescent="0.2">
      <c r="C117" s="15"/>
    </row>
    <row r="118" spans="3:3" ht="14.25" customHeight="1" x14ac:dyDescent="0.2">
      <c r="C118" s="15"/>
    </row>
    <row r="119" spans="3:3" ht="14.25" customHeight="1" x14ac:dyDescent="0.2">
      <c r="C119" s="15"/>
    </row>
    <row r="120" spans="3:3" ht="14.25" customHeight="1" x14ac:dyDescent="0.2">
      <c r="C120" s="15"/>
    </row>
    <row r="121" spans="3:3" ht="14.25" customHeight="1" x14ac:dyDescent="0.2">
      <c r="C121" s="15"/>
    </row>
    <row r="122" spans="3:3" ht="14.25" customHeight="1" x14ac:dyDescent="0.2">
      <c r="C122" s="15"/>
    </row>
    <row r="123" spans="3:3" ht="14.25" customHeight="1" x14ac:dyDescent="0.2">
      <c r="C123" s="15"/>
    </row>
    <row r="124" spans="3:3" ht="14.25" customHeight="1" x14ac:dyDescent="0.2">
      <c r="C124" s="15"/>
    </row>
    <row r="125" spans="3:3" ht="14.25" customHeight="1" x14ac:dyDescent="0.2">
      <c r="C125" s="15"/>
    </row>
    <row r="126" spans="3:3" ht="14.25" customHeight="1" x14ac:dyDescent="0.2">
      <c r="C126" s="15"/>
    </row>
    <row r="127" spans="3:3" ht="14.25" customHeight="1" x14ac:dyDescent="0.2">
      <c r="C127" s="15"/>
    </row>
    <row r="128" spans="3:3" ht="14.25" customHeight="1" x14ac:dyDescent="0.2">
      <c r="C128" s="15"/>
    </row>
    <row r="129" spans="3:3" ht="14.25" customHeight="1" x14ac:dyDescent="0.2">
      <c r="C129" s="15"/>
    </row>
    <row r="130" spans="3:3" ht="14.25" customHeight="1" x14ac:dyDescent="0.2">
      <c r="C130" s="15"/>
    </row>
    <row r="131" spans="3:3" ht="14.25" customHeight="1" x14ac:dyDescent="0.2">
      <c r="C131" s="15"/>
    </row>
    <row r="132" spans="3:3" ht="14.25" customHeight="1" x14ac:dyDescent="0.2">
      <c r="C132" s="15"/>
    </row>
    <row r="133" spans="3:3" ht="14.25" customHeight="1" x14ac:dyDescent="0.2">
      <c r="C133" s="15"/>
    </row>
    <row r="134" spans="3:3" ht="14.25" customHeight="1" x14ac:dyDescent="0.2">
      <c r="C134" s="15"/>
    </row>
    <row r="135" spans="3:3" ht="14.25" customHeight="1" x14ac:dyDescent="0.2">
      <c r="C135" s="15"/>
    </row>
    <row r="136" spans="3:3" ht="14.25" customHeight="1" x14ac:dyDescent="0.2">
      <c r="C136" s="15"/>
    </row>
    <row r="137" spans="3:3" ht="14.25" customHeight="1" x14ac:dyDescent="0.2">
      <c r="C137" s="15"/>
    </row>
    <row r="138" spans="3:3" ht="14.25" customHeight="1" x14ac:dyDescent="0.2">
      <c r="C138" s="15"/>
    </row>
    <row r="139" spans="3:3" ht="14.25" customHeight="1" x14ac:dyDescent="0.2">
      <c r="C139" s="15"/>
    </row>
    <row r="140" spans="3:3" ht="14.25" customHeight="1" x14ac:dyDescent="0.2">
      <c r="C140" s="15"/>
    </row>
    <row r="141" spans="3:3" ht="14.25" customHeight="1" x14ac:dyDescent="0.2">
      <c r="C141" s="15"/>
    </row>
    <row r="142" spans="3:3" ht="14.25" customHeight="1" x14ac:dyDescent="0.2">
      <c r="C142" s="15"/>
    </row>
    <row r="143" spans="3:3" ht="14.25" customHeight="1" x14ac:dyDescent="0.2">
      <c r="C143" s="15"/>
    </row>
    <row r="144" spans="3:3" ht="14.25" customHeight="1" x14ac:dyDescent="0.2">
      <c r="C144" s="15"/>
    </row>
    <row r="145" spans="3:3" ht="14.25" customHeight="1" x14ac:dyDescent="0.2">
      <c r="C145" s="15"/>
    </row>
    <row r="146" spans="3:3" ht="14.25" customHeight="1" x14ac:dyDescent="0.2">
      <c r="C146" s="15"/>
    </row>
    <row r="147" spans="3:3" ht="14.25" customHeight="1" x14ac:dyDescent="0.2">
      <c r="C147" s="15"/>
    </row>
    <row r="148" spans="3:3" ht="14.25" customHeight="1" x14ac:dyDescent="0.2">
      <c r="C148" s="15"/>
    </row>
    <row r="149" spans="3:3" ht="14.25" customHeight="1" x14ac:dyDescent="0.2">
      <c r="C149" s="15"/>
    </row>
    <row r="150" spans="3:3" ht="14.25" customHeight="1" x14ac:dyDescent="0.2">
      <c r="C150" s="15"/>
    </row>
    <row r="151" spans="3:3" ht="14.25" customHeight="1" x14ac:dyDescent="0.2">
      <c r="C151" s="15"/>
    </row>
    <row r="152" spans="3:3" ht="14.25" customHeight="1" x14ac:dyDescent="0.2">
      <c r="C152" s="15"/>
    </row>
    <row r="153" spans="3:3" ht="14.25" customHeight="1" x14ac:dyDescent="0.2">
      <c r="C153" s="15"/>
    </row>
    <row r="154" spans="3:3" ht="14.25" customHeight="1" x14ac:dyDescent="0.2">
      <c r="C154" s="15"/>
    </row>
    <row r="155" spans="3:3" ht="14.25" customHeight="1" x14ac:dyDescent="0.2">
      <c r="C155" s="15"/>
    </row>
    <row r="156" spans="3:3" ht="14.25" customHeight="1" x14ac:dyDescent="0.2">
      <c r="C156" s="15"/>
    </row>
    <row r="157" spans="3:3" ht="14.25" customHeight="1" x14ac:dyDescent="0.2">
      <c r="C157" s="15"/>
    </row>
    <row r="158" spans="3:3" ht="14.25" customHeight="1" x14ac:dyDescent="0.2">
      <c r="C158" s="15"/>
    </row>
    <row r="159" spans="3:3" ht="14.25" customHeight="1" x14ac:dyDescent="0.2">
      <c r="C159" s="15"/>
    </row>
    <row r="160" spans="3:3" ht="14.25" customHeight="1" x14ac:dyDescent="0.2">
      <c r="C160" s="15"/>
    </row>
    <row r="161" spans="3:3" ht="14.25" customHeight="1" x14ac:dyDescent="0.2">
      <c r="C161" s="15"/>
    </row>
    <row r="162" spans="3:3" ht="14.25" customHeight="1" x14ac:dyDescent="0.2">
      <c r="C162" s="15"/>
    </row>
    <row r="163" spans="3:3" ht="14.25" customHeight="1" x14ac:dyDescent="0.2">
      <c r="C163" s="15"/>
    </row>
    <row r="164" spans="3:3" ht="14.25" customHeight="1" x14ac:dyDescent="0.2">
      <c r="C164" s="15"/>
    </row>
    <row r="165" spans="3:3" ht="14.25" customHeight="1" x14ac:dyDescent="0.2">
      <c r="C165" s="15"/>
    </row>
    <row r="166" spans="3:3" ht="14.25" customHeight="1" x14ac:dyDescent="0.2">
      <c r="C166" s="15"/>
    </row>
    <row r="167" spans="3:3" ht="14.25" customHeight="1" x14ac:dyDescent="0.2">
      <c r="C167" s="15"/>
    </row>
    <row r="168" spans="3:3" ht="14.25" customHeight="1" x14ac:dyDescent="0.2">
      <c r="C168" s="15"/>
    </row>
    <row r="169" spans="3:3" ht="14.25" customHeight="1" x14ac:dyDescent="0.2">
      <c r="C169" s="15"/>
    </row>
    <row r="170" spans="3:3" ht="14.25" customHeight="1" x14ac:dyDescent="0.2">
      <c r="C170" s="15"/>
    </row>
    <row r="171" spans="3:3" ht="14.25" customHeight="1" x14ac:dyDescent="0.2">
      <c r="C171" s="15"/>
    </row>
    <row r="172" spans="3:3" ht="14.25" customHeight="1" x14ac:dyDescent="0.2">
      <c r="C172" s="15"/>
    </row>
    <row r="173" spans="3:3" ht="14.25" customHeight="1" x14ac:dyDescent="0.2">
      <c r="C173" s="15"/>
    </row>
    <row r="174" spans="3:3" ht="14.25" customHeight="1" x14ac:dyDescent="0.2">
      <c r="C174" s="15"/>
    </row>
    <row r="175" spans="3:3" ht="14.25" customHeight="1" x14ac:dyDescent="0.2">
      <c r="C175" s="15"/>
    </row>
    <row r="176" spans="3:3" ht="14.25" customHeight="1" x14ac:dyDescent="0.2">
      <c r="C176" s="15"/>
    </row>
    <row r="177" spans="3:3" ht="14.25" customHeight="1" x14ac:dyDescent="0.2">
      <c r="C177" s="15"/>
    </row>
    <row r="178" spans="3:3" ht="14.25" customHeight="1" x14ac:dyDescent="0.2">
      <c r="C178" s="15"/>
    </row>
    <row r="179" spans="3:3" ht="14.25" customHeight="1" x14ac:dyDescent="0.2">
      <c r="C179" s="15"/>
    </row>
    <row r="180" spans="3:3" ht="14.25" customHeight="1" x14ac:dyDescent="0.2">
      <c r="C180" s="15"/>
    </row>
    <row r="181" spans="3:3" ht="14.25" customHeight="1" x14ac:dyDescent="0.2">
      <c r="C181" s="15"/>
    </row>
    <row r="182" spans="3:3" ht="14.25" customHeight="1" x14ac:dyDescent="0.2">
      <c r="C182" s="15"/>
    </row>
    <row r="183" spans="3:3" ht="14.25" customHeight="1" x14ac:dyDescent="0.2">
      <c r="C183" s="15"/>
    </row>
    <row r="184" spans="3:3" ht="14.25" customHeight="1" x14ac:dyDescent="0.2">
      <c r="C184" s="15"/>
    </row>
    <row r="185" spans="3:3" ht="14.25" customHeight="1" x14ac:dyDescent="0.2">
      <c r="C185" s="15"/>
    </row>
    <row r="186" spans="3:3" ht="14.25" customHeight="1" x14ac:dyDescent="0.2">
      <c r="C186" s="15"/>
    </row>
    <row r="187" spans="3:3" ht="14.25" customHeight="1" x14ac:dyDescent="0.2">
      <c r="C187" s="15"/>
    </row>
    <row r="188" spans="3:3" ht="14.25" customHeight="1" x14ac:dyDescent="0.2">
      <c r="C188" s="15"/>
    </row>
    <row r="189" spans="3:3" ht="14.25" customHeight="1" x14ac:dyDescent="0.2">
      <c r="C189" s="15"/>
    </row>
    <row r="190" spans="3:3" ht="14.25" customHeight="1" x14ac:dyDescent="0.2">
      <c r="C190" s="15"/>
    </row>
    <row r="191" spans="3:3" ht="14.25" customHeight="1" x14ac:dyDescent="0.2">
      <c r="C191" s="15"/>
    </row>
    <row r="192" spans="3:3" ht="14.25" customHeight="1" x14ac:dyDescent="0.2">
      <c r="C192" s="15"/>
    </row>
    <row r="193" spans="3:3" ht="14.25" customHeight="1" x14ac:dyDescent="0.2">
      <c r="C193" s="15"/>
    </row>
    <row r="194" spans="3:3" ht="14.25" customHeight="1" x14ac:dyDescent="0.2">
      <c r="C194" s="15"/>
    </row>
    <row r="195" spans="3:3" ht="14.25" customHeight="1" x14ac:dyDescent="0.2">
      <c r="C195" s="15"/>
    </row>
    <row r="196" spans="3:3" ht="14.25" customHeight="1" x14ac:dyDescent="0.2">
      <c r="C196" s="15"/>
    </row>
    <row r="197" spans="3:3" ht="14.25" customHeight="1" x14ac:dyDescent="0.2">
      <c r="C197" s="15"/>
    </row>
    <row r="198" spans="3:3" ht="14.25" customHeight="1" x14ac:dyDescent="0.2">
      <c r="C198" s="15"/>
    </row>
    <row r="199" spans="3:3" ht="14.25" customHeight="1" x14ac:dyDescent="0.2">
      <c r="C199" s="15"/>
    </row>
    <row r="200" spans="3:3" ht="14.25" customHeight="1" x14ac:dyDescent="0.2">
      <c r="C200" s="15"/>
    </row>
    <row r="201" spans="3:3" ht="14.25" customHeight="1" x14ac:dyDescent="0.2">
      <c r="C201" s="15"/>
    </row>
    <row r="202" spans="3:3" ht="14.25" customHeight="1" x14ac:dyDescent="0.2">
      <c r="C202" s="15"/>
    </row>
    <row r="203" spans="3:3" ht="14.25" customHeight="1" x14ac:dyDescent="0.2">
      <c r="C203" s="15"/>
    </row>
    <row r="204" spans="3:3" ht="14.25" customHeight="1" x14ac:dyDescent="0.2">
      <c r="C204" s="15"/>
    </row>
    <row r="205" spans="3:3" ht="14.25" customHeight="1" x14ac:dyDescent="0.2">
      <c r="C205" s="15"/>
    </row>
    <row r="206" spans="3:3" ht="14.25" customHeight="1" x14ac:dyDescent="0.2">
      <c r="C206" s="15"/>
    </row>
    <row r="207" spans="3:3" ht="14.25" customHeight="1" x14ac:dyDescent="0.2">
      <c r="C207" s="15"/>
    </row>
    <row r="208" spans="3:3" ht="14.25" customHeight="1" x14ac:dyDescent="0.2">
      <c r="C208" s="15"/>
    </row>
    <row r="209" spans="3:3" ht="14.25" customHeight="1" x14ac:dyDescent="0.2">
      <c r="C209" s="15"/>
    </row>
    <row r="210" spans="3:3" ht="14.25" customHeight="1" x14ac:dyDescent="0.2">
      <c r="C210" s="15"/>
    </row>
    <row r="211" spans="3:3" ht="14.25" customHeight="1" x14ac:dyDescent="0.2">
      <c r="C211" s="15"/>
    </row>
    <row r="212" spans="3:3" ht="14.25" customHeight="1" x14ac:dyDescent="0.2">
      <c r="C212" s="15"/>
    </row>
    <row r="213" spans="3:3" ht="14.25" customHeight="1" x14ac:dyDescent="0.2">
      <c r="C213" s="15"/>
    </row>
    <row r="214" spans="3:3" ht="14.25" customHeight="1" x14ac:dyDescent="0.2">
      <c r="C214" s="15"/>
    </row>
    <row r="215" spans="3:3" ht="14.25" customHeight="1" x14ac:dyDescent="0.2">
      <c r="C215" s="15"/>
    </row>
    <row r="216" spans="3:3" ht="14.25" customHeight="1" x14ac:dyDescent="0.2">
      <c r="C216" s="15"/>
    </row>
    <row r="217" spans="3:3" ht="14.25" customHeight="1" x14ac:dyDescent="0.2">
      <c r="C217" s="15"/>
    </row>
    <row r="218" spans="3:3" ht="14.25" customHeight="1" x14ac:dyDescent="0.2">
      <c r="C218" s="15"/>
    </row>
    <row r="219" spans="3:3" ht="14.25" customHeight="1" x14ac:dyDescent="0.2">
      <c r="C219" s="15"/>
    </row>
    <row r="220" spans="3:3" ht="14.25" customHeight="1" x14ac:dyDescent="0.2">
      <c r="C220" s="15"/>
    </row>
    <row r="221" spans="3:3" ht="14.25" customHeight="1" x14ac:dyDescent="0.2">
      <c r="C221" s="15"/>
    </row>
    <row r="222" spans="3:3" ht="14.25" customHeight="1" x14ac:dyDescent="0.2">
      <c r="C222" s="15"/>
    </row>
    <row r="223" spans="3:3" ht="14.25" customHeight="1" x14ac:dyDescent="0.2">
      <c r="C223" s="15"/>
    </row>
    <row r="224" spans="3:3" ht="14.25" customHeight="1" x14ac:dyDescent="0.2">
      <c r="C224" s="15"/>
    </row>
    <row r="225" spans="3:3" ht="14.25" customHeight="1" x14ac:dyDescent="0.2">
      <c r="C225" s="15"/>
    </row>
    <row r="226" spans="3:3" ht="14.25" customHeight="1" x14ac:dyDescent="0.2">
      <c r="C226" s="15"/>
    </row>
    <row r="227" spans="3:3" ht="14.25" customHeight="1" x14ac:dyDescent="0.2">
      <c r="C227" s="15"/>
    </row>
    <row r="228" spans="3:3" ht="14.25" customHeight="1" x14ac:dyDescent="0.2">
      <c r="C228" s="15"/>
    </row>
    <row r="229" spans="3:3" ht="14.25" customHeight="1" x14ac:dyDescent="0.2">
      <c r="C229" s="15"/>
    </row>
    <row r="230" spans="3:3" ht="14.25" customHeight="1" x14ac:dyDescent="0.2">
      <c r="C230" s="15"/>
    </row>
    <row r="231" spans="3:3" ht="14.25" customHeight="1" x14ac:dyDescent="0.2">
      <c r="C231" s="15"/>
    </row>
    <row r="232" spans="3:3" ht="14.25" customHeight="1" x14ac:dyDescent="0.2">
      <c r="C232" s="15"/>
    </row>
    <row r="233" spans="3:3" ht="14.25" customHeight="1" x14ac:dyDescent="0.2">
      <c r="C233" s="15"/>
    </row>
    <row r="234" spans="3:3" ht="14.25" customHeight="1" x14ac:dyDescent="0.2">
      <c r="C234" s="15"/>
    </row>
    <row r="235" spans="3:3" ht="14.25" customHeight="1" x14ac:dyDescent="0.2">
      <c r="C235" s="15"/>
    </row>
    <row r="236" spans="3:3" ht="14.25" customHeight="1" x14ac:dyDescent="0.2">
      <c r="C236" s="15"/>
    </row>
    <row r="237" spans="3:3" ht="14.25" customHeight="1" x14ac:dyDescent="0.2">
      <c r="C237" s="15"/>
    </row>
    <row r="238" spans="3:3" ht="14.25" customHeight="1" x14ac:dyDescent="0.2">
      <c r="C238" s="15"/>
    </row>
    <row r="239" spans="3:3" ht="14.25" customHeight="1" x14ac:dyDescent="0.2">
      <c r="C239" s="15"/>
    </row>
    <row r="240" spans="3:3" ht="14.25" customHeight="1" x14ac:dyDescent="0.2">
      <c r="C240" s="15"/>
    </row>
    <row r="241" spans="3:3" ht="14.25" customHeight="1" x14ac:dyDescent="0.2">
      <c r="C241" s="15"/>
    </row>
    <row r="242" spans="3:3" ht="14.25" customHeight="1" x14ac:dyDescent="0.2">
      <c r="C242" s="15"/>
    </row>
    <row r="243" spans="3:3" ht="14.25" customHeight="1" x14ac:dyDescent="0.2">
      <c r="C243" s="15"/>
    </row>
    <row r="244" spans="3:3" ht="14.25" customHeight="1" x14ac:dyDescent="0.2">
      <c r="C244" s="15"/>
    </row>
    <row r="245" spans="3:3" ht="14.25" customHeight="1" x14ac:dyDescent="0.2">
      <c r="C245" s="15"/>
    </row>
    <row r="246" spans="3:3" ht="14.25" customHeight="1" x14ac:dyDescent="0.2">
      <c r="C246" s="15"/>
    </row>
    <row r="247" spans="3:3" ht="14.25" customHeight="1" x14ac:dyDescent="0.2">
      <c r="C247" s="15"/>
    </row>
    <row r="248" spans="3:3" ht="14.25" customHeight="1" x14ac:dyDescent="0.2">
      <c r="C248" s="15"/>
    </row>
    <row r="249" spans="3:3" ht="14.25" customHeight="1" x14ac:dyDescent="0.2">
      <c r="C249" s="15"/>
    </row>
    <row r="250" spans="3:3" ht="14.25" customHeight="1" x14ac:dyDescent="0.2">
      <c r="C250" s="15"/>
    </row>
    <row r="251" spans="3:3" ht="14.25" customHeight="1" x14ac:dyDescent="0.2">
      <c r="C251" s="15"/>
    </row>
    <row r="252" spans="3:3" ht="14.25" customHeight="1" x14ac:dyDescent="0.2">
      <c r="C252" s="15"/>
    </row>
    <row r="253" spans="3:3" ht="14.25" customHeight="1" x14ac:dyDescent="0.2">
      <c r="C253" s="15"/>
    </row>
    <row r="254" spans="3:3" ht="14.25" customHeight="1" x14ac:dyDescent="0.2">
      <c r="C254" s="15"/>
    </row>
    <row r="255" spans="3:3" ht="14.25" customHeight="1" x14ac:dyDescent="0.2">
      <c r="C255" s="15"/>
    </row>
    <row r="256" spans="3:3" ht="14.25" customHeight="1" x14ac:dyDescent="0.2">
      <c r="C256" s="15"/>
    </row>
    <row r="257" spans="3:3" ht="14.25" customHeight="1" x14ac:dyDescent="0.2">
      <c r="C257" s="15"/>
    </row>
    <row r="258" spans="3:3" ht="14.25" customHeight="1" x14ac:dyDescent="0.2">
      <c r="C258" s="15"/>
    </row>
    <row r="259" spans="3:3" ht="14.25" customHeight="1" x14ac:dyDescent="0.2">
      <c r="C259" s="15"/>
    </row>
    <row r="260" spans="3:3" ht="14.25" customHeight="1" x14ac:dyDescent="0.2">
      <c r="C260" s="15"/>
    </row>
    <row r="261" spans="3:3" ht="14.25" customHeight="1" x14ac:dyDescent="0.2">
      <c r="C261" s="15"/>
    </row>
    <row r="262" spans="3:3" ht="14.25" customHeight="1" x14ac:dyDescent="0.2">
      <c r="C262" s="15"/>
    </row>
    <row r="263" spans="3:3" ht="14.25" customHeight="1" x14ac:dyDescent="0.2">
      <c r="C263" s="15"/>
    </row>
    <row r="264" spans="3:3" ht="14.25" customHeight="1" x14ac:dyDescent="0.2">
      <c r="C264" s="15"/>
    </row>
    <row r="265" spans="3:3" ht="14.25" customHeight="1" x14ac:dyDescent="0.2">
      <c r="C265" s="15"/>
    </row>
    <row r="266" spans="3:3" ht="14.25" customHeight="1" x14ac:dyDescent="0.2">
      <c r="C266" s="15"/>
    </row>
    <row r="267" spans="3:3" ht="14.25" customHeight="1" x14ac:dyDescent="0.2">
      <c r="C267" s="15"/>
    </row>
    <row r="268" spans="3:3" ht="14.25" customHeight="1" x14ac:dyDescent="0.2">
      <c r="C268" s="15"/>
    </row>
    <row r="269" spans="3:3" ht="14.25" customHeight="1" x14ac:dyDescent="0.2">
      <c r="C269" s="15"/>
    </row>
    <row r="270" spans="3:3" ht="14.25" customHeight="1" x14ac:dyDescent="0.2">
      <c r="C270" s="15"/>
    </row>
    <row r="271" spans="3:3" ht="14.25" customHeight="1" x14ac:dyDescent="0.2">
      <c r="C271" s="15"/>
    </row>
    <row r="272" spans="3:3" ht="14.25" customHeight="1" x14ac:dyDescent="0.2">
      <c r="C272" s="15"/>
    </row>
    <row r="273" spans="3:3" ht="14.25" customHeight="1" x14ac:dyDescent="0.2">
      <c r="C273" s="15"/>
    </row>
    <row r="274" spans="3:3" ht="14.25" customHeight="1" x14ac:dyDescent="0.2">
      <c r="C274" s="15"/>
    </row>
    <row r="275" spans="3:3" ht="14.25" customHeight="1" x14ac:dyDescent="0.2">
      <c r="C275" s="15"/>
    </row>
    <row r="276" spans="3:3" ht="14.25" customHeight="1" x14ac:dyDescent="0.2">
      <c r="C276" s="15"/>
    </row>
    <row r="277" spans="3:3" ht="14.25" customHeight="1" x14ac:dyDescent="0.2">
      <c r="C277" s="15"/>
    </row>
    <row r="278" spans="3:3" ht="14.25" customHeight="1" x14ac:dyDescent="0.2">
      <c r="C278" s="15"/>
    </row>
    <row r="279" spans="3:3" ht="14.25" customHeight="1" x14ac:dyDescent="0.2">
      <c r="C279" s="15"/>
    </row>
    <row r="280" spans="3:3" ht="14.25" customHeight="1" x14ac:dyDescent="0.2">
      <c r="C280" s="15"/>
    </row>
    <row r="281" spans="3:3" ht="14.25" customHeight="1" x14ac:dyDescent="0.2">
      <c r="C281" s="15"/>
    </row>
    <row r="282" spans="3:3" ht="14.25" customHeight="1" x14ac:dyDescent="0.2">
      <c r="C282" s="15"/>
    </row>
    <row r="283" spans="3:3" ht="14.25" customHeight="1" x14ac:dyDescent="0.2">
      <c r="C283" s="15"/>
    </row>
    <row r="284" spans="3:3" ht="14.25" customHeight="1" x14ac:dyDescent="0.2">
      <c r="C284" s="15"/>
    </row>
    <row r="285" spans="3:3" ht="14.25" customHeight="1" x14ac:dyDescent="0.2">
      <c r="C285" s="15"/>
    </row>
    <row r="286" spans="3:3" ht="14.25" customHeight="1" x14ac:dyDescent="0.2">
      <c r="C286" s="15"/>
    </row>
    <row r="287" spans="3:3" ht="14.25" customHeight="1" x14ac:dyDescent="0.2">
      <c r="C287" s="15"/>
    </row>
    <row r="288" spans="3:3" ht="14.25" customHeight="1" x14ac:dyDescent="0.2">
      <c r="C288" s="15"/>
    </row>
    <row r="289" spans="3:3" ht="14.25" customHeight="1" x14ac:dyDescent="0.2">
      <c r="C289" s="15"/>
    </row>
    <row r="290" spans="3:3" ht="14.25" customHeight="1" x14ac:dyDescent="0.2">
      <c r="C290" s="15"/>
    </row>
    <row r="291" spans="3:3" ht="14.25" customHeight="1" x14ac:dyDescent="0.2">
      <c r="C291" s="15"/>
    </row>
    <row r="292" spans="3:3" ht="14.25" customHeight="1" x14ac:dyDescent="0.2">
      <c r="C292" s="15"/>
    </row>
    <row r="293" spans="3:3" ht="14.25" customHeight="1" x14ac:dyDescent="0.2">
      <c r="C293" s="15"/>
    </row>
    <row r="294" spans="3:3" ht="14.25" customHeight="1" x14ac:dyDescent="0.2">
      <c r="C294" s="15"/>
    </row>
    <row r="295" spans="3:3" ht="14.25" customHeight="1" x14ac:dyDescent="0.2">
      <c r="C295" s="15"/>
    </row>
    <row r="296" spans="3:3" ht="14.25" customHeight="1" x14ac:dyDescent="0.2">
      <c r="C296" s="15"/>
    </row>
    <row r="297" spans="3:3" ht="14.25" customHeight="1" x14ac:dyDescent="0.2">
      <c r="C297" s="15"/>
    </row>
    <row r="298" spans="3:3" ht="14.25" customHeight="1" x14ac:dyDescent="0.2">
      <c r="C298" s="15"/>
    </row>
    <row r="299" spans="3:3" ht="14.25" customHeight="1" x14ac:dyDescent="0.2">
      <c r="C299" s="15"/>
    </row>
    <row r="300" spans="3:3" ht="14.25" customHeight="1" x14ac:dyDescent="0.2">
      <c r="C300" s="15"/>
    </row>
    <row r="301" spans="3:3" ht="14.25" customHeight="1" x14ac:dyDescent="0.2">
      <c r="C301" s="15"/>
    </row>
    <row r="302" spans="3:3" ht="14.25" customHeight="1" x14ac:dyDescent="0.2">
      <c r="C302" s="15"/>
    </row>
    <row r="303" spans="3:3" ht="14.25" customHeight="1" x14ac:dyDescent="0.2">
      <c r="C303" s="15"/>
    </row>
    <row r="304" spans="3:3" ht="14.25" customHeight="1" x14ac:dyDescent="0.2">
      <c r="C304" s="15"/>
    </row>
    <row r="305" spans="3:3" ht="14.25" customHeight="1" x14ac:dyDescent="0.2">
      <c r="C305" s="15"/>
    </row>
    <row r="306" spans="3:3" ht="14.25" customHeight="1" x14ac:dyDescent="0.2">
      <c r="C306" s="15"/>
    </row>
    <row r="307" spans="3:3" ht="14.25" customHeight="1" x14ac:dyDescent="0.2">
      <c r="C307" s="15"/>
    </row>
    <row r="308" spans="3:3" ht="14.25" customHeight="1" x14ac:dyDescent="0.2">
      <c r="C308" s="15"/>
    </row>
    <row r="309" spans="3:3" ht="14.25" customHeight="1" x14ac:dyDescent="0.2">
      <c r="C309" s="15"/>
    </row>
    <row r="310" spans="3:3" ht="14.25" customHeight="1" x14ac:dyDescent="0.2">
      <c r="C310" s="15"/>
    </row>
    <row r="311" spans="3:3" ht="14.25" customHeight="1" x14ac:dyDescent="0.2">
      <c r="C311" s="15"/>
    </row>
    <row r="312" spans="3:3" ht="14.25" customHeight="1" x14ac:dyDescent="0.2">
      <c r="C312" s="15"/>
    </row>
    <row r="313" spans="3:3" ht="14.25" customHeight="1" x14ac:dyDescent="0.2">
      <c r="C313" s="15"/>
    </row>
    <row r="314" spans="3:3" ht="14.25" customHeight="1" x14ac:dyDescent="0.2">
      <c r="C314" s="15"/>
    </row>
    <row r="315" spans="3:3" ht="14.25" customHeight="1" x14ac:dyDescent="0.2">
      <c r="C315" s="15"/>
    </row>
    <row r="316" spans="3:3" ht="14.25" customHeight="1" x14ac:dyDescent="0.2">
      <c r="C316" s="15"/>
    </row>
    <row r="317" spans="3:3" ht="14.25" customHeight="1" x14ac:dyDescent="0.2">
      <c r="C317" s="15"/>
    </row>
    <row r="318" spans="3:3" ht="14.25" customHeight="1" x14ac:dyDescent="0.2">
      <c r="C318" s="15"/>
    </row>
    <row r="319" spans="3:3" ht="14.25" customHeight="1" x14ac:dyDescent="0.2">
      <c r="C319" s="15"/>
    </row>
    <row r="320" spans="3:3" ht="14.25" customHeight="1" x14ac:dyDescent="0.2">
      <c r="C320" s="15"/>
    </row>
    <row r="321" spans="3:3" ht="14.25" customHeight="1" x14ac:dyDescent="0.2">
      <c r="C321" s="15"/>
    </row>
    <row r="322" spans="3:3" ht="14.25" customHeight="1" x14ac:dyDescent="0.2">
      <c r="C322" s="15"/>
    </row>
    <row r="323" spans="3:3" ht="14.25" customHeight="1" x14ac:dyDescent="0.2">
      <c r="C323" s="15"/>
    </row>
    <row r="324" spans="3:3" ht="14.25" customHeight="1" x14ac:dyDescent="0.2">
      <c r="C324" s="15"/>
    </row>
    <row r="325" spans="3:3" ht="14.25" customHeight="1" x14ac:dyDescent="0.2">
      <c r="C325" s="15"/>
    </row>
    <row r="326" spans="3:3" ht="14.25" customHeight="1" x14ac:dyDescent="0.2">
      <c r="C326" s="15"/>
    </row>
    <row r="327" spans="3:3" ht="14.25" customHeight="1" x14ac:dyDescent="0.2">
      <c r="C327" s="15"/>
    </row>
    <row r="328" spans="3:3" ht="14.25" customHeight="1" x14ac:dyDescent="0.2">
      <c r="C328" s="15"/>
    </row>
    <row r="329" spans="3:3" ht="14.25" customHeight="1" x14ac:dyDescent="0.2">
      <c r="C329" s="15"/>
    </row>
    <row r="330" spans="3:3" ht="14.25" customHeight="1" x14ac:dyDescent="0.2">
      <c r="C330" s="15"/>
    </row>
    <row r="331" spans="3:3" ht="14.25" customHeight="1" x14ac:dyDescent="0.2">
      <c r="C331" s="15"/>
    </row>
    <row r="332" spans="3:3" ht="14.25" customHeight="1" x14ac:dyDescent="0.2">
      <c r="C332" s="15"/>
    </row>
    <row r="333" spans="3:3" ht="14.25" customHeight="1" x14ac:dyDescent="0.2">
      <c r="C333" s="15"/>
    </row>
    <row r="334" spans="3:3" ht="14.25" customHeight="1" x14ac:dyDescent="0.2">
      <c r="C334" s="15"/>
    </row>
    <row r="335" spans="3:3" ht="14.25" customHeight="1" x14ac:dyDescent="0.2">
      <c r="C335" s="15"/>
    </row>
    <row r="336" spans="3:3" ht="14.25" customHeight="1" x14ac:dyDescent="0.2">
      <c r="C336" s="15"/>
    </row>
    <row r="337" spans="3:3" ht="14.25" customHeight="1" x14ac:dyDescent="0.2">
      <c r="C337" s="15"/>
    </row>
    <row r="338" spans="3:3" ht="14.25" customHeight="1" x14ac:dyDescent="0.2">
      <c r="C338" s="15"/>
    </row>
    <row r="339" spans="3:3" ht="14.25" customHeight="1" x14ac:dyDescent="0.2">
      <c r="C339" s="15"/>
    </row>
    <row r="340" spans="3:3" ht="14.25" customHeight="1" x14ac:dyDescent="0.2">
      <c r="C340" s="15"/>
    </row>
    <row r="341" spans="3:3" ht="14.25" customHeight="1" x14ac:dyDescent="0.2">
      <c r="C341" s="15"/>
    </row>
    <row r="342" spans="3:3" ht="14.25" customHeight="1" x14ac:dyDescent="0.2">
      <c r="C342" s="15"/>
    </row>
    <row r="343" spans="3:3" ht="14.25" customHeight="1" x14ac:dyDescent="0.2">
      <c r="C343" s="15"/>
    </row>
    <row r="344" spans="3:3" ht="14.25" customHeight="1" x14ac:dyDescent="0.2">
      <c r="C344" s="15"/>
    </row>
    <row r="345" spans="3:3" ht="14.25" customHeight="1" x14ac:dyDescent="0.2">
      <c r="C345" s="15"/>
    </row>
    <row r="346" spans="3:3" ht="14.25" customHeight="1" x14ac:dyDescent="0.2">
      <c r="C346" s="15"/>
    </row>
    <row r="347" spans="3:3" ht="14.25" customHeight="1" x14ac:dyDescent="0.2">
      <c r="C347" s="15"/>
    </row>
    <row r="348" spans="3:3" ht="14.25" customHeight="1" x14ac:dyDescent="0.2">
      <c r="C348" s="15"/>
    </row>
    <row r="349" spans="3:3" ht="14.25" customHeight="1" x14ac:dyDescent="0.2">
      <c r="C349" s="15"/>
    </row>
    <row r="350" spans="3:3" ht="14.25" customHeight="1" x14ac:dyDescent="0.2">
      <c r="C350" s="15"/>
    </row>
    <row r="351" spans="3:3" ht="14.25" customHeight="1" x14ac:dyDescent="0.2">
      <c r="C351" s="15"/>
    </row>
    <row r="352" spans="3:3" ht="14.25" customHeight="1" x14ac:dyDescent="0.2">
      <c r="C352" s="15"/>
    </row>
    <row r="353" spans="3:3" ht="14.25" customHeight="1" x14ac:dyDescent="0.2">
      <c r="C353" s="15"/>
    </row>
    <row r="354" spans="3:3" ht="14.25" customHeight="1" x14ac:dyDescent="0.2">
      <c r="C354" s="15"/>
    </row>
    <row r="355" spans="3:3" ht="14.25" customHeight="1" x14ac:dyDescent="0.2">
      <c r="C355" s="15"/>
    </row>
    <row r="356" spans="3:3" ht="14.25" customHeight="1" x14ac:dyDescent="0.2">
      <c r="C356" s="15"/>
    </row>
    <row r="357" spans="3:3" ht="14.25" customHeight="1" x14ac:dyDescent="0.2">
      <c r="C357" s="15"/>
    </row>
    <row r="358" spans="3:3" ht="14.25" customHeight="1" x14ac:dyDescent="0.2">
      <c r="C358" s="15"/>
    </row>
    <row r="359" spans="3:3" ht="14.25" customHeight="1" x14ac:dyDescent="0.2">
      <c r="C359" s="15"/>
    </row>
    <row r="360" spans="3:3" ht="14.25" customHeight="1" x14ac:dyDescent="0.2">
      <c r="C360" s="15"/>
    </row>
    <row r="361" spans="3:3" ht="14.25" customHeight="1" x14ac:dyDescent="0.2">
      <c r="C361" s="15"/>
    </row>
    <row r="362" spans="3:3" ht="14.25" customHeight="1" x14ac:dyDescent="0.2">
      <c r="C362" s="15"/>
    </row>
    <row r="363" spans="3:3" ht="14.25" customHeight="1" x14ac:dyDescent="0.2">
      <c r="C363" s="15"/>
    </row>
    <row r="364" spans="3:3" ht="14.25" customHeight="1" x14ac:dyDescent="0.2">
      <c r="C364" s="15"/>
    </row>
    <row r="365" spans="3:3" ht="14.25" customHeight="1" x14ac:dyDescent="0.2">
      <c r="C365" s="15"/>
    </row>
    <row r="366" spans="3:3" ht="14.25" customHeight="1" x14ac:dyDescent="0.2">
      <c r="C366" s="15"/>
    </row>
    <row r="367" spans="3:3" ht="14.25" customHeight="1" x14ac:dyDescent="0.2">
      <c r="C367" s="15"/>
    </row>
    <row r="368" spans="3:3" ht="14.25" customHeight="1" x14ac:dyDescent="0.2">
      <c r="C368" s="15"/>
    </row>
    <row r="369" spans="3:3" ht="14.25" customHeight="1" x14ac:dyDescent="0.2">
      <c r="C369" s="15"/>
    </row>
    <row r="370" spans="3:3" ht="14.25" customHeight="1" x14ac:dyDescent="0.2">
      <c r="C370" s="15"/>
    </row>
    <row r="371" spans="3:3" ht="14.25" customHeight="1" x14ac:dyDescent="0.2">
      <c r="C371" s="15"/>
    </row>
    <row r="372" spans="3:3" ht="14.25" customHeight="1" x14ac:dyDescent="0.2">
      <c r="C372" s="15"/>
    </row>
    <row r="373" spans="3:3" ht="14.25" customHeight="1" x14ac:dyDescent="0.2">
      <c r="C373" s="15"/>
    </row>
    <row r="374" spans="3:3" ht="14.25" customHeight="1" x14ac:dyDescent="0.2">
      <c r="C374" s="15"/>
    </row>
    <row r="375" spans="3:3" ht="14.25" customHeight="1" x14ac:dyDescent="0.2">
      <c r="C375" s="15"/>
    </row>
    <row r="376" spans="3:3" ht="14.25" customHeight="1" x14ac:dyDescent="0.2">
      <c r="C376" s="15"/>
    </row>
    <row r="377" spans="3:3" ht="14.25" customHeight="1" x14ac:dyDescent="0.2">
      <c r="C377" s="15"/>
    </row>
    <row r="378" spans="3:3" ht="14.25" customHeight="1" x14ac:dyDescent="0.2">
      <c r="C378" s="15"/>
    </row>
    <row r="379" spans="3:3" ht="14.25" customHeight="1" x14ac:dyDescent="0.2">
      <c r="C379" s="15"/>
    </row>
    <row r="380" spans="3:3" ht="14.25" customHeight="1" x14ac:dyDescent="0.2">
      <c r="C380" s="15"/>
    </row>
    <row r="381" spans="3:3" ht="14.25" customHeight="1" x14ac:dyDescent="0.2">
      <c r="C381" s="15"/>
    </row>
    <row r="382" spans="3:3" ht="14.25" customHeight="1" x14ac:dyDescent="0.2">
      <c r="C382" s="15"/>
    </row>
    <row r="383" spans="3:3" ht="14.25" customHeight="1" x14ac:dyDescent="0.2">
      <c r="C383" s="15"/>
    </row>
    <row r="384" spans="3:3" ht="14.25" customHeight="1" x14ac:dyDescent="0.2">
      <c r="C384" s="15"/>
    </row>
    <row r="385" spans="3:3" ht="14.25" customHeight="1" x14ac:dyDescent="0.2">
      <c r="C385" s="15"/>
    </row>
    <row r="386" spans="3:3" ht="14.25" customHeight="1" x14ac:dyDescent="0.2">
      <c r="C386" s="15"/>
    </row>
    <row r="387" spans="3:3" ht="14.25" customHeight="1" x14ac:dyDescent="0.2">
      <c r="C387" s="15"/>
    </row>
    <row r="388" spans="3:3" ht="14.25" customHeight="1" x14ac:dyDescent="0.2">
      <c r="C388" s="15"/>
    </row>
    <row r="389" spans="3:3" ht="14.25" customHeight="1" x14ac:dyDescent="0.2">
      <c r="C389" s="15"/>
    </row>
    <row r="390" spans="3:3" ht="14.25" customHeight="1" x14ac:dyDescent="0.2">
      <c r="C390" s="15"/>
    </row>
    <row r="391" spans="3:3" ht="14.25" customHeight="1" x14ac:dyDescent="0.2">
      <c r="C391" s="15"/>
    </row>
    <row r="392" spans="3:3" ht="14.25" customHeight="1" x14ac:dyDescent="0.2">
      <c r="C392" s="15"/>
    </row>
    <row r="393" spans="3:3" ht="14.25" customHeight="1" x14ac:dyDescent="0.2">
      <c r="C393" s="15"/>
    </row>
    <row r="394" spans="3:3" ht="14.25" customHeight="1" x14ac:dyDescent="0.2">
      <c r="C394" s="15"/>
    </row>
    <row r="395" spans="3:3" ht="14.25" customHeight="1" x14ac:dyDescent="0.2">
      <c r="C395" s="15"/>
    </row>
    <row r="396" spans="3:3" ht="14.25" customHeight="1" x14ac:dyDescent="0.2">
      <c r="C396" s="15"/>
    </row>
    <row r="397" spans="3:3" ht="14.25" customHeight="1" x14ac:dyDescent="0.2">
      <c r="C397" s="15"/>
    </row>
    <row r="398" spans="3:3" ht="14.25" customHeight="1" x14ac:dyDescent="0.2">
      <c r="C398" s="15"/>
    </row>
    <row r="399" spans="3:3" ht="14.25" customHeight="1" x14ac:dyDescent="0.2">
      <c r="C399" s="15"/>
    </row>
    <row r="400" spans="3:3" ht="14.25" customHeight="1" x14ac:dyDescent="0.2">
      <c r="C400" s="15"/>
    </row>
    <row r="401" spans="3:3" ht="14.25" customHeight="1" x14ac:dyDescent="0.2">
      <c r="C401" s="15"/>
    </row>
    <row r="402" spans="3:3" ht="14.25" customHeight="1" x14ac:dyDescent="0.2">
      <c r="C402" s="15"/>
    </row>
    <row r="403" spans="3:3" ht="14.25" customHeight="1" x14ac:dyDescent="0.2">
      <c r="C403" s="15"/>
    </row>
    <row r="404" spans="3:3" ht="14.25" customHeight="1" x14ac:dyDescent="0.2">
      <c r="C404" s="15"/>
    </row>
    <row r="405" spans="3:3" ht="14.25" customHeight="1" x14ac:dyDescent="0.2">
      <c r="C405" s="15"/>
    </row>
    <row r="406" spans="3:3" ht="14.25" customHeight="1" x14ac:dyDescent="0.2">
      <c r="C406" s="15"/>
    </row>
    <row r="407" spans="3:3" ht="14.25" customHeight="1" x14ac:dyDescent="0.2">
      <c r="C407" s="15"/>
    </row>
    <row r="408" spans="3:3" ht="14.25" customHeight="1" x14ac:dyDescent="0.2">
      <c r="C408" s="15"/>
    </row>
    <row r="409" spans="3:3" ht="14.25" customHeight="1" x14ac:dyDescent="0.2">
      <c r="C409" s="15"/>
    </row>
    <row r="410" spans="3:3" ht="14.25" customHeight="1" x14ac:dyDescent="0.2">
      <c r="C410" s="15"/>
    </row>
    <row r="411" spans="3:3" ht="14.25" customHeight="1" x14ac:dyDescent="0.2">
      <c r="C411" s="15"/>
    </row>
    <row r="412" spans="3:3" ht="14.25" customHeight="1" x14ac:dyDescent="0.2">
      <c r="C412" s="15"/>
    </row>
    <row r="413" spans="3:3" ht="14.25" customHeight="1" x14ac:dyDescent="0.2">
      <c r="C413" s="15"/>
    </row>
    <row r="414" spans="3:3" ht="14.25" customHeight="1" x14ac:dyDescent="0.2">
      <c r="C414" s="15"/>
    </row>
    <row r="415" spans="3:3" ht="14.25" customHeight="1" x14ac:dyDescent="0.2">
      <c r="C415" s="15"/>
    </row>
    <row r="416" spans="3:3" ht="14.25" customHeight="1" x14ac:dyDescent="0.2">
      <c r="C416" s="15"/>
    </row>
    <row r="417" spans="3:3" ht="14.25" customHeight="1" x14ac:dyDescent="0.2">
      <c r="C417" s="15"/>
    </row>
    <row r="418" spans="3:3" ht="14.25" customHeight="1" x14ac:dyDescent="0.2">
      <c r="C418" s="15"/>
    </row>
    <row r="419" spans="3:3" ht="14.25" customHeight="1" x14ac:dyDescent="0.2">
      <c r="C419" s="15"/>
    </row>
    <row r="420" spans="3:3" ht="14.25" customHeight="1" x14ac:dyDescent="0.2">
      <c r="C420" s="15"/>
    </row>
    <row r="421" spans="3:3" ht="14.25" customHeight="1" x14ac:dyDescent="0.2">
      <c r="C421" s="15"/>
    </row>
    <row r="422" spans="3:3" ht="14.25" customHeight="1" x14ac:dyDescent="0.2">
      <c r="C422" s="15"/>
    </row>
    <row r="423" spans="3:3" ht="14.25" customHeight="1" x14ac:dyDescent="0.2">
      <c r="C423" s="15"/>
    </row>
    <row r="424" spans="3:3" ht="14.25" customHeight="1" x14ac:dyDescent="0.2">
      <c r="C424" s="15"/>
    </row>
    <row r="425" spans="3:3" ht="14.25" customHeight="1" x14ac:dyDescent="0.2">
      <c r="C425" s="15"/>
    </row>
    <row r="426" spans="3:3" ht="14.25" customHeight="1" x14ac:dyDescent="0.2">
      <c r="C426" s="15"/>
    </row>
    <row r="427" spans="3:3" ht="14.25" customHeight="1" x14ac:dyDescent="0.2">
      <c r="C427" s="15"/>
    </row>
    <row r="428" spans="3:3" ht="14.25" customHeight="1" x14ac:dyDescent="0.2">
      <c r="C428" s="15"/>
    </row>
    <row r="429" spans="3:3" ht="14.25" customHeight="1" x14ac:dyDescent="0.2">
      <c r="C429" s="15"/>
    </row>
    <row r="430" spans="3:3" ht="14.25" customHeight="1" x14ac:dyDescent="0.2">
      <c r="C430" s="15"/>
    </row>
    <row r="431" spans="3:3" ht="14.25" customHeight="1" x14ac:dyDescent="0.2">
      <c r="C431" s="15"/>
    </row>
    <row r="432" spans="3:3" ht="14.25" customHeight="1" x14ac:dyDescent="0.2">
      <c r="C432" s="15"/>
    </row>
    <row r="433" spans="3:3" ht="14.25" customHeight="1" x14ac:dyDescent="0.2">
      <c r="C433" s="15"/>
    </row>
    <row r="434" spans="3:3" ht="14.25" customHeight="1" x14ac:dyDescent="0.2">
      <c r="C434" s="15"/>
    </row>
    <row r="435" spans="3:3" ht="14.25" customHeight="1" x14ac:dyDescent="0.2">
      <c r="C435" s="15"/>
    </row>
    <row r="436" spans="3:3" ht="14.25" customHeight="1" x14ac:dyDescent="0.2">
      <c r="C436" s="15"/>
    </row>
    <row r="437" spans="3:3" ht="14.25" customHeight="1" x14ac:dyDescent="0.2">
      <c r="C437" s="15"/>
    </row>
    <row r="438" spans="3:3" ht="14.25" customHeight="1" x14ac:dyDescent="0.2">
      <c r="C438" s="15"/>
    </row>
    <row r="439" spans="3:3" ht="14.25" customHeight="1" x14ac:dyDescent="0.2">
      <c r="C439" s="15"/>
    </row>
    <row r="440" spans="3:3" ht="14.25" customHeight="1" x14ac:dyDescent="0.2">
      <c r="C440" s="15"/>
    </row>
    <row r="441" spans="3:3" ht="14.25" customHeight="1" x14ac:dyDescent="0.2">
      <c r="C441" s="15"/>
    </row>
    <row r="442" spans="3:3" ht="14.25" customHeight="1" x14ac:dyDescent="0.2">
      <c r="C442" s="15"/>
    </row>
    <row r="443" spans="3:3" ht="14.25" customHeight="1" x14ac:dyDescent="0.2">
      <c r="C443" s="15"/>
    </row>
    <row r="444" spans="3:3" ht="14.25" customHeight="1" x14ac:dyDescent="0.2">
      <c r="C444" s="15"/>
    </row>
    <row r="445" spans="3:3" ht="14.25" customHeight="1" x14ac:dyDescent="0.2">
      <c r="C445" s="15"/>
    </row>
    <row r="446" spans="3:3" ht="14.25" customHeight="1" x14ac:dyDescent="0.2">
      <c r="C446" s="15"/>
    </row>
    <row r="447" spans="3:3" ht="14.25" customHeight="1" x14ac:dyDescent="0.2">
      <c r="C447" s="15"/>
    </row>
    <row r="448" spans="3:3" ht="14.25" customHeight="1" x14ac:dyDescent="0.2">
      <c r="C448" s="15"/>
    </row>
    <row r="449" spans="3:3" ht="14.25" customHeight="1" x14ac:dyDescent="0.2">
      <c r="C449" s="15"/>
    </row>
    <row r="450" spans="3:3" ht="14.25" customHeight="1" x14ac:dyDescent="0.2">
      <c r="C450" s="15"/>
    </row>
    <row r="451" spans="3:3" ht="14.25" customHeight="1" x14ac:dyDescent="0.2">
      <c r="C451" s="15"/>
    </row>
    <row r="452" spans="3:3" ht="14.25" customHeight="1" x14ac:dyDescent="0.2">
      <c r="C452" s="15"/>
    </row>
    <row r="453" spans="3:3" ht="14.25" customHeight="1" x14ac:dyDescent="0.2">
      <c r="C453" s="15"/>
    </row>
    <row r="454" spans="3:3" ht="14.25" customHeight="1" x14ac:dyDescent="0.2">
      <c r="C454" s="15"/>
    </row>
    <row r="455" spans="3:3" ht="14.25" customHeight="1" x14ac:dyDescent="0.2">
      <c r="C455" s="15"/>
    </row>
    <row r="456" spans="3:3" ht="14.25" customHeight="1" x14ac:dyDescent="0.2">
      <c r="C456" s="15"/>
    </row>
    <row r="457" spans="3:3" ht="14.25" customHeight="1" x14ac:dyDescent="0.2">
      <c r="C457" s="15"/>
    </row>
    <row r="458" spans="3:3" ht="14.25" customHeight="1" x14ac:dyDescent="0.2">
      <c r="C458" s="15"/>
    </row>
    <row r="459" spans="3:3" ht="14.25" customHeight="1" x14ac:dyDescent="0.2">
      <c r="C459" s="15"/>
    </row>
    <row r="460" spans="3:3" ht="14.25" customHeight="1" x14ac:dyDescent="0.2">
      <c r="C460" s="15"/>
    </row>
    <row r="461" spans="3:3" ht="14.25" customHeight="1" x14ac:dyDescent="0.2">
      <c r="C461" s="15"/>
    </row>
    <row r="462" spans="3:3" ht="14.25" customHeight="1" x14ac:dyDescent="0.2">
      <c r="C462" s="15"/>
    </row>
    <row r="463" spans="3:3" ht="14.25" customHeight="1" x14ac:dyDescent="0.2">
      <c r="C463" s="15"/>
    </row>
    <row r="464" spans="3:3" ht="14.25" customHeight="1" x14ac:dyDescent="0.2">
      <c r="C464" s="15"/>
    </row>
    <row r="465" spans="3:3" ht="14.25" customHeight="1" x14ac:dyDescent="0.2">
      <c r="C465" s="15"/>
    </row>
    <row r="466" spans="3:3" ht="14.25" customHeight="1" x14ac:dyDescent="0.2">
      <c r="C466" s="15"/>
    </row>
    <row r="467" spans="3:3" ht="14.25" customHeight="1" x14ac:dyDescent="0.2">
      <c r="C467" s="15"/>
    </row>
    <row r="468" spans="3:3" ht="14.25" customHeight="1" x14ac:dyDescent="0.2">
      <c r="C468" s="15"/>
    </row>
    <row r="469" spans="3:3" ht="14.25" customHeight="1" x14ac:dyDescent="0.2">
      <c r="C469" s="15"/>
    </row>
    <row r="470" spans="3:3" ht="14.25" customHeight="1" x14ac:dyDescent="0.2">
      <c r="C470" s="15"/>
    </row>
    <row r="471" spans="3:3" ht="14.25" customHeight="1" x14ac:dyDescent="0.2">
      <c r="C471" s="15"/>
    </row>
    <row r="472" spans="3:3" ht="14.25" customHeight="1" x14ac:dyDescent="0.2">
      <c r="C472" s="15"/>
    </row>
    <row r="473" spans="3:3" ht="14.25" customHeight="1" x14ac:dyDescent="0.2">
      <c r="C473" s="15"/>
    </row>
    <row r="474" spans="3:3" ht="14.25" customHeight="1" x14ac:dyDescent="0.2">
      <c r="C474" s="15"/>
    </row>
    <row r="475" spans="3:3" ht="14.25" customHeight="1" x14ac:dyDescent="0.2">
      <c r="C475" s="15"/>
    </row>
    <row r="476" spans="3:3" ht="14.25" customHeight="1" x14ac:dyDescent="0.2">
      <c r="C476" s="15"/>
    </row>
    <row r="477" spans="3:3" ht="14.25" customHeight="1" x14ac:dyDescent="0.2">
      <c r="C477" s="15"/>
    </row>
    <row r="478" spans="3:3" ht="14.25" customHeight="1" x14ac:dyDescent="0.2">
      <c r="C478" s="15"/>
    </row>
    <row r="479" spans="3:3" ht="14.25" customHeight="1" x14ac:dyDescent="0.2">
      <c r="C479" s="15"/>
    </row>
    <row r="480" spans="3:3" ht="14.25" customHeight="1" x14ac:dyDescent="0.2">
      <c r="C480" s="15"/>
    </row>
    <row r="481" spans="3:3" ht="14.25" customHeight="1" x14ac:dyDescent="0.2">
      <c r="C481" s="15"/>
    </row>
    <row r="482" spans="3:3" ht="14.25" customHeight="1" x14ac:dyDescent="0.2">
      <c r="C482" s="15"/>
    </row>
    <row r="483" spans="3:3" ht="14.25" customHeight="1" x14ac:dyDescent="0.2">
      <c r="C483" s="15"/>
    </row>
    <row r="484" spans="3:3" ht="14.25" customHeight="1" x14ac:dyDescent="0.2">
      <c r="C484" s="15"/>
    </row>
    <row r="485" spans="3:3" ht="14.25" customHeight="1" x14ac:dyDescent="0.2">
      <c r="C485" s="15"/>
    </row>
    <row r="486" spans="3:3" ht="14.25" customHeight="1" x14ac:dyDescent="0.2">
      <c r="C486" s="15"/>
    </row>
    <row r="487" spans="3:3" ht="14.25" customHeight="1" x14ac:dyDescent="0.2">
      <c r="C487" s="15"/>
    </row>
    <row r="488" spans="3:3" ht="14.25" customHeight="1" x14ac:dyDescent="0.2">
      <c r="C488" s="15"/>
    </row>
    <row r="489" spans="3:3" ht="14.25" customHeight="1" x14ac:dyDescent="0.2">
      <c r="C489" s="15"/>
    </row>
    <row r="490" spans="3:3" ht="14.25" customHeight="1" x14ac:dyDescent="0.2">
      <c r="C490" s="15"/>
    </row>
    <row r="491" spans="3:3" ht="14.25" customHeight="1" x14ac:dyDescent="0.2">
      <c r="C491" s="15"/>
    </row>
    <row r="492" spans="3:3" ht="14.25" customHeight="1" x14ac:dyDescent="0.2">
      <c r="C492" s="15"/>
    </row>
    <row r="493" spans="3:3" ht="14.25" customHeight="1" x14ac:dyDescent="0.2">
      <c r="C493" s="15"/>
    </row>
    <row r="494" spans="3:3" ht="14.25" customHeight="1" x14ac:dyDescent="0.2">
      <c r="C494" s="15"/>
    </row>
    <row r="495" spans="3:3" ht="14.25" customHeight="1" x14ac:dyDescent="0.2">
      <c r="C495" s="15"/>
    </row>
    <row r="496" spans="3:3" ht="14.25" customHeight="1" x14ac:dyDescent="0.2">
      <c r="C496" s="15"/>
    </row>
    <row r="497" spans="3:3" ht="14.25" customHeight="1" x14ac:dyDescent="0.2">
      <c r="C497" s="15"/>
    </row>
    <row r="498" spans="3:3" ht="14.25" customHeight="1" x14ac:dyDescent="0.2">
      <c r="C498" s="15"/>
    </row>
    <row r="499" spans="3:3" ht="14.25" customHeight="1" x14ac:dyDescent="0.2">
      <c r="C499" s="15"/>
    </row>
    <row r="500" spans="3:3" ht="14.25" customHeight="1" x14ac:dyDescent="0.2">
      <c r="C500" s="15"/>
    </row>
    <row r="501" spans="3:3" ht="14.25" customHeight="1" x14ac:dyDescent="0.2">
      <c r="C501" s="15"/>
    </row>
    <row r="502" spans="3:3" ht="14.25" customHeight="1" x14ac:dyDescent="0.2">
      <c r="C502" s="15"/>
    </row>
    <row r="503" spans="3:3" ht="14.25" customHeight="1" x14ac:dyDescent="0.2">
      <c r="C503" s="15"/>
    </row>
    <row r="504" spans="3:3" ht="14.25" customHeight="1" x14ac:dyDescent="0.2">
      <c r="C504" s="15"/>
    </row>
    <row r="505" spans="3:3" ht="14.25" customHeight="1" x14ac:dyDescent="0.2">
      <c r="C505" s="15"/>
    </row>
    <row r="506" spans="3:3" ht="14.25" customHeight="1" x14ac:dyDescent="0.2">
      <c r="C506" s="15"/>
    </row>
    <row r="507" spans="3:3" ht="14.25" customHeight="1" x14ac:dyDescent="0.2">
      <c r="C507" s="15"/>
    </row>
    <row r="508" spans="3:3" ht="14.25" customHeight="1" x14ac:dyDescent="0.2">
      <c r="C508" s="15"/>
    </row>
    <row r="509" spans="3:3" ht="14.25" customHeight="1" x14ac:dyDescent="0.2">
      <c r="C509" s="15"/>
    </row>
    <row r="510" spans="3:3" ht="14.25" customHeight="1" x14ac:dyDescent="0.2">
      <c r="C510" s="15"/>
    </row>
    <row r="511" spans="3:3" ht="14.25" customHeight="1" x14ac:dyDescent="0.2">
      <c r="C511" s="15"/>
    </row>
    <row r="512" spans="3:3" ht="14.25" customHeight="1" x14ac:dyDescent="0.2">
      <c r="C512" s="15"/>
    </row>
    <row r="513" spans="3:3" ht="14.25" customHeight="1" x14ac:dyDescent="0.2">
      <c r="C513" s="15"/>
    </row>
    <row r="514" spans="3:3" ht="14.25" customHeight="1" x14ac:dyDescent="0.2">
      <c r="C514" s="15"/>
    </row>
    <row r="515" spans="3:3" ht="14.25" customHeight="1" x14ac:dyDescent="0.2">
      <c r="C515" s="15"/>
    </row>
    <row r="516" spans="3:3" ht="14.25" customHeight="1" x14ac:dyDescent="0.2">
      <c r="C516" s="15"/>
    </row>
    <row r="517" spans="3:3" ht="14.25" customHeight="1" x14ac:dyDescent="0.2">
      <c r="C517" s="15"/>
    </row>
    <row r="518" spans="3:3" ht="14.25" customHeight="1" x14ac:dyDescent="0.2">
      <c r="C518" s="15"/>
    </row>
    <row r="519" spans="3:3" ht="14.25" customHeight="1" x14ac:dyDescent="0.2">
      <c r="C519" s="15"/>
    </row>
    <row r="520" spans="3:3" ht="14.25" customHeight="1" x14ac:dyDescent="0.2">
      <c r="C520" s="15"/>
    </row>
    <row r="521" spans="3:3" ht="14.25" customHeight="1" x14ac:dyDescent="0.2">
      <c r="C521" s="15"/>
    </row>
    <row r="522" spans="3:3" ht="14.25" customHeight="1" x14ac:dyDescent="0.2">
      <c r="C522" s="15"/>
    </row>
    <row r="523" spans="3:3" ht="14.25" customHeight="1" x14ac:dyDescent="0.2">
      <c r="C523" s="15"/>
    </row>
    <row r="524" spans="3:3" ht="14.25" customHeight="1" x14ac:dyDescent="0.2">
      <c r="C524" s="15"/>
    </row>
    <row r="525" spans="3:3" ht="14.25" customHeight="1" x14ac:dyDescent="0.2">
      <c r="C525" s="15"/>
    </row>
    <row r="526" spans="3:3" ht="14.25" customHeight="1" x14ac:dyDescent="0.2">
      <c r="C526" s="15"/>
    </row>
    <row r="527" spans="3:3" ht="14.25" customHeight="1" x14ac:dyDescent="0.2">
      <c r="C527" s="15"/>
    </row>
    <row r="528" spans="3:3" ht="14.25" customHeight="1" x14ac:dyDescent="0.2">
      <c r="C528" s="15"/>
    </row>
    <row r="529" spans="3:3" ht="14.25" customHeight="1" x14ac:dyDescent="0.2">
      <c r="C529" s="15"/>
    </row>
    <row r="530" spans="3:3" ht="14.25" customHeight="1" x14ac:dyDescent="0.2">
      <c r="C530" s="15"/>
    </row>
    <row r="531" spans="3:3" ht="14.25" customHeight="1" x14ac:dyDescent="0.2">
      <c r="C531" s="15"/>
    </row>
    <row r="532" spans="3:3" ht="14.25" customHeight="1" x14ac:dyDescent="0.2">
      <c r="C532" s="15"/>
    </row>
    <row r="533" spans="3:3" ht="14.25" customHeight="1" x14ac:dyDescent="0.2">
      <c r="C533" s="15"/>
    </row>
    <row r="534" spans="3:3" ht="14.25" customHeight="1" x14ac:dyDescent="0.2">
      <c r="C534" s="15"/>
    </row>
    <row r="535" spans="3:3" ht="14.25" customHeight="1" x14ac:dyDescent="0.2">
      <c r="C535" s="15"/>
    </row>
    <row r="536" spans="3:3" ht="14.25" customHeight="1" x14ac:dyDescent="0.2">
      <c r="C536" s="15"/>
    </row>
    <row r="537" spans="3:3" ht="14.25" customHeight="1" x14ac:dyDescent="0.2">
      <c r="C537" s="15"/>
    </row>
    <row r="538" spans="3:3" ht="14.25" customHeight="1" x14ac:dyDescent="0.2">
      <c r="C538" s="15"/>
    </row>
    <row r="539" spans="3:3" ht="14.25" customHeight="1" x14ac:dyDescent="0.2">
      <c r="C539" s="15"/>
    </row>
    <row r="540" spans="3:3" ht="14.25" customHeight="1" x14ac:dyDescent="0.2">
      <c r="C540" s="15"/>
    </row>
    <row r="541" spans="3:3" ht="14.25" customHeight="1" x14ac:dyDescent="0.2">
      <c r="C541" s="15"/>
    </row>
    <row r="542" spans="3:3" ht="14.25" customHeight="1" x14ac:dyDescent="0.2">
      <c r="C542" s="15"/>
    </row>
    <row r="543" spans="3:3" ht="14.25" customHeight="1" x14ac:dyDescent="0.2">
      <c r="C543" s="15"/>
    </row>
    <row r="544" spans="3:3" ht="14.25" customHeight="1" x14ac:dyDescent="0.2">
      <c r="C544" s="15"/>
    </row>
    <row r="545" spans="3:3" ht="14.25" customHeight="1" x14ac:dyDescent="0.2">
      <c r="C545" s="15"/>
    </row>
    <row r="546" spans="3:3" ht="14.25" customHeight="1" x14ac:dyDescent="0.2">
      <c r="C546" s="15"/>
    </row>
    <row r="547" spans="3:3" ht="14.25" customHeight="1" x14ac:dyDescent="0.2">
      <c r="C547" s="15"/>
    </row>
    <row r="548" spans="3:3" ht="14.25" customHeight="1" x14ac:dyDescent="0.2">
      <c r="C548" s="15"/>
    </row>
    <row r="549" spans="3:3" ht="14.25" customHeight="1" x14ac:dyDescent="0.2">
      <c r="C549" s="15"/>
    </row>
    <row r="550" spans="3:3" ht="14.25" customHeight="1" x14ac:dyDescent="0.2">
      <c r="C550" s="15"/>
    </row>
    <row r="551" spans="3:3" ht="14.25" customHeight="1" x14ac:dyDescent="0.2">
      <c r="C551" s="15"/>
    </row>
    <row r="552" spans="3:3" ht="14.25" customHeight="1" x14ac:dyDescent="0.2">
      <c r="C552" s="15"/>
    </row>
    <row r="553" spans="3:3" ht="14.25" customHeight="1" x14ac:dyDescent="0.2">
      <c r="C553" s="15"/>
    </row>
    <row r="554" spans="3:3" ht="14.25" customHeight="1" x14ac:dyDescent="0.2">
      <c r="C554" s="15"/>
    </row>
    <row r="555" spans="3:3" ht="14.25" customHeight="1" x14ac:dyDescent="0.2">
      <c r="C555" s="15"/>
    </row>
    <row r="556" spans="3:3" ht="14.25" customHeight="1" x14ac:dyDescent="0.2">
      <c r="C556" s="15"/>
    </row>
    <row r="557" spans="3:3" ht="14.25" customHeight="1" x14ac:dyDescent="0.2">
      <c r="C557" s="15"/>
    </row>
    <row r="558" spans="3:3" ht="14.25" customHeight="1" x14ac:dyDescent="0.2">
      <c r="C558" s="15"/>
    </row>
    <row r="559" spans="3:3" ht="14.25" customHeight="1" x14ac:dyDescent="0.2">
      <c r="C559" s="15"/>
    </row>
    <row r="560" spans="3:3" ht="14.25" customHeight="1" x14ac:dyDescent="0.2">
      <c r="C560" s="15"/>
    </row>
    <row r="561" spans="3:3" ht="14.25" customHeight="1" x14ac:dyDescent="0.2">
      <c r="C561" s="15"/>
    </row>
    <row r="562" spans="3:3" ht="14.25" customHeight="1" x14ac:dyDescent="0.2">
      <c r="C562" s="15"/>
    </row>
    <row r="563" spans="3:3" ht="14.25" customHeight="1" x14ac:dyDescent="0.2">
      <c r="C563" s="15"/>
    </row>
    <row r="564" spans="3:3" ht="14.25" customHeight="1" x14ac:dyDescent="0.2">
      <c r="C564" s="15"/>
    </row>
    <row r="565" spans="3:3" ht="14.25" customHeight="1" x14ac:dyDescent="0.2">
      <c r="C565" s="15"/>
    </row>
    <row r="566" spans="3:3" ht="14.25" customHeight="1" x14ac:dyDescent="0.2">
      <c r="C566" s="15"/>
    </row>
    <row r="567" spans="3:3" ht="14.25" customHeight="1" x14ac:dyDescent="0.2">
      <c r="C567" s="15"/>
    </row>
    <row r="568" spans="3:3" ht="14.25" customHeight="1" x14ac:dyDescent="0.2">
      <c r="C568" s="15"/>
    </row>
    <row r="569" spans="3:3" ht="14.25" customHeight="1" x14ac:dyDescent="0.2">
      <c r="C569" s="15"/>
    </row>
    <row r="570" spans="3:3" ht="14.25" customHeight="1" x14ac:dyDescent="0.2">
      <c r="C570" s="15"/>
    </row>
    <row r="571" spans="3:3" ht="14.25" customHeight="1" x14ac:dyDescent="0.2">
      <c r="C571" s="15"/>
    </row>
    <row r="572" spans="3:3" ht="14.25" customHeight="1" x14ac:dyDescent="0.2">
      <c r="C572" s="15"/>
    </row>
    <row r="573" spans="3:3" ht="14.25" customHeight="1" x14ac:dyDescent="0.2">
      <c r="C573" s="15"/>
    </row>
    <row r="574" spans="3:3" ht="14.25" customHeight="1" x14ac:dyDescent="0.2">
      <c r="C574" s="15"/>
    </row>
    <row r="575" spans="3:3" ht="14.25" customHeight="1" x14ac:dyDescent="0.2">
      <c r="C575" s="15"/>
    </row>
    <row r="576" spans="3:3" ht="14.25" customHeight="1" x14ac:dyDescent="0.2">
      <c r="C576" s="15"/>
    </row>
    <row r="577" spans="3:3" ht="14.25" customHeight="1" x14ac:dyDescent="0.2">
      <c r="C577" s="15"/>
    </row>
    <row r="578" spans="3:3" ht="14.25" customHeight="1" x14ac:dyDescent="0.2">
      <c r="C578" s="15"/>
    </row>
    <row r="579" spans="3:3" ht="14.25" customHeight="1" x14ac:dyDescent="0.2">
      <c r="C579" s="15"/>
    </row>
    <row r="580" spans="3:3" ht="14.25" customHeight="1" x14ac:dyDescent="0.2">
      <c r="C580" s="15"/>
    </row>
    <row r="581" spans="3:3" ht="14.25" customHeight="1" x14ac:dyDescent="0.2">
      <c r="C581" s="15"/>
    </row>
    <row r="582" spans="3:3" ht="14.25" customHeight="1" x14ac:dyDescent="0.2">
      <c r="C582" s="15"/>
    </row>
    <row r="583" spans="3:3" ht="14.25" customHeight="1" x14ac:dyDescent="0.2">
      <c r="C583" s="15"/>
    </row>
    <row r="584" spans="3:3" ht="14.25" customHeight="1" x14ac:dyDescent="0.2">
      <c r="C584" s="15"/>
    </row>
    <row r="585" spans="3:3" ht="14.25" customHeight="1" x14ac:dyDescent="0.2">
      <c r="C585" s="15"/>
    </row>
    <row r="586" spans="3:3" ht="14.25" customHeight="1" x14ac:dyDescent="0.2">
      <c r="C586" s="15"/>
    </row>
    <row r="587" spans="3:3" ht="14.25" customHeight="1" x14ac:dyDescent="0.2">
      <c r="C587" s="15"/>
    </row>
    <row r="588" spans="3:3" ht="14.25" customHeight="1" x14ac:dyDescent="0.2">
      <c r="C588" s="15"/>
    </row>
    <row r="589" spans="3:3" ht="14.25" customHeight="1" x14ac:dyDescent="0.2">
      <c r="C589" s="15"/>
    </row>
    <row r="590" spans="3:3" ht="14.25" customHeight="1" x14ac:dyDescent="0.2">
      <c r="C590" s="15"/>
    </row>
    <row r="591" spans="3:3" ht="14.25" customHeight="1" x14ac:dyDescent="0.2">
      <c r="C591" s="15"/>
    </row>
    <row r="592" spans="3:3" ht="14.25" customHeight="1" x14ac:dyDescent="0.2">
      <c r="C592" s="15"/>
    </row>
    <row r="593" spans="3:3" ht="14.25" customHeight="1" x14ac:dyDescent="0.2">
      <c r="C593" s="15"/>
    </row>
    <row r="594" spans="3:3" ht="14.25" customHeight="1" x14ac:dyDescent="0.2">
      <c r="C594" s="15"/>
    </row>
    <row r="595" spans="3:3" ht="14.25" customHeight="1" x14ac:dyDescent="0.2">
      <c r="C595" s="15"/>
    </row>
    <row r="596" spans="3:3" ht="14.25" customHeight="1" x14ac:dyDescent="0.2">
      <c r="C596" s="15"/>
    </row>
    <row r="597" spans="3:3" ht="14.25" customHeight="1" x14ac:dyDescent="0.2">
      <c r="C597" s="15"/>
    </row>
    <row r="598" spans="3:3" ht="14.25" customHeight="1" x14ac:dyDescent="0.2">
      <c r="C598" s="15"/>
    </row>
    <row r="599" spans="3:3" ht="14.25" customHeight="1" x14ac:dyDescent="0.2">
      <c r="C599" s="15"/>
    </row>
    <row r="600" spans="3:3" ht="14.25" customHeight="1" x14ac:dyDescent="0.2">
      <c r="C600" s="15"/>
    </row>
    <row r="601" spans="3:3" ht="14.25" customHeight="1" x14ac:dyDescent="0.2">
      <c r="C601" s="15"/>
    </row>
    <row r="602" spans="3:3" ht="14.25" customHeight="1" x14ac:dyDescent="0.2">
      <c r="C602" s="15"/>
    </row>
    <row r="603" spans="3:3" ht="14.25" customHeight="1" x14ac:dyDescent="0.2">
      <c r="C603" s="15"/>
    </row>
    <row r="604" spans="3:3" ht="14.25" customHeight="1" x14ac:dyDescent="0.2">
      <c r="C604" s="15"/>
    </row>
    <row r="605" spans="3:3" ht="14.25" customHeight="1" x14ac:dyDescent="0.2">
      <c r="C605" s="15"/>
    </row>
    <row r="606" spans="3:3" ht="14.25" customHeight="1" x14ac:dyDescent="0.2">
      <c r="C606" s="15"/>
    </row>
    <row r="607" spans="3:3" ht="14.25" customHeight="1" x14ac:dyDescent="0.2">
      <c r="C607" s="15"/>
    </row>
    <row r="608" spans="3:3" ht="14.25" customHeight="1" x14ac:dyDescent="0.2">
      <c r="C608" s="15"/>
    </row>
    <row r="609" spans="3:3" ht="14.25" customHeight="1" x14ac:dyDescent="0.2">
      <c r="C609" s="15"/>
    </row>
    <row r="610" spans="3:3" ht="14.25" customHeight="1" x14ac:dyDescent="0.2">
      <c r="C610" s="15"/>
    </row>
    <row r="611" spans="3:3" ht="14.25" customHeight="1" x14ac:dyDescent="0.2">
      <c r="C611" s="15"/>
    </row>
    <row r="612" spans="3:3" ht="14.25" customHeight="1" x14ac:dyDescent="0.2">
      <c r="C612" s="15"/>
    </row>
    <row r="613" spans="3:3" ht="14.25" customHeight="1" x14ac:dyDescent="0.2">
      <c r="C613" s="15"/>
    </row>
    <row r="614" spans="3:3" ht="14.25" customHeight="1" x14ac:dyDescent="0.2">
      <c r="C614" s="15"/>
    </row>
    <row r="615" spans="3:3" ht="14.25" customHeight="1" x14ac:dyDescent="0.2">
      <c r="C615" s="15"/>
    </row>
    <row r="616" spans="3:3" ht="14.25" customHeight="1" x14ac:dyDescent="0.2">
      <c r="C616" s="15"/>
    </row>
    <row r="617" spans="3:3" ht="14.25" customHeight="1" x14ac:dyDescent="0.2">
      <c r="C617" s="15"/>
    </row>
    <row r="618" spans="3:3" ht="14.25" customHeight="1" x14ac:dyDescent="0.2">
      <c r="C618" s="15"/>
    </row>
    <row r="619" spans="3:3" ht="14.25" customHeight="1" x14ac:dyDescent="0.2">
      <c r="C619" s="15"/>
    </row>
    <row r="620" spans="3:3" ht="14.25" customHeight="1" x14ac:dyDescent="0.2">
      <c r="C620" s="15"/>
    </row>
    <row r="621" spans="3:3" ht="14.25" customHeight="1" x14ac:dyDescent="0.2">
      <c r="C621" s="15"/>
    </row>
    <row r="622" spans="3:3" ht="14.25" customHeight="1" x14ac:dyDescent="0.2">
      <c r="C622" s="15"/>
    </row>
    <row r="623" spans="3:3" ht="14.25" customHeight="1" x14ac:dyDescent="0.2">
      <c r="C623" s="15"/>
    </row>
    <row r="624" spans="3:3" ht="14.25" customHeight="1" x14ac:dyDescent="0.2">
      <c r="C624" s="15"/>
    </row>
    <row r="625" spans="3:3" ht="14.25" customHeight="1" x14ac:dyDescent="0.2">
      <c r="C625" s="15"/>
    </row>
    <row r="626" spans="3:3" ht="14.25" customHeight="1" x14ac:dyDescent="0.2">
      <c r="C626" s="15"/>
    </row>
    <row r="627" spans="3:3" ht="14.25" customHeight="1" x14ac:dyDescent="0.2">
      <c r="C627" s="15"/>
    </row>
    <row r="628" spans="3:3" ht="14.25" customHeight="1" x14ac:dyDescent="0.2">
      <c r="C628" s="15"/>
    </row>
    <row r="629" spans="3:3" ht="14.25" customHeight="1" x14ac:dyDescent="0.2">
      <c r="C629" s="15"/>
    </row>
    <row r="630" spans="3:3" ht="14.25" customHeight="1" x14ac:dyDescent="0.2">
      <c r="C630" s="15"/>
    </row>
    <row r="631" spans="3:3" ht="14.25" customHeight="1" x14ac:dyDescent="0.2">
      <c r="C631" s="15"/>
    </row>
    <row r="632" spans="3:3" ht="14.25" customHeight="1" x14ac:dyDescent="0.2">
      <c r="C632" s="15"/>
    </row>
    <row r="633" spans="3:3" ht="14.25" customHeight="1" x14ac:dyDescent="0.2">
      <c r="C633" s="15"/>
    </row>
    <row r="634" spans="3:3" ht="14.25" customHeight="1" x14ac:dyDescent="0.2">
      <c r="C634" s="15"/>
    </row>
    <row r="635" spans="3:3" ht="14.25" customHeight="1" x14ac:dyDescent="0.2">
      <c r="C635" s="15"/>
    </row>
    <row r="636" spans="3:3" ht="14.25" customHeight="1" x14ac:dyDescent="0.2">
      <c r="C636" s="15"/>
    </row>
    <row r="637" spans="3:3" ht="14.25" customHeight="1" x14ac:dyDescent="0.2">
      <c r="C637" s="15"/>
    </row>
    <row r="638" spans="3:3" ht="14.25" customHeight="1" x14ac:dyDescent="0.2">
      <c r="C638" s="15"/>
    </row>
    <row r="639" spans="3:3" ht="14.25" customHeight="1" x14ac:dyDescent="0.2">
      <c r="C639" s="15"/>
    </row>
    <row r="640" spans="3:3" ht="14.25" customHeight="1" x14ac:dyDescent="0.2">
      <c r="C640" s="15"/>
    </row>
    <row r="641" spans="3:3" ht="14.25" customHeight="1" x14ac:dyDescent="0.2">
      <c r="C641" s="15"/>
    </row>
    <row r="642" spans="3:3" ht="14.25" customHeight="1" x14ac:dyDescent="0.2">
      <c r="C642" s="15"/>
    </row>
    <row r="643" spans="3:3" ht="14.25" customHeight="1" x14ac:dyDescent="0.2">
      <c r="C643" s="15"/>
    </row>
    <row r="644" spans="3:3" ht="14.25" customHeight="1" x14ac:dyDescent="0.2">
      <c r="C644" s="15"/>
    </row>
    <row r="645" spans="3:3" ht="14.25" customHeight="1" x14ac:dyDescent="0.2">
      <c r="C645" s="15"/>
    </row>
    <row r="646" spans="3:3" ht="14.25" customHeight="1" x14ac:dyDescent="0.2">
      <c r="C646" s="15"/>
    </row>
    <row r="647" spans="3:3" ht="14.25" customHeight="1" x14ac:dyDescent="0.2">
      <c r="C647" s="15"/>
    </row>
    <row r="648" spans="3:3" ht="14.25" customHeight="1" x14ac:dyDescent="0.2">
      <c r="C648" s="15"/>
    </row>
    <row r="649" spans="3:3" ht="14.25" customHeight="1" x14ac:dyDescent="0.2">
      <c r="C649" s="15"/>
    </row>
    <row r="650" spans="3:3" ht="14.25" customHeight="1" x14ac:dyDescent="0.2">
      <c r="C650" s="15"/>
    </row>
    <row r="651" spans="3:3" ht="14.25" customHeight="1" x14ac:dyDescent="0.2">
      <c r="C651" s="15"/>
    </row>
    <row r="652" spans="3:3" ht="14.25" customHeight="1" x14ac:dyDescent="0.2">
      <c r="C652" s="15"/>
    </row>
    <row r="653" spans="3:3" ht="14.25" customHeight="1" x14ac:dyDescent="0.2">
      <c r="C653" s="15"/>
    </row>
    <row r="654" spans="3:3" ht="14.25" customHeight="1" x14ac:dyDescent="0.2">
      <c r="C654" s="15"/>
    </row>
    <row r="655" spans="3:3" ht="14.25" customHeight="1" x14ac:dyDescent="0.2">
      <c r="C655" s="15"/>
    </row>
    <row r="656" spans="3:3" ht="14.25" customHeight="1" x14ac:dyDescent="0.2">
      <c r="C656" s="15"/>
    </row>
    <row r="657" spans="3:3" ht="14.25" customHeight="1" x14ac:dyDescent="0.2">
      <c r="C657" s="15"/>
    </row>
    <row r="658" spans="3:3" ht="14.25" customHeight="1" x14ac:dyDescent="0.2">
      <c r="C658" s="15"/>
    </row>
    <row r="659" spans="3:3" ht="14.25" customHeight="1" x14ac:dyDescent="0.2">
      <c r="C659" s="15"/>
    </row>
    <row r="660" spans="3:3" ht="14.25" customHeight="1" x14ac:dyDescent="0.2">
      <c r="C660" s="15"/>
    </row>
    <row r="661" spans="3:3" ht="14.25" customHeight="1" x14ac:dyDescent="0.2">
      <c r="C661" s="15"/>
    </row>
    <row r="662" spans="3:3" ht="14.25" customHeight="1" x14ac:dyDescent="0.2">
      <c r="C662" s="15"/>
    </row>
    <row r="663" spans="3:3" ht="14.25" customHeight="1" x14ac:dyDescent="0.2">
      <c r="C663" s="15"/>
    </row>
    <row r="664" spans="3:3" ht="14.25" customHeight="1" x14ac:dyDescent="0.2">
      <c r="C664" s="15"/>
    </row>
    <row r="665" spans="3:3" ht="14.25" customHeight="1" x14ac:dyDescent="0.2">
      <c r="C665" s="15"/>
    </row>
    <row r="666" spans="3:3" ht="14.25" customHeight="1" x14ac:dyDescent="0.2">
      <c r="C666" s="15"/>
    </row>
    <row r="667" spans="3:3" ht="14.25" customHeight="1" x14ac:dyDescent="0.2">
      <c r="C667" s="15"/>
    </row>
    <row r="668" spans="3:3" ht="14.25" customHeight="1" x14ac:dyDescent="0.2">
      <c r="C668" s="15"/>
    </row>
    <row r="669" spans="3:3" ht="14.25" customHeight="1" x14ac:dyDescent="0.2">
      <c r="C669" s="15"/>
    </row>
    <row r="670" spans="3:3" ht="14.25" customHeight="1" x14ac:dyDescent="0.2">
      <c r="C670" s="15"/>
    </row>
    <row r="671" spans="3:3" ht="14.25" customHeight="1" x14ac:dyDescent="0.2">
      <c r="C671" s="15"/>
    </row>
    <row r="672" spans="3:3" ht="14.25" customHeight="1" x14ac:dyDescent="0.2">
      <c r="C672" s="15"/>
    </row>
    <row r="673" spans="3:3" ht="14.25" customHeight="1" x14ac:dyDescent="0.2">
      <c r="C673" s="15"/>
    </row>
    <row r="674" spans="3:3" ht="14.25" customHeight="1" x14ac:dyDescent="0.2">
      <c r="C674" s="15"/>
    </row>
    <row r="675" spans="3:3" ht="14.25" customHeight="1" x14ac:dyDescent="0.2">
      <c r="C675" s="15"/>
    </row>
    <row r="676" spans="3:3" ht="14.25" customHeight="1" x14ac:dyDescent="0.2">
      <c r="C676" s="15"/>
    </row>
    <row r="677" spans="3:3" ht="14.25" customHeight="1" x14ac:dyDescent="0.2">
      <c r="C677" s="15"/>
    </row>
    <row r="678" spans="3:3" ht="14.25" customHeight="1" x14ac:dyDescent="0.2">
      <c r="C678" s="15"/>
    </row>
    <row r="679" spans="3:3" ht="14.25" customHeight="1" x14ac:dyDescent="0.2">
      <c r="C679" s="15"/>
    </row>
    <row r="680" spans="3:3" ht="14.25" customHeight="1" x14ac:dyDescent="0.2">
      <c r="C680" s="15"/>
    </row>
    <row r="681" spans="3:3" ht="14.25" customHeight="1" x14ac:dyDescent="0.2">
      <c r="C681" s="15"/>
    </row>
    <row r="682" spans="3:3" ht="14.25" customHeight="1" x14ac:dyDescent="0.2">
      <c r="C682" s="15"/>
    </row>
    <row r="683" spans="3:3" ht="14.25" customHeight="1" x14ac:dyDescent="0.2">
      <c r="C683" s="15"/>
    </row>
    <row r="684" spans="3:3" ht="14.25" customHeight="1" x14ac:dyDescent="0.2">
      <c r="C684" s="15"/>
    </row>
    <row r="685" spans="3:3" ht="14.25" customHeight="1" x14ac:dyDescent="0.2">
      <c r="C685" s="15"/>
    </row>
    <row r="686" spans="3:3" ht="14.25" customHeight="1" x14ac:dyDescent="0.2">
      <c r="C686" s="15"/>
    </row>
    <row r="687" spans="3:3" ht="14.25" customHeight="1" x14ac:dyDescent="0.2">
      <c r="C687" s="15"/>
    </row>
    <row r="688" spans="3:3" ht="14.25" customHeight="1" x14ac:dyDescent="0.2">
      <c r="C688" s="15"/>
    </row>
    <row r="689" spans="3:3" ht="14.25" customHeight="1" x14ac:dyDescent="0.2">
      <c r="C689" s="15"/>
    </row>
    <row r="690" spans="3:3" ht="14.25" customHeight="1" x14ac:dyDescent="0.2">
      <c r="C690" s="15"/>
    </row>
    <row r="691" spans="3:3" ht="14.25" customHeight="1" x14ac:dyDescent="0.2">
      <c r="C691" s="15"/>
    </row>
    <row r="692" spans="3:3" ht="14.25" customHeight="1" x14ac:dyDescent="0.2">
      <c r="C692" s="15"/>
    </row>
    <row r="693" spans="3:3" ht="14.25" customHeight="1" x14ac:dyDescent="0.2">
      <c r="C693" s="15"/>
    </row>
    <row r="694" spans="3:3" ht="14.25" customHeight="1" x14ac:dyDescent="0.2">
      <c r="C694" s="15"/>
    </row>
    <row r="695" spans="3:3" ht="14.25" customHeight="1" x14ac:dyDescent="0.2">
      <c r="C695" s="15"/>
    </row>
    <row r="696" spans="3:3" ht="14.25" customHeight="1" x14ac:dyDescent="0.2">
      <c r="C696" s="15"/>
    </row>
    <row r="697" spans="3:3" ht="14.25" customHeight="1" x14ac:dyDescent="0.2">
      <c r="C697" s="15"/>
    </row>
    <row r="698" spans="3:3" ht="14.25" customHeight="1" x14ac:dyDescent="0.2">
      <c r="C698" s="15"/>
    </row>
    <row r="699" spans="3:3" ht="14.25" customHeight="1" x14ac:dyDescent="0.2">
      <c r="C699" s="15"/>
    </row>
    <row r="700" spans="3:3" ht="14.25" customHeight="1" x14ac:dyDescent="0.2">
      <c r="C700" s="15"/>
    </row>
    <row r="701" spans="3:3" ht="14.25" customHeight="1" x14ac:dyDescent="0.2">
      <c r="C701" s="15"/>
    </row>
    <row r="702" spans="3:3" ht="14.25" customHeight="1" x14ac:dyDescent="0.2">
      <c r="C702" s="15"/>
    </row>
    <row r="703" spans="3:3" ht="14.25" customHeight="1" x14ac:dyDescent="0.2">
      <c r="C703" s="15"/>
    </row>
    <row r="704" spans="3:3" ht="14.25" customHeight="1" x14ac:dyDescent="0.2">
      <c r="C704" s="15"/>
    </row>
    <row r="705" spans="3:3" ht="14.25" customHeight="1" x14ac:dyDescent="0.2">
      <c r="C705" s="15"/>
    </row>
    <row r="706" spans="3:3" ht="14.25" customHeight="1" x14ac:dyDescent="0.2">
      <c r="C706" s="15"/>
    </row>
    <row r="707" spans="3:3" ht="14.25" customHeight="1" x14ac:dyDescent="0.2">
      <c r="C707" s="15"/>
    </row>
    <row r="708" spans="3:3" ht="14.25" customHeight="1" x14ac:dyDescent="0.2">
      <c r="C708" s="15"/>
    </row>
    <row r="709" spans="3:3" ht="14.25" customHeight="1" x14ac:dyDescent="0.2">
      <c r="C709" s="15"/>
    </row>
    <row r="710" spans="3:3" ht="14.25" customHeight="1" x14ac:dyDescent="0.2">
      <c r="C710" s="15"/>
    </row>
    <row r="711" spans="3:3" ht="14.25" customHeight="1" x14ac:dyDescent="0.2">
      <c r="C711" s="15"/>
    </row>
    <row r="712" spans="3:3" ht="14.25" customHeight="1" x14ac:dyDescent="0.2">
      <c r="C712" s="15"/>
    </row>
    <row r="713" spans="3:3" ht="14.25" customHeight="1" x14ac:dyDescent="0.2">
      <c r="C713" s="15"/>
    </row>
    <row r="714" spans="3:3" ht="14.25" customHeight="1" x14ac:dyDescent="0.2">
      <c r="C714" s="15"/>
    </row>
    <row r="715" spans="3:3" ht="14.25" customHeight="1" x14ac:dyDescent="0.2">
      <c r="C715" s="15"/>
    </row>
    <row r="716" spans="3:3" ht="14.25" customHeight="1" x14ac:dyDescent="0.2">
      <c r="C716" s="15"/>
    </row>
    <row r="717" spans="3:3" ht="14.25" customHeight="1" x14ac:dyDescent="0.2">
      <c r="C717" s="15"/>
    </row>
    <row r="718" spans="3:3" ht="14.25" customHeight="1" x14ac:dyDescent="0.2">
      <c r="C718" s="15"/>
    </row>
    <row r="719" spans="3:3" ht="14.25" customHeight="1" x14ac:dyDescent="0.2">
      <c r="C719" s="15"/>
    </row>
    <row r="720" spans="3:3" ht="14.25" customHeight="1" x14ac:dyDescent="0.2">
      <c r="C720" s="15"/>
    </row>
    <row r="721" spans="3:3" ht="14.25" customHeight="1" x14ac:dyDescent="0.2">
      <c r="C721" s="15"/>
    </row>
    <row r="722" spans="3:3" ht="14.25" customHeight="1" x14ac:dyDescent="0.2">
      <c r="C722" s="15"/>
    </row>
    <row r="723" spans="3:3" ht="14.25" customHeight="1" x14ac:dyDescent="0.2">
      <c r="C723" s="15"/>
    </row>
    <row r="724" spans="3:3" ht="14.25" customHeight="1" x14ac:dyDescent="0.2">
      <c r="C724" s="15"/>
    </row>
    <row r="725" spans="3:3" ht="14.25" customHeight="1" x14ac:dyDescent="0.2">
      <c r="C725" s="15"/>
    </row>
    <row r="726" spans="3:3" ht="14.25" customHeight="1" x14ac:dyDescent="0.2">
      <c r="C726" s="15"/>
    </row>
    <row r="727" spans="3:3" ht="14.25" customHeight="1" x14ac:dyDescent="0.2">
      <c r="C727" s="15"/>
    </row>
    <row r="728" spans="3:3" ht="14.25" customHeight="1" x14ac:dyDescent="0.2">
      <c r="C728" s="15"/>
    </row>
    <row r="729" spans="3:3" ht="14.25" customHeight="1" x14ac:dyDescent="0.2">
      <c r="C729" s="15"/>
    </row>
    <row r="730" spans="3:3" ht="14.25" customHeight="1" x14ac:dyDescent="0.2">
      <c r="C730" s="15"/>
    </row>
    <row r="731" spans="3:3" ht="14.25" customHeight="1" x14ac:dyDescent="0.2">
      <c r="C731" s="15"/>
    </row>
    <row r="732" spans="3:3" ht="14.25" customHeight="1" x14ac:dyDescent="0.2">
      <c r="C732" s="15"/>
    </row>
    <row r="733" spans="3:3" ht="14.25" customHeight="1" x14ac:dyDescent="0.2">
      <c r="C733" s="15"/>
    </row>
    <row r="734" spans="3:3" ht="14.25" customHeight="1" x14ac:dyDescent="0.2">
      <c r="C734" s="15"/>
    </row>
    <row r="735" spans="3:3" ht="14.25" customHeight="1" x14ac:dyDescent="0.2">
      <c r="C735" s="15"/>
    </row>
    <row r="736" spans="3:3" ht="14.25" customHeight="1" x14ac:dyDescent="0.2">
      <c r="C736" s="15"/>
    </row>
    <row r="737" spans="3:3" ht="14.25" customHeight="1" x14ac:dyDescent="0.2">
      <c r="C737" s="15"/>
    </row>
    <row r="738" spans="3:3" ht="14.25" customHeight="1" x14ac:dyDescent="0.2">
      <c r="C738" s="15"/>
    </row>
    <row r="739" spans="3:3" ht="14.25" customHeight="1" x14ac:dyDescent="0.2">
      <c r="C739" s="15"/>
    </row>
    <row r="740" spans="3:3" ht="14.25" customHeight="1" x14ac:dyDescent="0.2">
      <c r="C740" s="15"/>
    </row>
    <row r="741" spans="3:3" ht="14.25" customHeight="1" x14ac:dyDescent="0.2">
      <c r="C741" s="15"/>
    </row>
    <row r="742" spans="3:3" ht="14.25" customHeight="1" x14ac:dyDescent="0.2">
      <c r="C742" s="15"/>
    </row>
    <row r="743" spans="3:3" ht="14.25" customHeight="1" x14ac:dyDescent="0.2">
      <c r="C743" s="15"/>
    </row>
    <row r="744" spans="3:3" ht="14.25" customHeight="1" x14ac:dyDescent="0.2">
      <c r="C744" s="15"/>
    </row>
    <row r="745" spans="3:3" ht="14.25" customHeight="1" x14ac:dyDescent="0.2">
      <c r="C745" s="15"/>
    </row>
    <row r="746" spans="3:3" ht="14.25" customHeight="1" x14ac:dyDescent="0.2">
      <c r="C746" s="15"/>
    </row>
    <row r="747" spans="3:3" ht="14.25" customHeight="1" x14ac:dyDescent="0.2">
      <c r="C747" s="15"/>
    </row>
    <row r="748" spans="3:3" ht="14.25" customHeight="1" x14ac:dyDescent="0.2">
      <c r="C748" s="15"/>
    </row>
    <row r="749" spans="3:3" ht="14.25" customHeight="1" x14ac:dyDescent="0.2">
      <c r="C749" s="15"/>
    </row>
    <row r="750" spans="3:3" ht="14.25" customHeight="1" x14ac:dyDescent="0.2">
      <c r="C750" s="15"/>
    </row>
    <row r="751" spans="3:3" ht="14.25" customHeight="1" x14ac:dyDescent="0.2">
      <c r="C751" s="15"/>
    </row>
    <row r="752" spans="3:3" ht="14.25" customHeight="1" x14ac:dyDescent="0.2">
      <c r="C752" s="15"/>
    </row>
    <row r="753" spans="3:3" ht="14.25" customHeight="1" x14ac:dyDescent="0.2">
      <c r="C753" s="15"/>
    </row>
    <row r="754" spans="3:3" ht="14.25" customHeight="1" x14ac:dyDescent="0.2">
      <c r="C754" s="15"/>
    </row>
    <row r="755" spans="3:3" ht="14.25" customHeight="1" x14ac:dyDescent="0.2">
      <c r="C755" s="15"/>
    </row>
    <row r="756" spans="3:3" ht="14.25" customHeight="1" x14ac:dyDescent="0.2">
      <c r="C756" s="15"/>
    </row>
    <row r="757" spans="3:3" ht="14.25" customHeight="1" x14ac:dyDescent="0.2">
      <c r="C757" s="15"/>
    </row>
    <row r="758" spans="3:3" ht="14.25" customHeight="1" x14ac:dyDescent="0.2">
      <c r="C758" s="15"/>
    </row>
    <row r="759" spans="3:3" ht="14.25" customHeight="1" x14ac:dyDescent="0.2">
      <c r="C759" s="15"/>
    </row>
    <row r="760" spans="3:3" ht="14.25" customHeight="1" x14ac:dyDescent="0.2">
      <c r="C760" s="15"/>
    </row>
    <row r="761" spans="3:3" ht="14.25" customHeight="1" x14ac:dyDescent="0.2">
      <c r="C761" s="15"/>
    </row>
    <row r="762" spans="3:3" ht="14.25" customHeight="1" x14ac:dyDescent="0.2">
      <c r="C762" s="15"/>
    </row>
    <row r="763" spans="3:3" ht="14.25" customHeight="1" x14ac:dyDescent="0.2">
      <c r="C763" s="15"/>
    </row>
    <row r="764" spans="3:3" ht="14.25" customHeight="1" x14ac:dyDescent="0.2">
      <c r="C764" s="15"/>
    </row>
    <row r="765" spans="3:3" ht="14.25" customHeight="1" x14ac:dyDescent="0.2">
      <c r="C765" s="15"/>
    </row>
    <row r="766" spans="3:3" ht="14.25" customHeight="1" x14ac:dyDescent="0.2">
      <c r="C766" s="15"/>
    </row>
    <row r="767" spans="3:3" ht="14.25" customHeight="1" x14ac:dyDescent="0.2">
      <c r="C767" s="15"/>
    </row>
    <row r="768" spans="3:3" ht="14.25" customHeight="1" x14ac:dyDescent="0.2">
      <c r="C768" s="15"/>
    </row>
    <row r="769" spans="3:3" ht="14.25" customHeight="1" x14ac:dyDescent="0.2">
      <c r="C769" s="15"/>
    </row>
    <row r="770" spans="3:3" ht="14.25" customHeight="1" x14ac:dyDescent="0.2">
      <c r="C770" s="15"/>
    </row>
    <row r="771" spans="3:3" ht="14.25" customHeight="1" x14ac:dyDescent="0.2">
      <c r="C771" s="15"/>
    </row>
    <row r="772" spans="3:3" ht="14.25" customHeight="1" x14ac:dyDescent="0.2">
      <c r="C772" s="15"/>
    </row>
    <row r="773" spans="3:3" ht="14.25" customHeight="1" x14ac:dyDescent="0.2">
      <c r="C773" s="15"/>
    </row>
    <row r="774" spans="3:3" ht="14.25" customHeight="1" x14ac:dyDescent="0.2">
      <c r="C774" s="15"/>
    </row>
    <row r="775" spans="3:3" ht="14.25" customHeight="1" x14ac:dyDescent="0.2">
      <c r="C775" s="15"/>
    </row>
    <row r="776" spans="3:3" ht="14.25" customHeight="1" x14ac:dyDescent="0.2">
      <c r="C776" s="15"/>
    </row>
    <row r="777" spans="3:3" ht="14.25" customHeight="1" x14ac:dyDescent="0.2">
      <c r="C777" s="15"/>
    </row>
    <row r="778" spans="3:3" ht="14.25" customHeight="1" x14ac:dyDescent="0.2">
      <c r="C778" s="15"/>
    </row>
    <row r="779" spans="3:3" ht="14.25" customHeight="1" x14ac:dyDescent="0.2">
      <c r="C779" s="15"/>
    </row>
    <row r="780" spans="3:3" ht="14.25" customHeight="1" x14ac:dyDescent="0.2">
      <c r="C780" s="15"/>
    </row>
    <row r="781" spans="3:3" ht="14.25" customHeight="1" x14ac:dyDescent="0.2">
      <c r="C781" s="15"/>
    </row>
    <row r="782" spans="3:3" ht="14.25" customHeight="1" x14ac:dyDescent="0.2">
      <c r="C782" s="15"/>
    </row>
    <row r="783" spans="3:3" ht="14.25" customHeight="1" x14ac:dyDescent="0.2">
      <c r="C783" s="15"/>
    </row>
    <row r="784" spans="3:3" ht="14.25" customHeight="1" x14ac:dyDescent="0.2">
      <c r="C784" s="15"/>
    </row>
    <row r="785" spans="3:3" ht="14.25" customHeight="1" x14ac:dyDescent="0.2">
      <c r="C785" s="15"/>
    </row>
    <row r="786" spans="3:3" ht="14.25" customHeight="1" x14ac:dyDescent="0.2">
      <c r="C786" s="15"/>
    </row>
    <row r="787" spans="3:3" ht="14.25" customHeight="1" x14ac:dyDescent="0.2">
      <c r="C787" s="15"/>
    </row>
    <row r="788" spans="3:3" ht="14.25" customHeight="1" x14ac:dyDescent="0.2">
      <c r="C788" s="15"/>
    </row>
    <row r="789" spans="3:3" ht="14.25" customHeight="1" x14ac:dyDescent="0.2">
      <c r="C789" s="15"/>
    </row>
    <row r="790" spans="3:3" ht="14.25" customHeight="1" x14ac:dyDescent="0.2">
      <c r="C790" s="15"/>
    </row>
    <row r="791" spans="3:3" ht="14.25" customHeight="1" x14ac:dyDescent="0.2">
      <c r="C791" s="15"/>
    </row>
    <row r="792" spans="3:3" ht="14.25" customHeight="1" x14ac:dyDescent="0.2">
      <c r="C792" s="15"/>
    </row>
    <row r="793" spans="3:3" ht="14.25" customHeight="1" x14ac:dyDescent="0.2">
      <c r="C793" s="15"/>
    </row>
    <row r="794" spans="3:3" ht="14.25" customHeight="1" x14ac:dyDescent="0.2">
      <c r="C794" s="15"/>
    </row>
    <row r="795" spans="3:3" ht="14.25" customHeight="1" x14ac:dyDescent="0.2">
      <c r="C795" s="15"/>
    </row>
    <row r="796" spans="3:3" ht="14.25" customHeight="1" x14ac:dyDescent="0.2">
      <c r="C796" s="15"/>
    </row>
    <row r="797" spans="3:3" ht="14.25" customHeight="1" x14ac:dyDescent="0.2">
      <c r="C797" s="15"/>
    </row>
    <row r="798" spans="3:3" ht="14.25" customHeight="1" x14ac:dyDescent="0.2">
      <c r="C798" s="15"/>
    </row>
    <row r="799" spans="3:3" ht="14.25" customHeight="1" x14ac:dyDescent="0.2">
      <c r="C799" s="15"/>
    </row>
    <row r="800" spans="3:3" ht="14.25" customHeight="1" x14ac:dyDescent="0.2">
      <c r="C800" s="15"/>
    </row>
    <row r="801" spans="3:3" ht="14.25" customHeight="1" x14ac:dyDescent="0.2">
      <c r="C801" s="15"/>
    </row>
    <row r="802" spans="3:3" ht="14.25" customHeight="1" x14ac:dyDescent="0.2">
      <c r="C802" s="15"/>
    </row>
    <row r="803" spans="3:3" ht="14.25" customHeight="1" x14ac:dyDescent="0.2">
      <c r="C803" s="15"/>
    </row>
    <row r="804" spans="3:3" ht="14.25" customHeight="1" x14ac:dyDescent="0.2">
      <c r="C804" s="15"/>
    </row>
    <row r="805" spans="3:3" ht="14.25" customHeight="1" x14ac:dyDescent="0.2">
      <c r="C805" s="15"/>
    </row>
    <row r="806" spans="3:3" ht="14.25" customHeight="1" x14ac:dyDescent="0.2">
      <c r="C806" s="15"/>
    </row>
    <row r="807" spans="3:3" ht="14.25" customHeight="1" x14ac:dyDescent="0.2">
      <c r="C807" s="15"/>
    </row>
    <row r="808" spans="3:3" ht="14.25" customHeight="1" x14ac:dyDescent="0.2">
      <c r="C808" s="15"/>
    </row>
    <row r="809" spans="3:3" ht="14.25" customHeight="1" x14ac:dyDescent="0.2">
      <c r="C809" s="15"/>
    </row>
    <row r="810" spans="3:3" ht="14.25" customHeight="1" x14ac:dyDescent="0.2">
      <c r="C810" s="15"/>
    </row>
    <row r="811" spans="3:3" ht="14.25" customHeight="1" x14ac:dyDescent="0.2">
      <c r="C811" s="15"/>
    </row>
    <row r="812" spans="3:3" ht="14.25" customHeight="1" x14ac:dyDescent="0.2">
      <c r="C812" s="15"/>
    </row>
    <row r="813" spans="3:3" ht="14.25" customHeight="1" x14ac:dyDescent="0.2">
      <c r="C813" s="15"/>
    </row>
    <row r="814" spans="3:3" ht="14.25" customHeight="1" x14ac:dyDescent="0.2">
      <c r="C814" s="15"/>
    </row>
    <row r="815" spans="3:3" ht="14.25" customHeight="1" x14ac:dyDescent="0.2">
      <c r="C815" s="15"/>
    </row>
    <row r="816" spans="3:3" ht="14.25" customHeight="1" x14ac:dyDescent="0.2">
      <c r="C816" s="15"/>
    </row>
    <row r="817" spans="3:3" ht="14.25" customHeight="1" x14ac:dyDescent="0.2">
      <c r="C817" s="15"/>
    </row>
    <row r="818" spans="3:3" ht="14.25" customHeight="1" x14ac:dyDescent="0.2">
      <c r="C818" s="15"/>
    </row>
    <row r="819" spans="3:3" ht="14.25" customHeight="1" x14ac:dyDescent="0.2">
      <c r="C819" s="15"/>
    </row>
    <row r="820" spans="3:3" ht="14.25" customHeight="1" x14ac:dyDescent="0.2">
      <c r="C820" s="15"/>
    </row>
    <row r="821" spans="3:3" ht="14.25" customHeight="1" x14ac:dyDescent="0.2">
      <c r="C821" s="15"/>
    </row>
    <row r="822" spans="3:3" ht="14.25" customHeight="1" x14ac:dyDescent="0.2">
      <c r="C822" s="15"/>
    </row>
    <row r="823" spans="3:3" ht="14.25" customHeight="1" x14ac:dyDescent="0.2">
      <c r="C823" s="15"/>
    </row>
    <row r="824" spans="3:3" ht="14.25" customHeight="1" x14ac:dyDescent="0.2">
      <c r="C824" s="15"/>
    </row>
    <row r="825" spans="3:3" ht="14.25" customHeight="1" x14ac:dyDescent="0.2">
      <c r="C825" s="15"/>
    </row>
    <row r="826" spans="3:3" ht="14.25" customHeight="1" x14ac:dyDescent="0.2">
      <c r="C826" s="15"/>
    </row>
    <row r="827" spans="3:3" ht="14.25" customHeight="1" x14ac:dyDescent="0.2">
      <c r="C827" s="15"/>
    </row>
    <row r="828" spans="3:3" ht="14.25" customHeight="1" x14ac:dyDescent="0.2">
      <c r="C828" s="15"/>
    </row>
    <row r="829" spans="3:3" ht="14.25" customHeight="1" x14ac:dyDescent="0.2">
      <c r="C829" s="15"/>
    </row>
    <row r="830" spans="3:3" ht="14.25" customHeight="1" x14ac:dyDescent="0.2">
      <c r="C830" s="15"/>
    </row>
    <row r="831" spans="3:3" ht="14.25" customHeight="1" x14ac:dyDescent="0.2">
      <c r="C831" s="15"/>
    </row>
    <row r="832" spans="3:3" ht="14.25" customHeight="1" x14ac:dyDescent="0.2">
      <c r="C832" s="15"/>
    </row>
    <row r="833" spans="3:3" ht="14.25" customHeight="1" x14ac:dyDescent="0.2">
      <c r="C833" s="15"/>
    </row>
    <row r="834" spans="3:3" ht="14.25" customHeight="1" x14ac:dyDescent="0.2">
      <c r="C834" s="15"/>
    </row>
    <row r="835" spans="3:3" ht="14.25" customHeight="1" x14ac:dyDescent="0.2">
      <c r="C835" s="15"/>
    </row>
    <row r="836" spans="3:3" ht="14.25" customHeight="1" x14ac:dyDescent="0.2">
      <c r="C836" s="15"/>
    </row>
    <row r="837" spans="3:3" ht="14.25" customHeight="1" x14ac:dyDescent="0.2">
      <c r="C837" s="15"/>
    </row>
    <row r="838" spans="3:3" ht="14.25" customHeight="1" x14ac:dyDescent="0.2">
      <c r="C838" s="15"/>
    </row>
    <row r="839" spans="3:3" ht="14.25" customHeight="1" x14ac:dyDescent="0.2">
      <c r="C839" s="15"/>
    </row>
    <row r="840" spans="3:3" ht="14.25" customHeight="1" x14ac:dyDescent="0.2">
      <c r="C840" s="15"/>
    </row>
    <row r="841" spans="3:3" ht="14.25" customHeight="1" x14ac:dyDescent="0.2">
      <c r="C841" s="15"/>
    </row>
    <row r="842" spans="3:3" ht="14.25" customHeight="1" x14ac:dyDescent="0.2">
      <c r="C842" s="15"/>
    </row>
    <row r="843" spans="3:3" ht="14.25" customHeight="1" x14ac:dyDescent="0.2">
      <c r="C843" s="15"/>
    </row>
    <row r="844" spans="3:3" ht="14.25" customHeight="1" x14ac:dyDescent="0.2">
      <c r="C844" s="15"/>
    </row>
    <row r="845" spans="3:3" ht="14.25" customHeight="1" x14ac:dyDescent="0.2">
      <c r="C845" s="15"/>
    </row>
    <row r="846" spans="3:3" ht="14.25" customHeight="1" x14ac:dyDescent="0.2">
      <c r="C846" s="15"/>
    </row>
    <row r="847" spans="3:3" ht="14.25" customHeight="1" x14ac:dyDescent="0.2">
      <c r="C847" s="15"/>
    </row>
    <row r="848" spans="3:3" ht="14.25" customHeight="1" x14ac:dyDescent="0.2">
      <c r="C848" s="15"/>
    </row>
    <row r="849" spans="3:3" ht="14.25" customHeight="1" x14ac:dyDescent="0.2">
      <c r="C849" s="15"/>
    </row>
    <row r="850" spans="3:3" ht="14.25" customHeight="1" x14ac:dyDescent="0.2">
      <c r="C850" s="15"/>
    </row>
    <row r="851" spans="3:3" ht="14.25" customHeight="1" x14ac:dyDescent="0.2">
      <c r="C851" s="15"/>
    </row>
    <row r="852" spans="3:3" ht="14.25" customHeight="1" x14ac:dyDescent="0.2">
      <c r="C852" s="15"/>
    </row>
    <row r="853" spans="3:3" ht="14.25" customHeight="1" x14ac:dyDescent="0.2">
      <c r="C853" s="15"/>
    </row>
    <row r="854" spans="3:3" ht="14.25" customHeight="1" x14ac:dyDescent="0.2">
      <c r="C854" s="15"/>
    </row>
    <row r="855" spans="3:3" ht="14.25" customHeight="1" x14ac:dyDescent="0.2">
      <c r="C855" s="15"/>
    </row>
    <row r="856" spans="3:3" ht="14.25" customHeight="1" x14ac:dyDescent="0.2">
      <c r="C856" s="15"/>
    </row>
    <row r="857" spans="3:3" ht="14.25" customHeight="1" x14ac:dyDescent="0.2">
      <c r="C857" s="15"/>
    </row>
    <row r="858" spans="3:3" ht="14.25" customHeight="1" x14ac:dyDescent="0.2">
      <c r="C858" s="15"/>
    </row>
    <row r="859" spans="3:3" ht="14.25" customHeight="1" x14ac:dyDescent="0.2">
      <c r="C859" s="15"/>
    </row>
    <row r="860" spans="3:3" ht="14.25" customHeight="1" x14ac:dyDescent="0.2">
      <c r="C860" s="15"/>
    </row>
    <row r="861" spans="3:3" ht="14.25" customHeight="1" x14ac:dyDescent="0.2">
      <c r="C861" s="15"/>
    </row>
    <row r="862" spans="3:3" ht="14.25" customHeight="1" x14ac:dyDescent="0.2">
      <c r="C862" s="15"/>
    </row>
    <row r="863" spans="3:3" ht="14.25" customHeight="1" x14ac:dyDescent="0.2">
      <c r="C863" s="15"/>
    </row>
    <row r="864" spans="3:3" ht="14.25" customHeight="1" x14ac:dyDescent="0.2">
      <c r="C864" s="15"/>
    </row>
    <row r="865" spans="3:3" ht="14.25" customHeight="1" x14ac:dyDescent="0.2">
      <c r="C865" s="15"/>
    </row>
    <row r="866" spans="3:3" ht="14.25" customHeight="1" x14ac:dyDescent="0.2">
      <c r="C866" s="15"/>
    </row>
    <row r="867" spans="3:3" ht="14.25" customHeight="1" x14ac:dyDescent="0.2">
      <c r="C867" s="15"/>
    </row>
    <row r="868" spans="3:3" ht="14.25" customHeight="1" x14ac:dyDescent="0.2">
      <c r="C868" s="15"/>
    </row>
    <row r="869" spans="3:3" ht="14.25" customHeight="1" x14ac:dyDescent="0.2">
      <c r="C869" s="15"/>
    </row>
    <row r="870" spans="3:3" ht="14.25" customHeight="1" x14ac:dyDescent="0.2">
      <c r="C870" s="15"/>
    </row>
    <row r="871" spans="3:3" ht="14.25" customHeight="1" x14ac:dyDescent="0.2">
      <c r="C871" s="15"/>
    </row>
    <row r="872" spans="3:3" ht="14.25" customHeight="1" x14ac:dyDescent="0.2">
      <c r="C872" s="15"/>
    </row>
    <row r="873" spans="3:3" ht="14.25" customHeight="1" x14ac:dyDescent="0.2">
      <c r="C873" s="15"/>
    </row>
    <row r="874" spans="3:3" ht="14.25" customHeight="1" x14ac:dyDescent="0.2">
      <c r="C874" s="15"/>
    </row>
    <row r="875" spans="3:3" ht="14.25" customHeight="1" x14ac:dyDescent="0.2">
      <c r="C875" s="15"/>
    </row>
    <row r="876" spans="3:3" ht="14.25" customHeight="1" x14ac:dyDescent="0.2">
      <c r="C876" s="15"/>
    </row>
    <row r="877" spans="3:3" ht="14.25" customHeight="1" x14ac:dyDescent="0.2">
      <c r="C877" s="15"/>
    </row>
    <row r="878" spans="3:3" ht="14.25" customHeight="1" x14ac:dyDescent="0.2">
      <c r="C878" s="15"/>
    </row>
    <row r="879" spans="3:3" ht="14.25" customHeight="1" x14ac:dyDescent="0.2">
      <c r="C879" s="15"/>
    </row>
    <row r="880" spans="3:3" ht="14.25" customHeight="1" x14ac:dyDescent="0.2">
      <c r="C880" s="15"/>
    </row>
    <row r="881" spans="3:3" ht="14.25" customHeight="1" x14ac:dyDescent="0.2">
      <c r="C881" s="15"/>
    </row>
    <row r="882" spans="3:3" ht="14.25" customHeight="1" x14ac:dyDescent="0.2">
      <c r="C882" s="15"/>
    </row>
    <row r="883" spans="3:3" ht="14.25" customHeight="1" x14ac:dyDescent="0.2">
      <c r="C883" s="15"/>
    </row>
    <row r="884" spans="3:3" ht="14.25" customHeight="1" x14ac:dyDescent="0.2">
      <c r="C884" s="15"/>
    </row>
    <row r="885" spans="3:3" ht="14.25" customHeight="1" x14ac:dyDescent="0.2">
      <c r="C885" s="15"/>
    </row>
    <row r="886" spans="3:3" ht="14.25" customHeight="1" x14ac:dyDescent="0.2">
      <c r="C886" s="15"/>
    </row>
    <row r="887" spans="3:3" ht="14.25" customHeight="1" x14ac:dyDescent="0.2">
      <c r="C887" s="15"/>
    </row>
    <row r="888" spans="3:3" ht="14.25" customHeight="1" x14ac:dyDescent="0.2">
      <c r="C888" s="15"/>
    </row>
    <row r="889" spans="3:3" ht="14.25" customHeight="1" x14ac:dyDescent="0.2">
      <c r="C889" s="15"/>
    </row>
    <row r="890" spans="3:3" ht="14.25" customHeight="1" x14ac:dyDescent="0.2">
      <c r="C890" s="15"/>
    </row>
    <row r="891" spans="3:3" ht="14.25" customHeight="1" x14ac:dyDescent="0.2">
      <c r="C891" s="15"/>
    </row>
    <row r="892" spans="3:3" ht="14.25" customHeight="1" x14ac:dyDescent="0.2">
      <c r="C892" s="15"/>
    </row>
    <row r="893" spans="3:3" ht="14.25" customHeight="1" x14ac:dyDescent="0.2">
      <c r="C893" s="15"/>
    </row>
    <row r="894" spans="3:3" ht="14.25" customHeight="1" x14ac:dyDescent="0.2">
      <c r="C894" s="15"/>
    </row>
    <row r="895" spans="3:3" ht="14.25" customHeight="1" x14ac:dyDescent="0.2">
      <c r="C895" s="15"/>
    </row>
    <row r="896" spans="3:3" ht="14.25" customHeight="1" x14ac:dyDescent="0.2">
      <c r="C896" s="15"/>
    </row>
    <row r="897" spans="3:3" ht="14.25" customHeight="1" x14ac:dyDescent="0.2">
      <c r="C897" s="15"/>
    </row>
    <row r="898" spans="3:3" ht="14.25" customHeight="1" x14ac:dyDescent="0.2">
      <c r="C898" s="15"/>
    </row>
    <row r="899" spans="3:3" ht="14.25" customHeight="1" x14ac:dyDescent="0.2">
      <c r="C899" s="15"/>
    </row>
    <row r="900" spans="3:3" ht="14.25" customHeight="1" x14ac:dyDescent="0.2">
      <c r="C900" s="15"/>
    </row>
    <row r="901" spans="3:3" ht="14.25" customHeight="1" x14ac:dyDescent="0.2">
      <c r="C901" s="15"/>
    </row>
    <row r="902" spans="3:3" ht="14.25" customHeight="1" x14ac:dyDescent="0.2">
      <c r="C902" s="15"/>
    </row>
    <row r="903" spans="3:3" ht="14.25" customHeight="1" x14ac:dyDescent="0.2">
      <c r="C903" s="15"/>
    </row>
    <row r="904" spans="3:3" ht="14.25" customHeight="1" x14ac:dyDescent="0.2">
      <c r="C904" s="15"/>
    </row>
    <row r="905" spans="3:3" ht="14.25" customHeight="1" x14ac:dyDescent="0.2">
      <c r="C905" s="15"/>
    </row>
    <row r="906" spans="3:3" ht="14.25" customHeight="1" x14ac:dyDescent="0.2">
      <c r="C906" s="15"/>
    </row>
    <row r="907" spans="3:3" ht="14.25" customHeight="1" x14ac:dyDescent="0.2">
      <c r="C907" s="15"/>
    </row>
    <row r="908" spans="3:3" ht="14.25" customHeight="1" x14ac:dyDescent="0.2">
      <c r="C908" s="15"/>
    </row>
    <row r="909" spans="3:3" ht="14.25" customHeight="1" x14ac:dyDescent="0.2">
      <c r="C909" s="15"/>
    </row>
    <row r="910" spans="3:3" ht="14.25" customHeight="1" x14ac:dyDescent="0.2">
      <c r="C910" s="15"/>
    </row>
    <row r="911" spans="3:3" ht="14.25" customHeight="1" x14ac:dyDescent="0.2">
      <c r="C911" s="15"/>
    </row>
    <row r="912" spans="3:3" ht="14.25" customHeight="1" x14ac:dyDescent="0.2">
      <c r="C912" s="15"/>
    </row>
    <row r="913" spans="3:3" ht="14.25" customHeight="1" x14ac:dyDescent="0.2">
      <c r="C913" s="15"/>
    </row>
    <row r="914" spans="3:3" ht="14.25" customHeight="1" x14ac:dyDescent="0.2">
      <c r="C914" s="15"/>
    </row>
    <row r="915" spans="3:3" ht="14.25" customHeight="1" x14ac:dyDescent="0.2">
      <c r="C915" s="15"/>
    </row>
    <row r="916" spans="3:3" ht="14.25" customHeight="1" x14ac:dyDescent="0.2">
      <c r="C916" s="15"/>
    </row>
    <row r="917" spans="3:3" ht="14.25" customHeight="1" x14ac:dyDescent="0.2">
      <c r="C917" s="15"/>
    </row>
    <row r="918" spans="3:3" ht="14.25" customHeight="1" x14ac:dyDescent="0.2">
      <c r="C918" s="15"/>
    </row>
    <row r="919" spans="3:3" ht="14.25" customHeight="1" x14ac:dyDescent="0.2">
      <c r="C919" s="15"/>
    </row>
    <row r="920" spans="3:3" ht="14.25" customHeight="1" x14ac:dyDescent="0.2">
      <c r="C920" s="15"/>
    </row>
    <row r="921" spans="3:3" ht="14.25" customHeight="1" x14ac:dyDescent="0.2">
      <c r="C921" s="15"/>
    </row>
    <row r="922" spans="3:3" ht="14.25" customHeight="1" x14ac:dyDescent="0.2">
      <c r="C922" s="15"/>
    </row>
    <row r="923" spans="3:3" ht="14.25" customHeight="1" x14ac:dyDescent="0.2">
      <c r="C923" s="15"/>
    </row>
    <row r="924" spans="3:3" ht="14.25" customHeight="1" x14ac:dyDescent="0.2">
      <c r="C924" s="15"/>
    </row>
    <row r="925" spans="3:3" ht="14.25" customHeight="1" x14ac:dyDescent="0.2">
      <c r="C925" s="15"/>
    </row>
    <row r="926" spans="3:3" ht="14.25" customHeight="1" x14ac:dyDescent="0.2">
      <c r="C926" s="15"/>
    </row>
    <row r="927" spans="3:3" ht="14.25" customHeight="1" x14ac:dyDescent="0.2">
      <c r="C927" s="15"/>
    </row>
    <row r="928" spans="3:3" ht="14.25" customHeight="1" x14ac:dyDescent="0.2">
      <c r="C928" s="15"/>
    </row>
    <row r="929" spans="3:3" ht="14.25" customHeight="1" x14ac:dyDescent="0.2">
      <c r="C929" s="15"/>
    </row>
    <row r="930" spans="3:3" ht="14.25" customHeight="1" x14ac:dyDescent="0.2">
      <c r="C930" s="15"/>
    </row>
    <row r="931" spans="3:3" ht="14.25" customHeight="1" x14ac:dyDescent="0.2">
      <c r="C931" s="15"/>
    </row>
    <row r="932" spans="3:3" ht="14.25" customHeight="1" x14ac:dyDescent="0.2">
      <c r="C932" s="15"/>
    </row>
    <row r="933" spans="3:3" ht="14.25" customHeight="1" x14ac:dyDescent="0.2">
      <c r="C933" s="15"/>
    </row>
    <row r="934" spans="3:3" ht="14.25" customHeight="1" x14ac:dyDescent="0.2">
      <c r="C934" s="15"/>
    </row>
    <row r="935" spans="3:3" ht="14.25" customHeight="1" x14ac:dyDescent="0.2">
      <c r="C935" s="15"/>
    </row>
    <row r="936" spans="3:3" ht="14.25" customHeight="1" x14ac:dyDescent="0.2">
      <c r="C936" s="15"/>
    </row>
    <row r="937" spans="3:3" ht="14.25" customHeight="1" x14ac:dyDescent="0.2">
      <c r="C937" s="15"/>
    </row>
    <row r="938" spans="3:3" ht="14.25" customHeight="1" x14ac:dyDescent="0.2">
      <c r="C938" s="15"/>
    </row>
    <row r="939" spans="3:3" ht="14.25" customHeight="1" x14ac:dyDescent="0.2">
      <c r="C939" s="15"/>
    </row>
    <row r="940" spans="3:3" ht="14.25" customHeight="1" x14ac:dyDescent="0.2">
      <c r="C940" s="15"/>
    </row>
    <row r="941" spans="3:3" ht="14.25" customHeight="1" x14ac:dyDescent="0.2">
      <c r="C941" s="15"/>
    </row>
    <row r="942" spans="3:3" ht="14.25" customHeight="1" x14ac:dyDescent="0.2">
      <c r="C942" s="15"/>
    </row>
    <row r="943" spans="3:3" ht="14.25" customHeight="1" x14ac:dyDescent="0.2">
      <c r="C943" s="15"/>
    </row>
    <row r="944" spans="3:3" ht="14.25" customHeight="1" x14ac:dyDescent="0.2">
      <c r="C944" s="15"/>
    </row>
    <row r="945" spans="3:3" ht="14.25" customHeight="1" x14ac:dyDescent="0.2">
      <c r="C945" s="15"/>
    </row>
    <row r="946" spans="3:3" ht="14.25" customHeight="1" x14ac:dyDescent="0.2">
      <c r="C946" s="15"/>
    </row>
    <row r="947" spans="3:3" ht="14.25" customHeight="1" x14ac:dyDescent="0.2">
      <c r="C947" s="15"/>
    </row>
    <row r="948" spans="3:3" ht="14.25" customHeight="1" x14ac:dyDescent="0.2">
      <c r="C948" s="15"/>
    </row>
    <row r="949" spans="3:3" ht="14.25" customHeight="1" x14ac:dyDescent="0.2">
      <c r="C949" s="15"/>
    </row>
    <row r="950" spans="3:3" ht="14.25" customHeight="1" x14ac:dyDescent="0.2">
      <c r="C950" s="15"/>
    </row>
    <row r="951" spans="3:3" ht="14.25" customHeight="1" x14ac:dyDescent="0.2">
      <c r="C951" s="15"/>
    </row>
    <row r="952" spans="3:3" ht="14.25" customHeight="1" x14ac:dyDescent="0.2">
      <c r="C952" s="15"/>
    </row>
    <row r="953" spans="3:3" ht="14.25" customHeight="1" x14ac:dyDescent="0.2">
      <c r="C953" s="15"/>
    </row>
    <row r="954" spans="3:3" ht="14.25" customHeight="1" x14ac:dyDescent="0.2">
      <c r="C954" s="15"/>
    </row>
    <row r="955" spans="3:3" ht="14.25" customHeight="1" x14ac:dyDescent="0.2">
      <c r="C955" s="15"/>
    </row>
    <row r="956" spans="3:3" ht="14.25" customHeight="1" x14ac:dyDescent="0.2">
      <c r="C956" s="15"/>
    </row>
    <row r="957" spans="3:3" ht="14.25" customHeight="1" x14ac:dyDescent="0.2">
      <c r="C957" s="15"/>
    </row>
    <row r="958" spans="3:3" ht="14.25" customHeight="1" x14ac:dyDescent="0.2">
      <c r="C958" s="15"/>
    </row>
    <row r="959" spans="3:3" ht="14.25" customHeight="1" x14ac:dyDescent="0.2">
      <c r="C959" s="15"/>
    </row>
    <row r="960" spans="3:3" ht="14.25" customHeight="1" x14ac:dyDescent="0.2">
      <c r="C960" s="15"/>
    </row>
    <row r="961" spans="3:3" ht="14.25" customHeight="1" x14ac:dyDescent="0.2">
      <c r="C961" s="15"/>
    </row>
    <row r="962" spans="3:3" ht="14.25" customHeight="1" x14ac:dyDescent="0.2">
      <c r="C962" s="15"/>
    </row>
    <row r="963" spans="3:3" ht="14.25" customHeight="1" x14ac:dyDescent="0.2">
      <c r="C963" s="15"/>
    </row>
    <row r="964" spans="3:3" ht="14.25" customHeight="1" x14ac:dyDescent="0.2">
      <c r="C964" s="15"/>
    </row>
    <row r="965" spans="3:3" ht="14.25" customHeight="1" x14ac:dyDescent="0.2">
      <c r="C965" s="15"/>
    </row>
    <row r="966" spans="3:3" ht="14.25" customHeight="1" x14ac:dyDescent="0.2">
      <c r="C966" s="15"/>
    </row>
    <row r="967" spans="3:3" ht="14.25" customHeight="1" x14ac:dyDescent="0.2">
      <c r="C967" s="15"/>
    </row>
    <row r="968" spans="3:3" ht="14.25" customHeight="1" x14ac:dyDescent="0.2">
      <c r="C968" s="15"/>
    </row>
    <row r="969" spans="3:3" ht="14.25" customHeight="1" x14ac:dyDescent="0.2">
      <c r="C969" s="15"/>
    </row>
    <row r="970" spans="3:3" ht="14.25" customHeight="1" x14ac:dyDescent="0.2">
      <c r="C970" s="15"/>
    </row>
    <row r="971" spans="3:3" ht="14.25" customHeight="1" x14ac:dyDescent="0.2">
      <c r="C971" s="15"/>
    </row>
    <row r="972" spans="3:3" ht="14.25" customHeight="1" x14ac:dyDescent="0.2">
      <c r="C972" s="15"/>
    </row>
    <row r="973" spans="3:3" ht="14.25" customHeight="1" x14ac:dyDescent="0.2">
      <c r="C973" s="15"/>
    </row>
    <row r="974" spans="3:3" ht="14.25" customHeight="1" x14ac:dyDescent="0.2">
      <c r="C974" s="15"/>
    </row>
    <row r="975" spans="3:3" ht="14.25" customHeight="1" x14ac:dyDescent="0.2">
      <c r="C975" s="15"/>
    </row>
    <row r="976" spans="3:3" ht="14.25" customHeight="1" x14ac:dyDescent="0.2">
      <c r="C976" s="15"/>
    </row>
    <row r="977" spans="3:3" ht="14.25" customHeight="1" x14ac:dyDescent="0.2">
      <c r="C977" s="15"/>
    </row>
    <row r="978" spans="3:3" ht="14.25" customHeight="1" x14ac:dyDescent="0.2">
      <c r="C978" s="15"/>
    </row>
    <row r="979" spans="3:3" ht="14.25" customHeight="1" x14ac:dyDescent="0.2">
      <c r="C979" s="15"/>
    </row>
    <row r="980" spans="3:3" ht="14.25" customHeight="1" x14ac:dyDescent="0.2">
      <c r="C980" s="15"/>
    </row>
    <row r="981" spans="3:3" ht="14.25" customHeight="1" x14ac:dyDescent="0.2">
      <c r="C981" s="15"/>
    </row>
    <row r="982" spans="3:3" ht="14.25" customHeight="1" x14ac:dyDescent="0.2">
      <c r="C982" s="15"/>
    </row>
    <row r="983" spans="3:3" ht="14.25" customHeight="1" x14ac:dyDescent="0.2">
      <c r="C983" s="15"/>
    </row>
    <row r="984" spans="3:3" ht="14.25" customHeight="1" x14ac:dyDescent="0.2">
      <c r="C984" s="15"/>
    </row>
    <row r="985" spans="3:3" ht="14.25" customHeight="1" x14ac:dyDescent="0.2">
      <c r="C985" s="15"/>
    </row>
    <row r="986" spans="3:3" ht="14.25" customHeight="1" x14ac:dyDescent="0.2">
      <c r="C986" s="15"/>
    </row>
    <row r="987" spans="3:3" ht="14.25" customHeight="1" x14ac:dyDescent="0.2">
      <c r="C987" s="15"/>
    </row>
    <row r="988" spans="3:3" ht="14.25" customHeight="1" x14ac:dyDescent="0.2">
      <c r="C988" s="15"/>
    </row>
    <row r="989" spans="3:3" ht="14.25" customHeight="1" x14ac:dyDescent="0.2">
      <c r="C989" s="15"/>
    </row>
    <row r="990" spans="3:3" ht="14.25" customHeight="1" x14ac:dyDescent="0.2">
      <c r="C990" s="15"/>
    </row>
    <row r="991" spans="3:3" ht="14.25" customHeight="1" x14ac:dyDescent="0.2">
      <c r="C991" s="15"/>
    </row>
    <row r="992" spans="3:3" ht="14.25" customHeight="1" x14ac:dyDescent="0.2">
      <c r="C992" s="15"/>
    </row>
    <row r="993" spans="3:3" ht="14.25" customHeight="1" x14ac:dyDescent="0.2">
      <c r="C993" s="15"/>
    </row>
    <row r="994" spans="3:3" ht="14.25" customHeight="1" x14ac:dyDescent="0.2">
      <c r="C994" s="15"/>
    </row>
    <row r="995" spans="3:3" ht="14.25" customHeight="1" x14ac:dyDescent="0.2">
      <c r="C995" s="15"/>
    </row>
    <row r="996" spans="3:3" ht="14.25" customHeight="1" x14ac:dyDescent="0.2">
      <c r="C996" s="15"/>
    </row>
    <row r="997" spans="3:3" ht="14.25" customHeight="1" x14ac:dyDescent="0.2">
      <c r="C997" s="15"/>
    </row>
    <row r="998" spans="3:3" ht="14.25" customHeight="1" x14ac:dyDescent="0.2">
      <c r="C998" s="15"/>
    </row>
    <row r="999" spans="3:3" ht="14.25" customHeight="1" x14ac:dyDescent="0.2">
      <c r="C999" s="15"/>
    </row>
    <row r="1000" spans="3:3" ht="14.25" customHeight="1" x14ac:dyDescent="0.2">
      <c r="C1000" s="15"/>
    </row>
  </sheetData>
  <pageMargins left="0.7" right="0.7" top="0.75" bottom="0.75" header="0" footer="0"/>
  <pageSetup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sheetPr>
  <dimension ref="A1:Z1000"/>
  <sheetViews>
    <sheetView showGridLines="0" workbookViewId="0"/>
  </sheetViews>
  <sheetFormatPr baseColWidth="10" defaultColWidth="14.5" defaultRowHeight="15" customHeight="1" x14ac:dyDescent="0.2"/>
  <cols>
    <col min="1" max="1" width="2.6640625" customWidth="1"/>
    <col min="2" max="2" width="54.6640625" customWidth="1"/>
    <col min="3" max="3" width="16.6640625" customWidth="1"/>
    <col min="4" max="5" width="15.33203125" customWidth="1"/>
    <col min="6" max="15" width="15.83203125" customWidth="1"/>
    <col min="16" max="16" width="2.5" customWidth="1"/>
    <col min="17" max="17" width="77" customWidth="1"/>
    <col min="18" max="26" width="8.6640625" customWidth="1"/>
  </cols>
  <sheetData>
    <row r="1" ht="14.25" customHeight="1" x14ac:dyDescent="0.2"/>
    <row r="2" ht="14.25" customHeight="1" x14ac:dyDescent="0.2"/>
    <row r="3" ht="14.25" customHeight="1" x14ac:dyDescent="0.2"/>
    <row r="4" ht="14.25" customHeight="1" x14ac:dyDescent="0.2"/>
    <row r="5" ht="14.25" customHeight="1" x14ac:dyDescent="0.2"/>
    <row r="6" ht="14.25" customHeight="1" x14ac:dyDescent="0.2"/>
    <row r="7" ht="14.25" customHeight="1" x14ac:dyDescent="0.2"/>
    <row r="8" ht="14.25" customHeight="1" x14ac:dyDescent="0.2"/>
    <row r="9" ht="14.25" customHeight="1" x14ac:dyDescent="0.2"/>
    <row r="10" ht="14.25" customHeight="1" x14ac:dyDescent="0.2"/>
    <row r="11" ht="14.25" customHeight="1" x14ac:dyDescent="0.2"/>
    <row r="12" ht="14.25" customHeight="1" x14ac:dyDescent="0.2"/>
    <row r="13" ht="14.25" customHeight="1" x14ac:dyDescent="0.2"/>
    <row r="14" ht="14.25" customHeight="1" x14ac:dyDescent="0.2"/>
    <row r="15" ht="14.25" customHeight="1" x14ac:dyDescent="0.2"/>
    <row r="16" ht="14.25" customHeight="1" x14ac:dyDescent="0.2"/>
    <row r="17" spans="2:17" ht="14.25" customHeight="1" x14ac:dyDescent="0.2"/>
    <row r="18" spans="2:17" ht="14.25" customHeight="1" x14ac:dyDescent="0.2"/>
    <row r="19" spans="2:17" ht="14.25" customHeight="1" x14ac:dyDescent="0.2"/>
    <row r="20" spans="2:17" ht="14.25" customHeight="1" x14ac:dyDescent="0.2"/>
    <row r="21" spans="2:17" ht="14.25" customHeight="1" x14ac:dyDescent="0.2"/>
    <row r="22" spans="2:17" ht="14.25" customHeight="1" x14ac:dyDescent="0.2"/>
    <row r="23" spans="2:17" ht="14.25" customHeight="1" x14ac:dyDescent="0.2"/>
    <row r="24" spans="2:17" ht="14.25" customHeight="1" x14ac:dyDescent="0.2"/>
    <row r="25" spans="2:17" ht="14.25" customHeight="1" x14ac:dyDescent="0.2"/>
    <row r="26" spans="2:17" ht="14.25" customHeight="1" x14ac:dyDescent="0.2"/>
    <row r="27" spans="2:17" ht="14.25" customHeight="1" x14ac:dyDescent="0.2"/>
    <row r="28" spans="2:17" ht="14.25" customHeight="1" x14ac:dyDescent="0.2"/>
    <row r="29" spans="2:17" ht="14.25" customHeight="1" x14ac:dyDescent="0.2"/>
    <row r="30" spans="2:17" ht="14.25" hidden="1" customHeight="1" x14ac:dyDescent="0.2">
      <c r="B30" s="15"/>
      <c r="C30" s="16">
        <v>1</v>
      </c>
      <c r="D30" s="16">
        <f t="shared" ref="D30:O30" si="0">C30+1</f>
        <v>2</v>
      </c>
      <c r="E30" s="16">
        <f t="shared" si="0"/>
        <v>3</v>
      </c>
      <c r="F30" s="16">
        <f t="shared" si="0"/>
        <v>4</v>
      </c>
      <c r="G30" s="16">
        <f t="shared" si="0"/>
        <v>5</v>
      </c>
      <c r="H30" s="16">
        <f t="shared" si="0"/>
        <v>6</v>
      </c>
      <c r="I30" s="16">
        <f t="shared" si="0"/>
        <v>7</v>
      </c>
      <c r="J30" s="16">
        <f t="shared" si="0"/>
        <v>8</v>
      </c>
      <c r="K30" s="16">
        <f t="shared" si="0"/>
        <v>9</v>
      </c>
      <c r="L30" s="16">
        <f t="shared" si="0"/>
        <v>10</v>
      </c>
      <c r="M30" s="16">
        <f t="shared" si="0"/>
        <v>11</v>
      </c>
      <c r="N30" s="16">
        <f t="shared" si="0"/>
        <v>12</v>
      </c>
      <c r="O30" s="16">
        <f t="shared" si="0"/>
        <v>13</v>
      </c>
    </row>
    <row r="31" spans="2:17" ht="14.25" customHeight="1" x14ac:dyDescent="0.2">
      <c r="B31" s="19" t="s">
        <v>273</v>
      </c>
      <c r="C31" s="20" t="str">
        <f t="shared" ref="C31:O31" si="1">"Week"&amp;" "&amp;C30</f>
        <v>Week 1</v>
      </c>
      <c r="D31" s="20" t="str">
        <f t="shared" si="1"/>
        <v>Week 2</v>
      </c>
      <c r="E31" s="20" t="str">
        <f t="shared" si="1"/>
        <v>Week 3</v>
      </c>
      <c r="F31" s="20" t="str">
        <f t="shared" si="1"/>
        <v>Week 4</v>
      </c>
      <c r="G31" s="20" t="str">
        <f t="shared" si="1"/>
        <v>Week 5</v>
      </c>
      <c r="H31" s="20" t="str">
        <f t="shared" si="1"/>
        <v>Week 6</v>
      </c>
      <c r="I31" s="20" t="str">
        <f t="shared" si="1"/>
        <v>Week 7</v>
      </c>
      <c r="J31" s="20" t="str">
        <f t="shared" si="1"/>
        <v>Week 8</v>
      </c>
      <c r="K31" s="20" t="str">
        <f t="shared" si="1"/>
        <v>Week 9</v>
      </c>
      <c r="L31" s="20" t="str">
        <f t="shared" si="1"/>
        <v>Week 10</v>
      </c>
      <c r="M31" s="20" t="str">
        <f t="shared" si="1"/>
        <v>Week 11</v>
      </c>
      <c r="N31" s="20" t="str">
        <f t="shared" si="1"/>
        <v>Week 12</v>
      </c>
      <c r="O31" s="20" t="str">
        <f t="shared" si="1"/>
        <v>Week 13</v>
      </c>
    </row>
    <row r="32" spans="2:17" ht="14.25" customHeight="1" x14ac:dyDescent="0.2">
      <c r="B32" s="19" t="s">
        <v>218</v>
      </c>
      <c r="C32" s="21">
        <f>'CURRENT FORECAST START DATE'!C4</f>
        <v>45971</v>
      </c>
      <c r="D32" s="21">
        <f t="shared" ref="D32:O32" si="2">C32+7</f>
        <v>45978</v>
      </c>
      <c r="E32" s="21">
        <f t="shared" si="2"/>
        <v>45985</v>
      </c>
      <c r="F32" s="21">
        <f t="shared" si="2"/>
        <v>45992</v>
      </c>
      <c r="G32" s="21">
        <f t="shared" si="2"/>
        <v>45999</v>
      </c>
      <c r="H32" s="21">
        <f t="shared" si="2"/>
        <v>46006</v>
      </c>
      <c r="I32" s="21">
        <f t="shared" si="2"/>
        <v>46013</v>
      </c>
      <c r="J32" s="21">
        <f t="shared" si="2"/>
        <v>46020</v>
      </c>
      <c r="K32" s="21">
        <f t="shared" si="2"/>
        <v>46027</v>
      </c>
      <c r="L32" s="21">
        <f t="shared" si="2"/>
        <v>46034</v>
      </c>
      <c r="M32" s="21">
        <f t="shared" si="2"/>
        <v>46041</v>
      </c>
      <c r="N32" s="21">
        <f t="shared" si="2"/>
        <v>46048</v>
      </c>
      <c r="O32" s="21">
        <f t="shared" si="2"/>
        <v>46055</v>
      </c>
      <c r="Q32" s="20" t="s">
        <v>281</v>
      </c>
    </row>
    <row r="33" spans="1:26" ht="14.25" customHeight="1" x14ac:dyDescent="0.2">
      <c r="A33" s="24"/>
      <c r="B33" s="46" t="s">
        <v>282</v>
      </c>
      <c r="C33" s="47">
        <f>'CURRENT WEEK CASHFLOW FORECAST'!D48</f>
        <v>713136.19000000006</v>
      </c>
      <c r="D33" s="47">
        <f>'CURRENT WEEK CASHFLOW FORECAST'!E48</f>
        <v>746567.19000000006</v>
      </c>
      <c r="E33" s="47">
        <f>'CURRENT WEEK CASHFLOW FORECAST'!F48</f>
        <v>626732.69000000006</v>
      </c>
      <c r="F33" s="47">
        <f>'CURRENT WEEK CASHFLOW FORECAST'!G48</f>
        <v>720652.99769230769</v>
      </c>
      <c r="G33" s="47">
        <f>'CURRENT WEEK CASHFLOW FORECAST'!H48</f>
        <v>661956.33769230766</v>
      </c>
      <c r="H33" s="47">
        <f>'CURRENT WEEK CASHFLOW FORECAST'!I48</f>
        <v>390639.64538461535</v>
      </c>
      <c r="I33" s="47">
        <f>'CURRENT WEEK CASHFLOW FORECAST'!J48</f>
        <v>579739.64538461529</v>
      </c>
      <c r="J33" s="47">
        <f>'CURRENT WEEK CASHFLOW FORECAST'!K48</f>
        <v>786422.95307692303</v>
      </c>
      <c r="K33" s="47">
        <f>'CURRENT WEEK CASHFLOW FORECAST'!L48</f>
        <v>607587.70307692303</v>
      </c>
      <c r="L33" s="47">
        <f>'CURRENT WEEK CASHFLOW FORECAST'!M48</f>
        <v>470320.76076923078</v>
      </c>
      <c r="M33" s="47">
        <f>'CURRENT WEEK CASHFLOW FORECAST'!N48</f>
        <v>538514.51076923078</v>
      </c>
      <c r="N33" s="47">
        <f>'CURRENT WEEK CASHFLOW FORECAST'!O48</f>
        <v>272791.56846153847</v>
      </c>
      <c r="O33" s="47">
        <f>'CURRENT WEEK CASHFLOW FORECAST'!P48</f>
        <v>730366.56846153853</v>
      </c>
      <c r="P33" s="24"/>
      <c r="Q33" s="1" t="s">
        <v>283</v>
      </c>
      <c r="R33" s="24"/>
      <c r="S33" s="24"/>
      <c r="T33" s="24"/>
      <c r="U33" s="24"/>
      <c r="V33" s="24"/>
      <c r="W33" s="24"/>
      <c r="X33" s="24"/>
      <c r="Y33" s="24"/>
      <c r="Z33" s="24"/>
    </row>
    <row r="34" spans="1:26" ht="14.25" customHeight="1" x14ac:dyDescent="0.2">
      <c r="A34" s="1" t="s">
        <v>1</v>
      </c>
      <c r="B34" s="48" t="s">
        <v>284</v>
      </c>
      <c r="C34" s="41">
        <f>'LAST WEEK CASHFLOW FORECAST'!E46</f>
        <v>0</v>
      </c>
      <c r="D34" s="41">
        <f>'LAST WEEK CASHFLOW FORECAST'!F46</f>
        <v>0</v>
      </c>
      <c r="E34" s="41">
        <f>'LAST WEEK CASHFLOW FORECAST'!G46</f>
        <v>0</v>
      </c>
      <c r="F34" s="41">
        <f>'LAST WEEK CASHFLOW FORECAST'!H46</f>
        <v>0</v>
      </c>
      <c r="G34" s="41">
        <f>'LAST WEEK CASHFLOW FORECAST'!I46</f>
        <v>0</v>
      </c>
      <c r="H34" s="41">
        <f>'LAST WEEK CASHFLOW FORECAST'!J46</f>
        <v>0</v>
      </c>
      <c r="I34" s="41">
        <f>'LAST WEEK CASHFLOW FORECAST'!K46</f>
        <v>0</v>
      </c>
      <c r="J34" s="41">
        <f>'LAST WEEK CASHFLOW FORECAST'!L46</f>
        <v>0</v>
      </c>
      <c r="K34" s="41">
        <f>'LAST WEEK CASHFLOW FORECAST'!M46</f>
        <v>0</v>
      </c>
      <c r="L34" s="41">
        <f>'LAST WEEK CASHFLOW FORECAST'!N46</f>
        <v>0</v>
      </c>
      <c r="M34" s="41">
        <f>'LAST WEEK CASHFLOW FORECAST'!O46</f>
        <v>0</v>
      </c>
      <c r="N34" s="41">
        <f>'LAST WEEK CASHFLOW FORECAST'!P46</f>
        <v>0</v>
      </c>
      <c r="O34" s="49"/>
      <c r="Q34" s="1" t="s">
        <v>285</v>
      </c>
    </row>
    <row r="35" spans="1:26" ht="14.25" customHeight="1" x14ac:dyDescent="0.2">
      <c r="B35" s="46"/>
      <c r="C35" s="46"/>
      <c r="D35" s="46"/>
      <c r="E35" s="46"/>
      <c r="F35" s="46"/>
      <c r="G35" s="46"/>
      <c r="H35" s="46"/>
      <c r="I35" s="46"/>
      <c r="J35" s="46"/>
      <c r="K35" s="46"/>
      <c r="L35" s="46"/>
      <c r="M35" s="46"/>
      <c r="N35" s="46"/>
      <c r="O35" s="46"/>
    </row>
    <row r="36" spans="1:26" ht="14.25" customHeight="1" x14ac:dyDescent="0.2">
      <c r="A36" s="1" t="s">
        <v>1</v>
      </c>
      <c r="B36" s="50" t="s">
        <v>286</v>
      </c>
      <c r="C36" s="51">
        <f t="shared" ref="C36:N36" si="3">C33-C34</f>
        <v>713136.19000000006</v>
      </c>
      <c r="D36" s="51">
        <f t="shared" si="3"/>
        <v>746567.19000000006</v>
      </c>
      <c r="E36" s="51">
        <f t="shared" si="3"/>
        <v>626732.69000000006</v>
      </c>
      <c r="F36" s="51">
        <f t="shared" si="3"/>
        <v>720652.99769230769</v>
      </c>
      <c r="G36" s="51">
        <f t="shared" si="3"/>
        <v>661956.33769230766</v>
      </c>
      <c r="H36" s="51">
        <f t="shared" si="3"/>
        <v>390639.64538461535</v>
      </c>
      <c r="I36" s="51">
        <f t="shared" si="3"/>
        <v>579739.64538461529</v>
      </c>
      <c r="J36" s="51">
        <f t="shared" si="3"/>
        <v>786422.95307692303</v>
      </c>
      <c r="K36" s="51">
        <f t="shared" si="3"/>
        <v>607587.70307692303</v>
      </c>
      <c r="L36" s="51">
        <f t="shared" si="3"/>
        <v>470320.76076923078</v>
      </c>
      <c r="M36" s="51">
        <f t="shared" si="3"/>
        <v>538514.51076923078</v>
      </c>
      <c r="N36" s="52">
        <f t="shared" si="3"/>
        <v>272791.56846153847</v>
      </c>
      <c r="O36" s="49"/>
      <c r="Q36" s="1" t="s">
        <v>287</v>
      </c>
    </row>
    <row r="37" spans="1:26" ht="14.25" customHeight="1" x14ac:dyDescent="0.2">
      <c r="B37" s="53" t="s">
        <v>288</v>
      </c>
      <c r="C37" s="210" t="e">
        <f t="shared" ref="C37:N37" si="4">C36/C34</f>
        <v>#DIV/0!</v>
      </c>
      <c r="D37" s="210" t="e">
        <f t="shared" si="4"/>
        <v>#DIV/0!</v>
      </c>
      <c r="E37" s="210" t="e">
        <f t="shared" si="4"/>
        <v>#DIV/0!</v>
      </c>
      <c r="F37" s="210" t="e">
        <f t="shared" si="4"/>
        <v>#DIV/0!</v>
      </c>
      <c r="G37" s="210" t="e">
        <f t="shared" si="4"/>
        <v>#DIV/0!</v>
      </c>
      <c r="H37" s="210" t="e">
        <f t="shared" si="4"/>
        <v>#DIV/0!</v>
      </c>
      <c r="I37" s="210" t="e">
        <f t="shared" si="4"/>
        <v>#DIV/0!</v>
      </c>
      <c r="J37" s="210" t="e">
        <f t="shared" si="4"/>
        <v>#DIV/0!</v>
      </c>
      <c r="K37" s="210" t="e">
        <f t="shared" si="4"/>
        <v>#DIV/0!</v>
      </c>
      <c r="L37" s="210" t="e">
        <f t="shared" si="4"/>
        <v>#DIV/0!</v>
      </c>
      <c r="M37" s="210" t="e">
        <f t="shared" si="4"/>
        <v>#DIV/0!</v>
      </c>
      <c r="N37" s="211" t="e">
        <f t="shared" si="4"/>
        <v>#DIV/0!</v>
      </c>
      <c r="O37" s="54"/>
      <c r="Q37" s="1" t="s">
        <v>289</v>
      </c>
    </row>
    <row r="38" spans="1:26" ht="14.25" customHeight="1" x14ac:dyDescent="0.2">
      <c r="B38" s="46"/>
      <c r="C38" s="46"/>
      <c r="D38" s="46"/>
      <c r="E38" s="46"/>
      <c r="F38" s="46"/>
      <c r="G38" s="46"/>
      <c r="H38" s="46"/>
      <c r="I38" s="46"/>
      <c r="J38" s="46"/>
      <c r="K38" s="46"/>
      <c r="L38" s="46"/>
      <c r="M38" s="46"/>
      <c r="N38" s="46"/>
      <c r="O38" s="46"/>
    </row>
    <row r="39" spans="1:26" ht="14.25" customHeight="1" x14ac:dyDescent="0.2">
      <c r="A39" s="1" t="s">
        <v>1</v>
      </c>
      <c r="B39" s="55" t="s">
        <v>290</v>
      </c>
      <c r="C39" s="46"/>
      <c r="D39" s="46"/>
      <c r="E39" s="46"/>
      <c r="F39" s="46"/>
      <c r="G39" s="46"/>
      <c r="H39" s="46"/>
      <c r="I39" s="46"/>
      <c r="J39" s="46"/>
      <c r="K39" s="46"/>
      <c r="L39" s="46"/>
      <c r="M39" s="46"/>
      <c r="N39" s="46"/>
      <c r="O39" s="46"/>
    </row>
    <row r="40" spans="1:26" ht="14.25" customHeight="1" x14ac:dyDescent="0.2">
      <c r="B40" s="46" t="s">
        <v>291</v>
      </c>
      <c r="C40" s="56">
        <f>'CURRENT WEEK CASHFLOW FORECAST'!D6-'LAST WEEK CASHFLOW FORECAST'!E6</f>
        <v>9000</v>
      </c>
      <c r="D40" s="56">
        <f>'CURRENT WEEK CASHFLOW FORECAST'!E6-'LAST WEEK CASHFLOW FORECAST'!F6</f>
        <v>0</v>
      </c>
      <c r="E40" s="56">
        <f>'CURRENT WEEK CASHFLOW FORECAST'!F6-'LAST WEEK CASHFLOW FORECAST'!G6</f>
        <v>32000</v>
      </c>
      <c r="F40" s="56">
        <f>'CURRENT WEEK CASHFLOW FORECAST'!G6-'LAST WEEK CASHFLOW FORECAST'!H6</f>
        <v>0</v>
      </c>
      <c r="G40" s="56">
        <f>'CURRENT WEEK CASHFLOW FORECAST'!H6-'LAST WEEK CASHFLOW FORECAST'!I6</f>
        <v>80000</v>
      </c>
      <c r="H40" s="56">
        <f>'CURRENT WEEK CASHFLOW FORECAST'!I6-'LAST WEEK CASHFLOW FORECAST'!J6</f>
        <v>0</v>
      </c>
      <c r="I40" s="56">
        <f>'CURRENT WEEK CASHFLOW FORECAST'!J6-'LAST WEEK CASHFLOW FORECAST'!K6</f>
        <v>96000</v>
      </c>
      <c r="J40" s="56">
        <f>'CURRENT WEEK CASHFLOW FORECAST'!K6-'LAST WEEK CASHFLOW FORECAST'!L6</f>
        <v>0</v>
      </c>
      <c r="K40" s="56">
        <f>'CURRENT WEEK CASHFLOW FORECAST'!L6-'LAST WEEK CASHFLOW FORECAST'!M6</f>
        <v>140000</v>
      </c>
      <c r="L40" s="56">
        <f>'CURRENT WEEK CASHFLOW FORECAST'!M6-'LAST WEEK CASHFLOW FORECAST'!N6</f>
        <v>0</v>
      </c>
      <c r="M40" s="56">
        <f>'CURRENT WEEK CASHFLOW FORECAST'!N6-'LAST WEEK CASHFLOW FORECAST'!O6</f>
        <v>160000</v>
      </c>
      <c r="N40" s="56">
        <f>'CURRENT WEEK CASHFLOW FORECAST'!O6-'LAST WEEK CASHFLOW FORECAST'!P6</f>
        <v>0</v>
      </c>
      <c r="O40" s="57"/>
      <c r="Q40" s="1" t="s">
        <v>292</v>
      </c>
    </row>
    <row r="41" spans="1:26" ht="14.25" customHeight="1" x14ac:dyDescent="0.2">
      <c r="B41" s="46" t="s">
        <v>293</v>
      </c>
      <c r="C41" s="56">
        <f>('CURRENT WEEK CASHFLOW FORECAST'!D7+'CURRENT WEEK CASHFLOW FORECAST'!D8)-('LAST WEEK CASHFLOW FORECAST'!E7+'LAST WEEK CASHFLOW FORECAST'!E8)</f>
        <v>56952</v>
      </c>
      <c r="D41" s="56">
        <f>('CURRENT WEEK CASHFLOW FORECAST'!E7+'CURRENT WEEK CASHFLOW FORECAST'!E8)-('LAST WEEK CASHFLOW FORECAST'!F7+'LAST WEEK CASHFLOW FORECAST'!F8)</f>
        <v>43968</v>
      </c>
      <c r="E41" s="56">
        <f>('CURRENT WEEK CASHFLOW FORECAST'!F7+'CURRENT WEEK CASHFLOW FORECAST'!F8)-('LAST WEEK CASHFLOW FORECAST'!G7+'LAST WEEK CASHFLOW FORECAST'!G8)</f>
        <v>5763</v>
      </c>
      <c r="F41" s="56">
        <f>('CURRENT WEEK CASHFLOW FORECAST'!G7+'CURRENT WEEK CASHFLOW FORECAST'!G8)-('LAST WEEK CASHFLOW FORECAST'!H7+'LAST WEEK CASHFLOW FORECAST'!H8)</f>
        <v>0</v>
      </c>
      <c r="G41" s="56">
        <f>('CURRENT WEEK CASHFLOW FORECAST'!H7+'CURRENT WEEK CASHFLOW FORECAST'!H8)-('LAST WEEK CASHFLOW FORECAST'!I7+'LAST WEEK CASHFLOW FORECAST'!I8)</f>
        <v>50000</v>
      </c>
      <c r="H41" s="56">
        <f>('CURRENT WEEK CASHFLOW FORECAST'!I7+'CURRENT WEEK CASHFLOW FORECAST'!I8)-('LAST WEEK CASHFLOW FORECAST'!J7+'LAST WEEK CASHFLOW FORECAST'!J8)</f>
        <v>0</v>
      </c>
      <c r="I41" s="56">
        <f>('CURRENT WEEK CASHFLOW FORECAST'!J7+'CURRENT WEEK CASHFLOW FORECAST'!J8)-('LAST WEEK CASHFLOW FORECAST'!K7+'LAST WEEK CASHFLOW FORECAST'!K8)</f>
        <v>0</v>
      </c>
      <c r="J41" s="56">
        <f>('CURRENT WEEK CASHFLOW FORECAST'!K7+'CURRENT WEEK CASHFLOW FORECAST'!K8)-('LAST WEEK CASHFLOW FORECAST'!L7+'LAST WEEK CASHFLOW FORECAST'!L8)</f>
        <v>30000</v>
      </c>
      <c r="K41" s="56">
        <f>('CURRENT WEEK CASHFLOW FORECAST'!L7+'CURRENT WEEK CASHFLOW FORECAST'!L8)-('LAST WEEK CASHFLOW FORECAST'!M7+'LAST WEEK CASHFLOW FORECAST'!M8)</f>
        <v>0</v>
      </c>
      <c r="L41" s="56">
        <f>('CURRENT WEEK CASHFLOW FORECAST'!M7+'CURRENT WEEK CASHFLOW FORECAST'!M8)-('LAST WEEK CASHFLOW FORECAST'!N7+'LAST WEEK CASHFLOW FORECAST'!N8)</f>
        <v>0</v>
      </c>
      <c r="M41" s="56">
        <f>('CURRENT WEEK CASHFLOW FORECAST'!N7+'CURRENT WEEK CASHFLOW FORECAST'!N8)-('LAST WEEK CASHFLOW FORECAST'!O7+'LAST WEEK CASHFLOW FORECAST'!O8)</f>
        <v>0</v>
      </c>
      <c r="N41" s="56">
        <f>('CURRENT WEEK CASHFLOW FORECAST'!O7+'CURRENT WEEK CASHFLOW FORECAST'!O8)-('LAST WEEK CASHFLOW FORECAST'!P7+'LAST WEEK CASHFLOW FORECAST'!P8)</f>
        <v>0</v>
      </c>
      <c r="O41" s="57"/>
      <c r="Q41" s="1" t="s">
        <v>294</v>
      </c>
    </row>
    <row r="42" spans="1:26" ht="14.25" customHeight="1" x14ac:dyDescent="0.2">
      <c r="B42" s="46" t="s">
        <v>295</v>
      </c>
      <c r="C42" s="56">
        <f>-('CURRENT WEEK CASHFLOW FORECAST'!D14-'LAST WEEK CASHFLOW FORECAST'!E14)</f>
        <v>0</v>
      </c>
      <c r="D42" s="56">
        <f>-('CURRENT WEEK CASHFLOW FORECAST'!E14-'LAST WEEK CASHFLOW FORECAST'!F14)</f>
        <v>0</v>
      </c>
      <c r="E42" s="56">
        <f>-('CURRENT WEEK CASHFLOW FORECAST'!F14-'LAST WEEK CASHFLOW FORECAST'!G14)</f>
        <v>-4500</v>
      </c>
      <c r="F42" s="56">
        <f>-('CURRENT WEEK CASHFLOW FORECAST'!G14-'LAST WEEK CASHFLOW FORECAST'!H14)</f>
        <v>-98566.692307692312</v>
      </c>
      <c r="G42" s="56">
        <f>-('CURRENT WEEK CASHFLOW FORECAST'!H14-'LAST WEEK CASHFLOW FORECAST'!I14)</f>
        <v>0</v>
      </c>
      <c r="H42" s="56">
        <f>-('CURRENT WEEK CASHFLOW FORECAST'!I14-'LAST WEEK CASHFLOW FORECAST'!J14)</f>
        <v>-93566.692307692312</v>
      </c>
      <c r="I42" s="56">
        <f>-('CURRENT WEEK CASHFLOW FORECAST'!J14-'LAST WEEK CASHFLOW FORECAST'!K14)</f>
        <v>0</v>
      </c>
      <c r="J42" s="56">
        <f>-('CURRENT WEEK CASHFLOW FORECAST'!K14-'LAST WEEK CASHFLOW FORECAST'!L14)</f>
        <v>-92316.692307692312</v>
      </c>
      <c r="K42" s="56">
        <f>-('CURRENT WEEK CASHFLOW FORECAST'!L14-'LAST WEEK CASHFLOW FORECAST'!M14)</f>
        <v>0</v>
      </c>
      <c r="L42" s="56">
        <f>-('CURRENT WEEK CASHFLOW FORECAST'!M14-'LAST WEEK CASHFLOW FORECAST'!N14)</f>
        <v>-90816.692307692312</v>
      </c>
      <c r="M42" s="56">
        <f>-('CURRENT WEEK CASHFLOW FORECAST'!N14-'LAST WEEK CASHFLOW FORECAST'!O14)</f>
        <v>0</v>
      </c>
      <c r="N42" s="56">
        <f>-('CURRENT WEEK CASHFLOW FORECAST'!O14-'LAST WEEK CASHFLOW FORECAST'!P14)</f>
        <v>-99816.692307692312</v>
      </c>
      <c r="O42" s="57"/>
      <c r="Q42" s="1" t="s">
        <v>296</v>
      </c>
    </row>
    <row r="43" spans="1:26" ht="14.25" customHeight="1" x14ac:dyDescent="0.2">
      <c r="B43" s="46" t="s">
        <v>297</v>
      </c>
      <c r="C43" s="56">
        <f>-('CURRENT WEEK CASHFLOW FORECAST'!D15-'LAST WEEK CASHFLOW FORECAST'!E15)</f>
        <v>-5505.8</v>
      </c>
      <c r="D43" s="56">
        <f>-('CURRENT WEEK CASHFLOW FORECAST'!E15-'LAST WEEK CASHFLOW FORECAST'!F15)</f>
        <v>-5287</v>
      </c>
      <c r="E43" s="56">
        <f>-('CURRENT WEEK CASHFLOW FORECAST'!F15-'LAST WEEK CASHFLOW FORECAST'!G15)</f>
        <v>-20097.5</v>
      </c>
      <c r="F43" s="56">
        <f>-('CURRENT WEEK CASHFLOW FORECAST'!G15-'LAST WEEK CASHFLOW FORECAST'!H15)</f>
        <v>-67163</v>
      </c>
      <c r="G43" s="56">
        <f>-('CURRENT WEEK CASHFLOW FORECAST'!H15-'LAST WEEK CASHFLOW FORECAST'!I15)</f>
        <v>-4500</v>
      </c>
      <c r="H43" s="56">
        <f>-('CURRENT WEEK CASHFLOW FORECAST'!I15-'LAST WEEK CASHFLOW FORECAST'!J15)</f>
        <v>-14500</v>
      </c>
      <c r="I43" s="56">
        <f>-('CURRENT WEEK CASHFLOW FORECAST'!J15-'LAST WEEK CASHFLOW FORECAST'!K15)</f>
        <v>-54500</v>
      </c>
      <c r="J43" s="56">
        <f>-('CURRENT WEEK CASHFLOW FORECAST'!K15-'LAST WEEK CASHFLOW FORECAST'!L15)</f>
        <v>-26500</v>
      </c>
      <c r="K43" s="56">
        <f>-('CURRENT WEEK CASHFLOW FORECAST'!L15-'LAST WEEK CASHFLOW FORECAST'!M15)</f>
        <v>-44906.25</v>
      </c>
      <c r="L43" s="56">
        <f>-('CURRENT WEEK CASHFLOW FORECAST'!M15-'LAST WEEK CASHFLOW FORECAST'!N15)</f>
        <v>-4906.25</v>
      </c>
      <c r="M43" s="56">
        <f>-('CURRENT WEEK CASHFLOW FORECAST'!N15-'LAST WEEK CASHFLOW FORECAST'!O15)</f>
        <v>-24906.25</v>
      </c>
      <c r="N43" s="56">
        <f>-('CURRENT WEEK CASHFLOW FORECAST'!O15-'LAST WEEK CASHFLOW FORECAST'!P15)</f>
        <v>-26906.25</v>
      </c>
      <c r="O43" s="57"/>
      <c r="Q43" s="1" t="s">
        <v>298</v>
      </c>
    </row>
    <row r="44" spans="1:26" ht="14.25" customHeight="1" x14ac:dyDescent="0.2">
      <c r="B44" s="46" t="s">
        <v>299</v>
      </c>
      <c r="C44" s="56">
        <f>-(SUM('CURRENT WEEK CASHFLOW FORECAST'!D24:D27)-SUM('LAST WEEK CASHFLOW FORECAST'!E22:E25))</f>
        <v>0</v>
      </c>
      <c r="D44" s="56">
        <f>-(SUM('CURRENT WEEK CASHFLOW FORECAST'!E24:E27)-SUM('LAST WEEK CASHFLOW FORECAST'!F22:F25))</f>
        <v>0</v>
      </c>
      <c r="E44" s="56">
        <f>-(SUM('CURRENT WEEK CASHFLOW FORECAST'!F24:F27)-SUM('LAST WEEK CASHFLOW FORECAST'!G22:G25))</f>
        <v>0</v>
      </c>
      <c r="F44" s="56">
        <f>-(SUM('CURRENT WEEK CASHFLOW FORECAST'!G24:G27)-SUM('LAST WEEK CASHFLOW FORECAST'!H22:H25))</f>
        <v>0</v>
      </c>
      <c r="G44" s="56">
        <f>-(SUM('CURRENT WEEK CASHFLOW FORECAST'!H24:H27)-SUM('LAST WEEK CASHFLOW FORECAST'!I22:I25))</f>
        <v>0</v>
      </c>
      <c r="H44" s="56">
        <f>-(SUM('CURRENT WEEK CASHFLOW FORECAST'!I24:I27)-SUM('LAST WEEK CASHFLOW FORECAST'!J22:J25))</f>
        <v>0</v>
      </c>
      <c r="I44" s="56">
        <f>-(SUM('CURRENT WEEK CASHFLOW FORECAST'!J24:J27)-SUM('LAST WEEK CASHFLOW FORECAST'!K22:K25))</f>
        <v>0</v>
      </c>
      <c r="J44" s="56">
        <f>-(SUM('CURRENT WEEK CASHFLOW FORECAST'!K24:K27)-SUM('LAST WEEK CASHFLOW FORECAST'!L22:L25))</f>
        <v>0</v>
      </c>
      <c r="K44" s="56">
        <f>-(SUM('CURRENT WEEK CASHFLOW FORECAST'!L24:L27)-SUM('LAST WEEK CASHFLOW FORECAST'!M22:M25))</f>
        <v>0</v>
      </c>
      <c r="L44" s="56">
        <f>-(SUM('CURRENT WEEK CASHFLOW FORECAST'!M24:M27)-SUM('LAST WEEK CASHFLOW FORECAST'!N22:N25))</f>
        <v>0</v>
      </c>
      <c r="M44" s="56">
        <f>-(SUM('CURRENT WEEK CASHFLOW FORECAST'!N24:N27)-SUM('LAST WEEK CASHFLOW FORECAST'!O22:O25))</f>
        <v>0</v>
      </c>
      <c r="N44" s="56">
        <f>-(SUM('CURRENT WEEK CASHFLOW FORECAST'!O24:O27)-SUM('LAST WEEK CASHFLOW FORECAST'!P22:P25))</f>
        <v>0</v>
      </c>
      <c r="O44" s="57"/>
      <c r="Q44" s="1" t="s">
        <v>300</v>
      </c>
    </row>
    <row r="45" spans="1:26" ht="14.25" customHeight="1" x14ac:dyDescent="0.2">
      <c r="B45" s="46" t="s">
        <v>301</v>
      </c>
      <c r="C45" s="56">
        <f>-('CURRENT WEEK CASHFLOW FORECAST'!D17-'LAST WEEK CASHFLOW FORECAST'!E17)</f>
        <v>0</v>
      </c>
      <c r="D45" s="56">
        <f>-('CURRENT WEEK CASHFLOW FORECAST'!E17-'LAST WEEK CASHFLOW FORECAST'!F17)</f>
        <v>-5250</v>
      </c>
      <c r="E45" s="56">
        <f>-('CURRENT WEEK CASHFLOW FORECAST'!F17-'LAST WEEK CASHFLOW FORECAST'!G17)</f>
        <v>-44000</v>
      </c>
      <c r="F45" s="56">
        <f>-('CURRENT WEEK CASHFLOW FORECAST'!G17-'LAST WEEK CASHFLOW FORECAST'!H17)</f>
        <v>0</v>
      </c>
      <c r="G45" s="56">
        <f>-('CURRENT WEEK CASHFLOW FORECAST'!H17-'LAST WEEK CASHFLOW FORECAST'!I17)</f>
        <v>0</v>
      </c>
      <c r="H45" s="56">
        <f>-('CURRENT WEEK CASHFLOW FORECAST'!I17-'LAST WEEK CASHFLOW FORECAST'!J17)</f>
        <v>0</v>
      </c>
      <c r="I45" s="56">
        <f>-('CURRENT WEEK CASHFLOW FORECAST'!J17-'LAST WEEK CASHFLOW FORECAST'!K17)</f>
        <v>-10700</v>
      </c>
      <c r="J45" s="56">
        <f>-('CURRENT WEEK CASHFLOW FORECAST'!K17-'LAST WEEK CASHFLOW FORECAST'!L17)</f>
        <v>-9500</v>
      </c>
      <c r="K45" s="56">
        <f>-('CURRENT WEEK CASHFLOW FORECAST'!L17-'LAST WEEK CASHFLOW FORECAST'!M17)</f>
        <v>-2500</v>
      </c>
      <c r="L45" s="56">
        <f>-('CURRENT WEEK CASHFLOW FORECAST'!M17-'LAST WEEK CASHFLOW FORECAST'!N17)</f>
        <v>-2500</v>
      </c>
      <c r="M45" s="56">
        <f>-('CURRENT WEEK CASHFLOW FORECAST'!N17-'LAST WEEK CASHFLOW FORECAST'!O17)</f>
        <v>-2500</v>
      </c>
      <c r="N45" s="56">
        <f>-('CURRENT WEEK CASHFLOW FORECAST'!O17-'LAST WEEK CASHFLOW FORECAST'!P17)</f>
        <v>-24000</v>
      </c>
      <c r="O45" s="57"/>
      <c r="Q45" s="1" t="s">
        <v>302</v>
      </c>
    </row>
    <row r="46" spans="1:26" ht="14.25" customHeight="1" x14ac:dyDescent="0.2">
      <c r="B46" s="46" t="s">
        <v>303</v>
      </c>
      <c r="C46" s="56">
        <f>-('CURRENT WEEK CASHFLOW FORECAST'!D18-'LAST WEEK CASHFLOW FORECAST'!E18)</f>
        <v>0</v>
      </c>
      <c r="D46" s="56">
        <f>-('CURRENT WEEK CASHFLOW FORECAST'!E18-'LAST WEEK CASHFLOW FORECAST'!F18)</f>
        <v>0</v>
      </c>
      <c r="E46" s="56">
        <f>-('CURRENT WEEK CASHFLOW FORECAST'!F18-'LAST WEEK CASHFLOW FORECAST'!G18)</f>
        <v>0</v>
      </c>
      <c r="F46" s="56">
        <f>-('CURRENT WEEK CASHFLOW FORECAST'!G18-'LAST WEEK CASHFLOW FORECAST'!H18)</f>
        <v>0</v>
      </c>
      <c r="G46" s="56">
        <f>-('CURRENT WEEK CASHFLOW FORECAST'!H18-'LAST WEEK CASHFLOW FORECAST'!I18)</f>
        <v>0</v>
      </c>
      <c r="H46" s="56">
        <f>-('CURRENT WEEK CASHFLOW FORECAST'!I18-'LAST WEEK CASHFLOW FORECAST'!J18)</f>
        <v>0</v>
      </c>
      <c r="I46" s="56">
        <f>-('CURRENT WEEK CASHFLOW FORECAST'!J18-'LAST WEEK CASHFLOW FORECAST'!K18)</f>
        <v>0</v>
      </c>
      <c r="J46" s="56">
        <f>-('CURRENT WEEK CASHFLOW FORECAST'!K18-'LAST WEEK CASHFLOW FORECAST'!L18)</f>
        <v>0</v>
      </c>
      <c r="K46" s="56">
        <f>-('CURRENT WEEK CASHFLOW FORECAST'!L18-'LAST WEEK CASHFLOW FORECAST'!M18)</f>
        <v>0</v>
      </c>
      <c r="L46" s="56">
        <f>-('CURRENT WEEK CASHFLOW FORECAST'!M18-'LAST WEEK CASHFLOW FORECAST'!N18)</f>
        <v>0</v>
      </c>
      <c r="M46" s="56">
        <f>-('CURRENT WEEK CASHFLOW FORECAST'!N18-'LAST WEEK CASHFLOW FORECAST'!O18)</f>
        <v>0</v>
      </c>
      <c r="N46" s="56">
        <f>-('CURRENT WEEK CASHFLOW FORECAST'!O18-'LAST WEEK CASHFLOW FORECAST'!P18)</f>
        <v>0</v>
      </c>
      <c r="O46" s="57"/>
      <c r="Q46" s="1" t="s">
        <v>304</v>
      </c>
    </row>
    <row r="47" spans="1:26" ht="14.25" customHeight="1" x14ac:dyDescent="0.2">
      <c r="B47" s="46" t="s">
        <v>305</v>
      </c>
      <c r="C47" s="56">
        <f>-('CURRENT WEEK CASHFLOW FORECAST'!D21-'LAST WEEK CASHFLOW FORECAST'!E19)</f>
        <v>0</v>
      </c>
      <c r="D47" s="56">
        <f>-('CURRENT WEEK CASHFLOW FORECAST'!E21-'LAST WEEK CASHFLOW FORECAST'!F19)</f>
        <v>0</v>
      </c>
      <c r="E47" s="56">
        <f>-('CURRENT WEEK CASHFLOW FORECAST'!F21-'LAST WEEK CASHFLOW FORECAST'!G19)</f>
        <v>0</v>
      </c>
      <c r="F47" s="56">
        <f>-('CURRENT WEEK CASHFLOW FORECAST'!G21-'LAST WEEK CASHFLOW FORECAST'!H19)</f>
        <v>0</v>
      </c>
      <c r="G47" s="56">
        <f>-('CURRENT WEEK CASHFLOW FORECAST'!H21-'LAST WEEK CASHFLOW FORECAST'!I19)</f>
        <v>0</v>
      </c>
      <c r="H47" s="56">
        <f>-('CURRENT WEEK CASHFLOW FORECAST'!I21-'LAST WEEK CASHFLOW FORECAST'!J19)</f>
        <v>0</v>
      </c>
      <c r="I47" s="56">
        <f>-('CURRENT WEEK CASHFLOW FORECAST'!J21-'LAST WEEK CASHFLOW FORECAST'!K19)</f>
        <v>0</v>
      </c>
      <c r="J47" s="56">
        <f>-('CURRENT WEEK CASHFLOW FORECAST'!K21-'LAST WEEK CASHFLOW FORECAST'!L19)</f>
        <v>0</v>
      </c>
      <c r="K47" s="56">
        <f>-('CURRENT WEEK CASHFLOW FORECAST'!L21-'LAST WEEK CASHFLOW FORECAST'!M19)</f>
        <v>0</v>
      </c>
      <c r="L47" s="56">
        <f>-('CURRENT WEEK CASHFLOW FORECAST'!M21-'LAST WEEK CASHFLOW FORECAST'!N19)</f>
        <v>0</v>
      </c>
      <c r="M47" s="56">
        <f>-('CURRENT WEEK CASHFLOW FORECAST'!N21-'LAST WEEK CASHFLOW FORECAST'!O19)</f>
        <v>0</v>
      </c>
      <c r="N47" s="56">
        <f>-('CURRENT WEEK CASHFLOW FORECAST'!O21-'LAST WEEK CASHFLOW FORECAST'!P19)</f>
        <v>0</v>
      </c>
      <c r="O47" s="57"/>
      <c r="Q47" s="1" t="s">
        <v>306</v>
      </c>
    </row>
    <row r="48" spans="1:26" ht="14.25" customHeight="1" x14ac:dyDescent="0.2">
      <c r="B48" s="58" t="s">
        <v>307</v>
      </c>
      <c r="C48" s="59"/>
      <c r="D48" s="59">
        <f>'CURRENT WEEK CASHFLOW FORECAST'!D48-'LAST WEEK CASHFLOW FORECAST'!E46</f>
        <v>713136.19000000006</v>
      </c>
      <c r="E48" s="59">
        <f>'CURRENT WEEK CASHFLOW FORECAST'!E48-'LAST WEEK CASHFLOW FORECAST'!F46</f>
        <v>746567.19000000006</v>
      </c>
      <c r="F48" s="59">
        <f>'CURRENT WEEK CASHFLOW FORECAST'!F48-'LAST WEEK CASHFLOW FORECAST'!G46</f>
        <v>626732.69000000006</v>
      </c>
      <c r="G48" s="59">
        <f>'CURRENT WEEK CASHFLOW FORECAST'!G48-'LAST WEEK CASHFLOW FORECAST'!H46</f>
        <v>720652.99769230769</v>
      </c>
      <c r="H48" s="59">
        <f>'CURRENT WEEK CASHFLOW FORECAST'!H48-'LAST WEEK CASHFLOW FORECAST'!I46</f>
        <v>661956.33769230766</v>
      </c>
      <c r="I48" s="59">
        <f>'CURRENT WEEK CASHFLOW FORECAST'!I48-'LAST WEEK CASHFLOW FORECAST'!J46</f>
        <v>390639.64538461535</v>
      </c>
      <c r="J48" s="59">
        <f>'CURRENT WEEK CASHFLOW FORECAST'!J48-'LAST WEEK CASHFLOW FORECAST'!K46</f>
        <v>579739.64538461529</v>
      </c>
      <c r="K48" s="59">
        <f>'CURRENT WEEK CASHFLOW FORECAST'!K48-'LAST WEEK CASHFLOW FORECAST'!L46</f>
        <v>786422.95307692303</v>
      </c>
      <c r="L48" s="59">
        <f>'CURRENT WEEK CASHFLOW FORECAST'!L48-'LAST WEEK CASHFLOW FORECAST'!M46</f>
        <v>607587.70307692303</v>
      </c>
      <c r="M48" s="59">
        <f>'CURRENT WEEK CASHFLOW FORECAST'!M48-'LAST WEEK CASHFLOW FORECAST'!N46</f>
        <v>470320.76076923078</v>
      </c>
      <c r="N48" s="59">
        <f>'CURRENT WEEK CASHFLOW FORECAST'!N48-'LAST WEEK CASHFLOW FORECAST'!O46</f>
        <v>538514.51076923078</v>
      </c>
      <c r="O48" s="57"/>
      <c r="P48" s="206"/>
      <c r="Q48" s="206" t="s">
        <v>308</v>
      </c>
    </row>
    <row r="49" spans="1:17" ht="14.25" customHeight="1" x14ac:dyDescent="0.2">
      <c r="A49" s="1" t="s">
        <v>1</v>
      </c>
      <c r="B49" s="60" t="s">
        <v>309</v>
      </c>
      <c r="C49" s="61">
        <f t="shared" ref="C49:N49" si="5">C36-SUM(C40:C48)</f>
        <v>652689.99000000011</v>
      </c>
      <c r="D49" s="61">
        <f t="shared" si="5"/>
        <v>0</v>
      </c>
      <c r="E49" s="61">
        <f t="shared" si="5"/>
        <v>-89000</v>
      </c>
      <c r="F49" s="61">
        <f t="shared" si="5"/>
        <v>259649.99999999994</v>
      </c>
      <c r="G49" s="61">
        <f t="shared" si="5"/>
        <v>-184196.66000000003</v>
      </c>
      <c r="H49" s="61">
        <f t="shared" si="5"/>
        <v>-163249.99999999994</v>
      </c>
      <c r="I49" s="61">
        <f t="shared" si="5"/>
        <v>158299.99999999994</v>
      </c>
      <c r="J49" s="61">
        <f t="shared" si="5"/>
        <v>305000.00000000006</v>
      </c>
      <c r="K49" s="61">
        <f t="shared" si="5"/>
        <v>-271429</v>
      </c>
      <c r="L49" s="61">
        <f t="shared" si="5"/>
        <v>-39043.999999999942</v>
      </c>
      <c r="M49" s="61">
        <f t="shared" si="5"/>
        <v>-64400</v>
      </c>
      <c r="N49" s="61">
        <f t="shared" si="5"/>
        <v>-115000</v>
      </c>
      <c r="O49" s="49"/>
      <c r="Q49" s="1" t="s">
        <v>310</v>
      </c>
    </row>
    <row r="50" spans="1:17" ht="14.25" customHeight="1" x14ac:dyDescent="0.2"/>
    <row r="51" spans="1:17" ht="14.25" customHeight="1" x14ac:dyDescent="0.2">
      <c r="B51" s="55" t="s">
        <v>311</v>
      </c>
      <c r="C51" s="62" t="s">
        <v>312</v>
      </c>
      <c r="D51" s="63" t="s">
        <v>313</v>
      </c>
      <c r="E51" s="63" t="s">
        <v>313</v>
      </c>
      <c r="F51" s="63" t="s">
        <v>313</v>
      </c>
      <c r="G51" s="63" t="s">
        <v>313</v>
      </c>
      <c r="H51" s="63" t="s">
        <v>313</v>
      </c>
      <c r="I51" s="63" t="s">
        <v>313</v>
      </c>
      <c r="J51" s="63" t="s">
        <v>313</v>
      </c>
      <c r="K51" s="63" t="s">
        <v>313</v>
      </c>
      <c r="L51" s="63" t="s">
        <v>313</v>
      </c>
      <c r="M51" s="63" t="s">
        <v>313</v>
      </c>
      <c r="N51" s="63" t="s">
        <v>313</v>
      </c>
      <c r="O51" s="64"/>
      <c r="Q51" s="20" t="s">
        <v>314</v>
      </c>
    </row>
    <row r="52" spans="1:17" ht="14.25" customHeight="1" x14ac:dyDescent="0.2">
      <c r="B52" s="46" t="s">
        <v>315</v>
      </c>
      <c r="C52" s="15">
        <v>40</v>
      </c>
      <c r="D52" s="65">
        <v>55</v>
      </c>
      <c r="E52" s="65">
        <v>55</v>
      </c>
      <c r="F52" s="65">
        <v>55</v>
      </c>
      <c r="G52" s="65">
        <v>55</v>
      </c>
      <c r="H52" s="65">
        <v>55</v>
      </c>
      <c r="I52" s="65">
        <v>55</v>
      </c>
      <c r="J52" s="65">
        <v>55</v>
      </c>
      <c r="K52" s="65">
        <v>55</v>
      </c>
      <c r="L52" s="65">
        <v>55</v>
      </c>
      <c r="M52" s="65">
        <v>55</v>
      </c>
      <c r="N52" s="65">
        <v>55</v>
      </c>
      <c r="O52" s="57"/>
    </row>
    <row r="53" spans="1:17" ht="14.25" customHeight="1" x14ac:dyDescent="0.2">
      <c r="B53" s="46" t="s">
        <v>316</v>
      </c>
      <c r="C53" s="15">
        <v>40</v>
      </c>
      <c r="D53" s="65">
        <v>10</v>
      </c>
      <c r="E53" s="65">
        <v>10</v>
      </c>
      <c r="F53" s="65">
        <v>10</v>
      </c>
      <c r="G53" s="65">
        <v>10</v>
      </c>
      <c r="H53" s="65">
        <v>10</v>
      </c>
      <c r="I53" s="65">
        <v>10</v>
      </c>
      <c r="J53" s="65">
        <v>10</v>
      </c>
      <c r="K53" s="65">
        <v>10</v>
      </c>
      <c r="L53" s="65">
        <v>10</v>
      </c>
      <c r="M53" s="65">
        <v>10</v>
      </c>
      <c r="N53" s="65">
        <v>10</v>
      </c>
      <c r="O53" s="57"/>
    </row>
    <row r="54" spans="1:17" ht="14.25" customHeight="1" x14ac:dyDescent="0.2">
      <c r="B54" s="58" t="s">
        <v>317</v>
      </c>
      <c r="C54" s="201">
        <v>40</v>
      </c>
      <c r="D54" s="66">
        <v>-10</v>
      </c>
      <c r="E54" s="66">
        <v>-10</v>
      </c>
      <c r="F54" s="66">
        <v>-10</v>
      </c>
      <c r="G54" s="66">
        <v>-10</v>
      </c>
      <c r="H54" s="66">
        <v>-10</v>
      </c>
      <c r="I54" s="66">
        <v>-10</v>
      </c>
      <c r="J54" s="66">
        <v>-10</v>
      </c>
      <c r="K54" s="66">
        <v>-10</v>
      </c>
      <c r="L54" s="66">
        <v>-10</v>
      </c>
      <c r="M54" s="66">
        <v>-10</v>
      </c>
      <c r="N54" s="66">
        <v>-10</v>
      </c>
      <c r="O54" s="57"/>
    </row>
    <row r="55" spans="1:17" ht="14.25" customHeight="1" x14ac:dyDescent="0.2">
      <c r="B55" s="24" t="s">
        <v>318</v>
      </c>
      <c r="C55" s="31">
        <f t="shared" ref="C55:N55" si="6">C52+C53-C54</f>
        <v>40</v>
      </c>
      <c r="D55" s="31">
        <f t="shared" si="6"/>
        <v>75</v>
      </c>
      <c r="E55" s="31">
        <f t="shared" si="6"/>
        <v>75</v>
      </c>
      <c r="F55" s="31">
        <f t="shared" si="6"/>
        <v>75</v>
      </c>
      <c r="G55" s="31">
        <f t="shared" si="6"/>
        <v>75</v>
      </c>
      <c r="H55" s="31">
        <f t="shared" si="6"/>
        <v>75</v>
      </c>
      <c r="I55" s="31">
        <f t="shared" si="6"/>
        <v>75</v>
      </c>
      <c r="J55" s="31">
        <f t="shared" si="6"/>
        <v>75</v>
      </c>
      <c r="K55" s="31">
        <f t="shared" si="6"/>
        <v>75</v>
      </c>
      <c r="L55" s="31">
        <f t="shared" si="6"/>
        <v>75</v>
      </c>
      <c r="M55" s="31">
        <f t="shared" si="6"/>
        <v>75</v>
      </c>
      <c r="N55" s="31">
        <f t="shared" si="6"/>
        <v>75</v>
      </c>
      <c r="O55" s="57"/>
    </row>
    <row r="56" spans="1:17" ht="14.25" customHeight="1" x14ac:dyDescent="0.2"/>
    <row r="57" spans="1:17" ht="14.25" customHeight="1" x14ac:dyDescent="0.2">
      <c r="B57" s="67" t="s">
        <v>319</v>
      </c>
      <c r="C57" s="68"/>
      <c r="D57" s="68"/>
      <c r="E57" s="68"/>
      <c r="F57" s="68"/>
      <c r="G57" s="68"/>
      <c r="H57" s="68"/>
      <c r="I57" s="68"/>
      <c r="J57" s="68"/>
      <c r="K57" s="68"/>
      <c r="L57" s="68"/>
      <c r="M57" s="68"/>
      <c r="N57" s="68"/>
      <c r="O57" s="68"/>
      <c r="P57" s="68"/>
      <c r="Q57" s="69"/>
    </row>
    <row r="58" spans="1:17" ht="14.25" customHeight="1" x14ac:dyDescent="0.2">
      <c r="B58" s="212" t="s">
        <v>291</v>
      </c>
      <c r="C58" s="1" t="s">
        <v>320</v>
      </c>
      <c r="Q58" s="70"/>
    </row>
    <row r="59" spans="1:17" ht="14.25" customHeight="1" x14ac:dyDescent="0.2">
      <c r="B59" s="212" t="s">
        <v>293</v>
      </c>
      <c r="C59" s="1" t="s">
        <v>320</v>
      </c>
      <c r="Q59" s="70"/>
    </row>
    <row r="60" spans="1:17" ht="14.25" customHeight="1" x14ac:dyDescent="0.2">
      <c r="B60" s="212" t="s">
        <v>321</v>
      </c>
      <c r="C60" s="1" t="s">
        <v>320</v>
      </c>
      <c r="Q60" s="70"/>
    </row>
    <row r="61" spans="1:17" ht="14.25" customHeight="1" x14ac:dyDescent="0.2">
      <c r="B61" s="212" t="s">
        <v>297</v>
      </c>
      <c r="C61" s="1" t="s">
        <v>320</v>
      </c>
      <c r="Q61" s="70"/>
    </row>
    <row r="62" spans="1:17" ht="14.25" customHeight="1" x14ac:dyDescent="0.2">
      <c r="B62" s="212" t="s">
        <v>299</v>
      </c>
      <c r="C62" s="1" t="s">
        <v>320</v>
      </c>
      <c r="Q62" s="70"/>
    </row>
    <row r="63" spans="1:17" ht="14.25" customHeight="1" x14ac:dyDescent="0.2">
      <c r="B63" s="212" t="s">
        <v>301</v>
      </c>
      <c r="C63" s="1" t="s">
        <v>320</v>
      </c>
      <c r="Q63" s="70"/>
    </row>
    <row r="64" spans="1:17" ht="14.25" customHeight="1" x14ac:dyDescent="0.2">
      <c r="B64" s="212" t="s">
        <v>303</v>
      </c>
      <c r="C64" s="1" t="s">
        <v>320</v>
      </c>
      <c r="Q64" s="70"/>
    </row>
    <row r="65" spans="1:17" ht="14.25" customHeight="1" x14ac:dyDescent="0.2">
      <c r="B65" s="212" t="s">
        <v>299</v>
      </c>
      <c r="C65" s="1" t="s">
        <v>320</v>
      </c>
      <c r="Q65" s="70"/>
    </row>
    <row r="66" spans="1:17" ht="14.25" customHeight="1" x14ac:dyDescent="0.2">
      <c r="A66" s="1" t="s">
        <v>1</v>
      </c>
      <c r="B66" s="53" t="s">
        <v>305</v>
      </c>
      <c r="C66" s="71" t="s">
        <v>320</v>
      </c>
      <c r="D66" s="71"/>
      <c r="E66" s="71"/>
      <c r="F66" s="71"/>
      <c r="G66" s="71"/>
      <c r="H66" s="71"/>
      <c r="I66" s="71"/>
      <c r="J66" s="71"/>
      <c r="K66" s="71"/>
      <c r="L66" s="71"/>
      <c r="M66" s="71"/>
      <c r="N66" s="71"/>
      <c r="O66" s="71"/>
      <c r="P66" s="71"/>
      <c r="Q66" s="72"/>
    </row>
    <row r="67" spans="1:17" ht="14.25" customHeight="1" x14ac:dyDescent="0.2"/>
    <row r="68" spans="1:17" ht="14.25" customHeight="1" x14ac:dyDescent="0.2">
      <c r="B68" s="46"/>
    </row>
    <row r="69" spans="1:17" ht="14.25" customHeight="1" x14ac:dyDescent="0.2"/>
    <row r="70" spans="1:17" ht="14.25" customHeight="1" x14ac:dyDescent="0.2"/>
    <row r="71" spans="1:17" ht="14.25" customHeight="1" x14ac:dyDescent="0.2"/>
    <row r="72" spans="1:17" ht="14.25" customHeight="1" x14ac:dyDescent="0.2"/>
    <row r="73" spans="1:17" ht="14.25" customHeight="1" x14ac:dyDescent="0.2"/>
    <row r="74" spans="1:17" ht="14.25" customHeight="1" x14ac:dyDescent="0.2"/>
    <row r="75" spans="1:17" ht="14.25" customHeight="1" x14ac:dyDescent="0.2"/>
    <row r="76" spans="1:17" ht="14.25" customHeight="1" x14ac:dyDescent="0.2"/>
    <row r="77" spans="1:17" ht="14.25" customHeight="1" x14ac:dyDescent="0.2"/>
    <row r="78" spans="1:17" ht="14.25" customHeight="1" x14ac:dyDescent="0.2"/>
    <row r="79" spans="1:17" ht="14.25" customHeight="1" x14ac:dyDescent="0.2"/>
    <row r="80" spans="1:17"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portrait" r:id="rId1"/>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8A2B9-9EE8-4F3C-B286-B217F34BF72B}">
  <dimension ref="A1:AJ47"/>
  <sheetViews>
    <sheetView zoomScale="80" zoomScaleNormal="90" workbookViewId="0">
      <pane xSplit="2" ySplit="2" topLeftCell="C40" activePane="bottomRight" state="frozenSplit"/>
      <selection pane="topRight" activeCell="C62" sqref="C62"/>
      <selection pane="bottomLeft" activeCell="C62" sqref="C62"/>
      <selection pane="bottomRight" activeCell="B40" sqref="B40"/>
    </sheetView>
  </sheetViews>
  <sheetFormatPr baseColWidth="10" defaultColWidth="12" defaultRowHeight="16" x14ac:dyDescent="0.2"/>
  <cols>
    <col min="1" max="1" width="30.1640625" style="229" bestFit="1" customWidth="1"/>
    <col min="2" max="2" width="52.6640625" style="229" bestFit="1" customWidth="1"/>
    <col min="3" max="3" width="21.83203125" style="229" bestFit="1" customWidth="1"/>
    <col min="4" max="4" width="16.5" style="229" bestFit="1" customWidth="1"/>
    <col min="5" max="5" width="12" style="229"/>
    <col min="6" max="6" width="16.5" style="229" bestFit="1" customWidth="1"/>
    <col min="7" max="7" width="12" style="229"/>
    <col min="8" max="12" width="11.83203125" style="229" customWidth="1"/>
    <col min="13" max="13" width="13.1640625" style="229" bestFit="1" customWidth="1"/>
    <col min="14" max="14" width="12.5" style="229" bestFit="1" customWidth="1"/>
    <col min="15" max="15" width="13.5" style="229" bestFit="1" customWidth="1"/>
    <col min="16" max="20" width="11.83203125" style="229" customWidth="1"/>
    <col min="21" max="33" width="12" style="229"/>
    <col min="34" max="34" width="14.33203125" style="229" customWidth="1"/>
    <col min="35" max="35" width="12" style="229"/>
    <col min="36" max="36" width="12.5" style="229" bestFit="1" customWidth="1"/>
    <col min="37" max="16384" width="12" style="229"/>
  </cols>
  <sheetData>
    <row r="1" spans="1:35" x14ac:dyDescent="0.2">
      <c r="D1" s="230">
        <v>45852</v>
      </c>
      <c r="E1" s="230">
        <f>D1+7</f>
        <v>45859</v>
      </c>
      <c r="F1" s="230">
        <f t="shared" ref="F1:AI1" si="0">E1+7</f>
        <v>45866</v>
      </c>
      <c r="G1" s="230">
        <f t="shared" si="0"/>
        <v>45873</v>
      </c>
      <c r="H1" s="230">
        <f t="shared" si="0"/>
        <v>45880</v>
      </c>
      <c r="I1" s="230">
        <f t="shared" si="0"/>
        <v>45887</v>
      </c>
      <c r="J1" s="230">
        <f t="shared" si="0"/>
        <v>45894</v>
      </c>
      <c r="K1" s="230">
        <f t="shared" si="0"/>
        <v>45901</v>
      </c>
      <c r="L1" s="230">
        <f t="shared" si="0"/>
        <v>45908</v>
      </c>
      <c r="M1" s="230">
        <f t="shared" si="0"/>
        <v>45915</v>
      </c>
      <c r="N1" s="230">
        <f t="shared" si="0"/>
        <v>45922</v>
      </c>
      <c r="O1" s="230">
        <f t="shared" si="0"/>
        <v>45929</v>
      </c>
      <c r="P1" s="230">
        <f t="shared" si="0"/>
        <v>45936</v>
      </c>
      <c r="Q1" s="230">
        <f t="shared" si="0"/>
        <v>45943</v>
      </c>
      <c r="R1" s="230">
        <f t="shared" si="0"/>
        <v>45950</v>
      </c>
      <c r="S1" s="230">
        <f t="shared" si="0"/>
        <v>45957</v>
      </c>
      <c r="T1" s="230">
        <f t="shared" si="0"/>
        <v>45964</v>
      </c>
      <c r="U1" s="230">
        <f t="shared" si="0"/>
        <v>45971</v>
      </c>
      <c r="V1" s="230">
        <f t="shared" si="0"/>
        <v>45978</v>
      </c>
      <c r="W1" s="230">
        <f t="shared" si="0"/>
        <v>45985</v>
      </c>
      <c r="X1" s="230">
        <f t="shared" si="0"/>
        <v>45992</v>
      </c>
      <c r="Y1" s="230">
        <f t="shared" si="0"/>
        <v>45999</v>
      </c>
      <c r="Z1" s="230">
        <f t="shared" si="0"/>
        <v>46006</v>
      </c>
      <c r="AA1" s="230">
        <f t="shared" si="0"/>
        <v>46013</v>
      </c>
      <c r="AB1" s="230">
        <f t="shared" si="0"/>
        <v>46020</v>
      </c>
      <c r="AC1" s="230">
        <f t="shared" si="0"/>
        <v>46027</v>
      </c>
      <c r="AD1" s="230">
        <f t="shared" si="0"/>
        <v>46034</v>
      </c>
      <c r="AE1" s="230">
        <f t="shared" si="0"/>
        <v>46041</v>
      </c>
      <c r="AF1" s="230">
        <f t="shared" si="0"/>
        <v>46048</v>
      </c>
      <c r="AG1" s="230">
        <f t="shared" si="0"/>
        <v>46055</v>
      </c>
      <c r="AH1" s="230">
        <f t="shared" si="0"/>
        <v>46062</v>
      </c>
      <c r="AI1" s="230">
        <f t="shared" si="0"/>
        <v>46069</v>
      </c>
    </row>
    <row r="2" spans="1:35" x14ac:dyDescent="0.2">
      <c r="C2" s="229" t="s">
        <v>322</v>
      </c>
      <c r="D2" s="229" t="s">
        <v>323</v>
      </c>
      <c r="E2" s="229" t="s">
        <v>324</v>
      </c>
      <c r="F2" s="229" t="s">
        <v>325</v>
      </c>
      <c r="G2" s="229" t="s">
        <v>326</v>
      </c>
      <c r="H2" s="229" t="s">
        <v>327</v>
      </c>
      <c r="I2" s="229" t="s">
        <v>328</v>
      </c>
      <c r="J2" s="229" t="s">
        <v>329</v>
      </c>
      <c r="K2" s="229" t="s">
        <v>330</v>
      </c>
      <c r="L2" s="229" t="s">
        <v>331</v>
      </c>
      <c r="M2" s="229" t="s">
        <v>332</v>
      </c>
      <c r="N2" s="229" t="s">
        <v>333</v>
      </c>
      <c r="O2" s="229" t="s">
        <v>334</v>
      </c>
      <c r="P2" s="229" t="s">
        <v>335</v>
      </c>
      <c r="Q2" s="229" t="s">
        <v>336</v>
      </c>
      <c r="R2" s="229" t="s">
        <v>337</v>
      </c>
      <c r="S2" s="229" t="s">
        <v>338</v>
      </c>
      <c r="T2" s="229" t="s">
        <v>339</v>
      </c>
      <c r="U2" s="229" t="s">
        <v>340</v>
      </c>
      <c r="V2" s="229" t="s">
        <v>341</v>
      </c>
      <c r="W2" s="229" t="s">
        <v>342</v>
      </c>
      <c r="X2" s="229" t="s">
        <v>343</v>
      </c>
      <c r="Y2" s="229" t="s">
        <v>344</v>
      </c>
      <c r="Z2" s="229" t="s">
        <v>345</v>
      </c>
      <c r="AA2" s="229" t="s">
        <v>346</v>
      </c>
      <c r="AB2" s="229" t="s">
        <v>255</v>
      </c>
      <c r="AC2" s="229" t="s">
        <v>256</v>
      </c>
      <c r="AD2" s="229" t="s">
        <v>257</v>
      </c>
      <c r="AE2" s="229" t="s">
        <v>258</v>
      </c>
      <c r="AF2" s="229" t="s">
        <v>259</v>
      </c>
      <c r="AG2" s="229" t="s">
        <v>260</v>
      </c>
      <c r="AH2" s="229" t="s">
        <v>261</v>
      </c>
      <c r="AI2" s="229" t="s">
        <v>262</v>
      </c>
    </row>
    <row r="3" spans="1:35" x14ac:dyDescent="0.2">
      <c r="A3" s="229" t="s">
        <v>347</v>
      </c>
      <c r="B3" s="229" t="s">
        <v>348</v>
      </c>
      <c r="C3" s="231">
        <v>500000</v>
      </c>
      <c r="D3" s="231">
        <v>1000000</v>
      </c>
      <c r="E3" s="231"/>
      <c r="F3" s="231">
        <v>1000000</v>
      </c>
    </row>
    <row r="4" spans="1:35" x14ac:dyDescent="0.2">
      <c r="B4" s="232" t="s">
        <v>349</v>
      </c>
    </row>
    <row r="5" spans="1:35" x14ac:dyDescent="0.2">
      <c r="A5" s="229" t="s">
        <v>350</v>
      </c>
      <c r="B5" s="229" t="s">
        <v>351</v>
      </c>
      <c r="M5" s="233" t="s">
        <v>352</v>
      </c>
      <c r="O5" s="233" t="s">
        <v>353</v>
      </c>
      <c r="S5" s="233" t="s">
        <v>354</v>
      </c>
      <c r="AA5" s="233" t="s">
        <v>355</v>
      </c>
      <c r="AE5" s="233" t="s">
        <v>356</v>
      </c>
      <c r="AH5" s="233" t="s">
        <v>357</v>
      </c>
    </row>
    <row r="6" spans="1:35" s="250" customFormat="1" x14ac:dyDescent="0.2">
      <c r="A6" s="236">
        <f t="shared" ref="A6:A10" si="1">SUM(C6:AI6)</f>
        <v>2107929</v>
      </c>
      <c r="B6" s="251" t="s">
        <v>358</v>
      </c>
      <c r="C6" s="252"/>
      <c r="D6" s="252"/>
      <c r="E6" s="252"/>
      <c r="F6" s="252"/>
      <c r="G6" s="252"/>
      <c r="H6" s="252"/>
      <c r="I6" s="252"/>
      <c r="J6" s="252"/>
      <c r="K6" s="252"/>
      <c r="L6" s="252"/>
      <c r="M6" s="252"/>
      <c r="N6" s="252"/>
      <c r="O6" s="252"/>
      <c r="P6" s="252"/>
      <c r="Q6" s="252"/>
      <c r="R6" s="252"/>
      <c r="S6" s="253">
        <v>624969</v>
      </c>
      <c r="T6" s="253"/>
      <c r="U6" s="253"/>
      <c r="V6" s="253"/>
      <c r="W6" s="253"/>
      <c r="X6" s="253"/>
      <c r="Y6" s="253"/>
      <c r="Z6" s="253"/>
      <c r="AA6" s="253"/>
      <c r="AB6" s="253"/>
      <c r="AC6" s="253"/>
      <c r="AD6" s="253"/>
      <c r="AE6" s="253"/>
      <c r="AF6" s="253"/>
      <c r="AG6" s="253"/>
      <c r="AH6" s="253">
        <v>1482960</v>
      </c>
      <c r="AI6" s="253"/>
    </row>
    <row r="7" spans="1:35" s="250" customFormat="1" x14ac:dyDescent="0.2">
      <c r="A7" s="236">
        <f t="shared" si="1"/>
        <v>168843</v>
      </c>
      <c r="B7" s="251" t="s">
        <v>359</v>
      </c>
      <c r="C7" s="252"/>
      <c r="D7" s="252"/>
      <c r="E7" s="252"/>
      <c r="F7" s="252"/>
      <c r="G7" s="252"/>
      <c r="H7" s="252"/>
      <c r="I7" s="252"/>
      <c r="J7" s="252"/>
      <c r="K7" s="252"/>
      <c r="L7" s="252"/>
      <c r="M7" s="252"/>
      <c r="N7" s="252"/>
      <c r="O7" s="252"/>
      <c r="P7" s="252"/>
      <c r="Q7" s="252"/>
      <c r="R7" s="252"/>
      <c r="S7" s="252"/>
      <c r="T7" s="253">
        <f>17495/2</f>
        <v>8747.5</v>
      </c>
      <c r="U7" s="253"/>
      <c r="V7" s="253">
        <f>17495/2</f>
        <v>8747.5</v>
      </c>
      <c r="W7" s="253"/>
      <c r="X7" s="253">
        <f>34991/2</f>
        <v>17495.5</v>
      </c>
      <c r="Y7" s="253"/>
      <c r="Z7" s="253">
        <f>34991/2</f>
        <v>17495.5</v>
      </c>
      <c r="AA7" s="253"/>
      <c r="AB7" s="253">
        <f>52486/2</f>
        <v>26243</v>
      </c>
      <c r="AC7" s="253"/>
      <c r="AD7" s="253">
        <f>52486/2</f>
        <v>26243</v>
      </c>
      <c r="AE7" s="253"/>
      <c r="AF7" s="253">
        <f>63871/2</f>
        <v>31935.5</v>
      </c>
      <c r="AG7" s="253"/>
      <c r="AH7" s="253">
        <f>63871/2</f>
        <v>31935.5</v>
      </c>
      <c r="AI7" s="253"/>
    </row>
    <row r="8" spans="1:35" s="250" customFormat="1" x14ac:dyDescent="0.2">
      <c r="A8" s="236">
        <f t="shared" si="1"/>
        <v>0</v>
      </c>
      <c r="B8" s="251" t="s">
        <v>360</v>
      </c>
      <c r="C8" s="252"/>
      <c r="D8" s="252"/>
      <c r="E8" s="252"/>
      <c r="F8" s="252"/>
      <c r="G8" s="252"/>
      <c r="H8" s="252"/>
      <c r="I8" s="252"/>
      <c r="J8" s="252"/>
      <c r="K8" s="252"/>
      <c r="L8" s="252"/>
      <c r="M8" s="252"/>
      <c r="N8" s="252"/>
      <c r="O8" s="252"/>
      <c r="P8" s="252"/>
      <c r="Q8" s="252"/>
      <c r="R8" s="252"/>
      <c r="S8" s="252"/>
      <c r="T8" s="252"/>
      <c r="U8" s="252"/>
      <c r="V8" s="252"/>
      <c r="W8" s="252"/>
      <c r="X8" s="252"/>
      <c r="Y8" s="252"/>
      <c r="Z8" s="252"/>
      <c r="AA8" s="252"/>
      <c r="AB8" s="252"/>
      <c r="AC8" s="252"/>
      <c r="AD8" s="252"/>
      <c r="AE8" s="252"/>
      <c r="AF8" s="252"/>
      <c r="AG8" s="252"/>
      <c r="AH8" s="252"/>
      <c r="AI8" s="252"/>
    </row>
    <row r="9" spans="1:35" s="250" customFormat="1" x14ac:dyDescent="0.2">
      <c r="A9" s="236">
        <f t="shared" si="1"/>
        <v>0</v>
      </c>
      <c r="B9" s="251" t="s">
        <v>361</v>
      </c>
      <c r="C9" s="252"/>
      <c r="D9" s="252"/>
      <c r="E9" s="252"/>
      <c r="F9" s="252"/>
      <c r="G9" s="252"/>
      <c r="H9" s="252"/>
      <c r="I9" s="252"/>
      <c r="J9" s="252"/>
      <c r="K9" s="252"/>
      <c r="L9" s="252"/>
      <c r="M9" s="252"/>
      <c r="N9" s="252"/>
      <c r="O9" s="252"/>
      <c r="P9" s="252"/>
      <c r="Q9" s="252"/>
      <c r="R9" s="252"/>
      <c r="S9" s="252"/>
      <c r="T9" s="252"/>
      <c r="U9" s="252"/>
      <c r="V9" s="252"/>
      <c r="W9" s="252"/>
      <c r="X9" s="252"/>
      <c r="Y9" s="252"/>
      <c r="Z9" s="252"/>
      <c r="AA9" s="252"/>
      <c r="AB9" s="252"/>
      <c r="AC9" s="252"/>
      <c r="AD9" s="252"/>
      <c r="AE9" s="252"/>
      <c r="AF9" s="252"/>
      <c r="AG9" s="252"/>
      <c r="AH9" s="252"/>
      <c r="AI9" s="252"/>
    </row>
    <row r="10" spans="1:35" s="250" customFormat="1" x14ac:dyDescent="0.2">
      <c r="A10" s="236">
        <f t="shared" si="1"/>
        <v>1403601.5</v>
      </c>
      <c r="B10" s="251" t="s">
        <v>362</v>
      </c>
      <c r="C10" s="252"/>
      <c r="D10" s="252"/>
      <c r="E10" s="252"/>
      <c r="F10" s="252"/>
      <c r="G10" s="252"/>
      <c r="H10" s="252"/>
      <c r="I10" s="253"/>
      <c r="J10" s="253">
        <f>34791/2</f>
        <v>17395.5</v>
      </c>
      <c r="K10" s="253"/>
      <c r="L10" s="253">
        <f>34791/2</f>
        <v>17395.5</v>
      </c>
      <c r="M10" s="253"/>
      <c r="N10" s="253">
        <f>55510/2</f>
        <v>27755</v>
      </c>
      <c r="O10" s="253"/>
      <c r="P10" s="253">
        <f>55510/2</f>
        <v>27755</v>
      </c>
      <c r="Q10" s="253"/>
      <c r="R10" s="253">
        <f>214861/2</f>
        <v>107430.5</v>
      </c>
      <c r="S10" s="253"/>
      <c r="T10" s="253">
        <f>214861/2</f>
        <v>107430.5</v>
      </c>
      <c r="U10" s="253"/>
      <c r="V10" s="253">
        <f>354352/2</f>
        <v>177176</v>
      </c>
      <c r="W10" s="253"/>
      <c r="X10" s="253">
        <f>354352/2</f>
        <v>177176</v>
      </c>
      <c r="Y10" s="253"/>
      <c r="Z10" s="253">
        <f>415620/2</f>
        <v>207810</v>
      </c>
      <c r="AA10" s="253"/>
      <c r="AB10" s="253">
        <f>415620/2</f>
        <v>207810</v>
      </c>
      <c r="AC10" s="253"/>
      <c r="AD10" s="253">
        <f>234821/2</f>
        <v>117410.5</v>
      </c>
      <c r="AE10" s="253"/>
      <c r="AF10" s="253">
        <f>234821/2</f>
        <v>117410.5</v>
      </c>
      <c r="AG10" s="253"/>
      <c r="AH10" s="253">
        <f>187293/2</f>
        <v>93646.5</v>
      </c>
      <c r="AI10" s="253"/>
    </row>
    <row r="11" spans="1:35" s="250" customFormat="1" x14ac:dyDescent="0.2">
      <c r="A11" s="250" t="s">
        <v>363</v>
      </c>
      <c r="B11" s="254" t="s">
        <v>364</v>
      </c>
    </row>
    <row r="12" spans="1:35" s="250" customFormat="1" x14ac:dyDescent="0.2">
      <c r="B12" s="251" t="s">
        <v>365</v>
      </c>
      <c r="C12" s="253"/>
      <c r="D12" s="253"/>
      <c r="E12" s="253"/>
      <c r="F12" s="253">
        <f>170571/2</f>
        <v>85285.5</v>
      </c>
      <c r="G12" s="253"/>
      <c r="H12" s="253">
        <f>170571/2</f>
        <v>85285.5</v>
      </c>
      <c r="I12" s="253"/>
      <c r="J12" s="253">
        <f>270317/2</f>
        <v>135158.5</v>
      </c>
      <c r="K12" s="253"/>
      <c r="L12" s="253">
        <f>270317/2</f>
        <v>135158.5</v>
      </c>
      <c r="M12" s="253"/>
      <c r="N12" s="253">
        <f>276693/2</f>
        <v>138346.5</v>
      </c>
      <c r="O12" s="253"/>
      <c r="P12" s="253">
        <f>276693/2</f>
        <v>138346.5</v>
      </c>
      <c r="Q12" s="253"/>
      <c r="R12" s="253">
        <f>372794/2</f>
        <v>186397</v>
      </c>
      <c r="S12" s="253"/>
      <c r="T12" s="253">
        <f>372794/2</f>
        <v>186397</v>
      </c>
      <c r="U12" s="253"/>
      <c r="V12" s="253">
        <f>524927/2</f>
        <v>262463.5</v>
      </c>
      <c r="W12" s="253"/>
      <c r="X12" s="253">
        <f>524927/2</f>
        <v>262463.5</v>
      </c>
      <c r="Y12" s="253"/>
      <c r="Z12" s="253">
        <f>418751/2</f>
        <v>209375.5</v>
      </c>
      <c r="AA12" s="253"/>
      <c r="AB12" s="253">
        <f>418751/2</f>
        <v>209375.5</v>
      </c>
      <c r="AC12" s="253"/>
      <c r="AD12" s="253">
        <f>415264/2</f>
        <v>207632</v>
      </c>
      <c r="AE12" s="253"/>
      <c r="AF12" s="253">
        <f>415264/2</f>
        <v>207632</v>
      </c>
      <c r="AG12" s="253"/>
      <c r="AH12" s="253">
        <f>466229/2</f>
        <v>233114.5</v>
      </c>
      <c r="AI12" s="253"/>
    </row>
    <row r="13" spans="1:35" s="250" customFormat="1" x14ac:dyDescent="0.2">
      <c r="C13" s="253"/>
      <c r="D13" s="253"/>
      <c r="E13" s="253"/>
      <c r="F13" s="253"/>
      <c r="G13" s="253"/>
      <c r="H13" s="253"/>
      <c r="I13" s="253"/>
      <c r="J13" s="253"/>
      <c r="K13" s="253"/>
      <c r="L13" s="253"/>
      <c r="M13" s="253"/>
      <c r="N13" s="253"/>
      <c r="O13" s="253"/>
      <c r="P13" s="253"/>
      <c r="Q13" s="253"/>
      <c r="R13" s="253"/>
      <c r="S13" s="253"/>
      <c r="T13" s="253"/>
      <c r="U13" s="253"/>
      <c r="V13" s="253"/>
      <c r="W13" s="253"/>
      <c r="X13" s="253"/>
      <c r="Y13" s="253"/>
      <c r="Z13" s="253"/>
      <c r="AA13" s="253"/>
      <c r="AB13" s="253"/>
      <c r="AC13" s="253"/>
      <c r="AD13" s="253"/>
      <c r="AE13" s="253"/>
      <c r="AF13" s="253"/>
      <c r="AG13" s="253"/>
      <c r="AH13" s="253"/>
      <c r="AI13" s="253"/>
    </row>
    <row r="15" spans="1:35" x14ac:dyDescent="0.2">
      <c r="B15" s="234" t="s">
        <v>213</v>
      </c>
      <c r="C15" s="231">
        <f t="shared" ref="C15:AI15" si="2">SUM(C6:C10)+SUM(C12:C13)</f>
        <v>0</v>
      </c>
      <c r="D15" s="231">
        <f t="shared" si="2"/>
        <v>0</v>
      </c>
      <c r="E15" s="231">
        <f t="shared" si="2"/>
        <v>0</v>
      </c>
      <c r="F15" s="231">
        <f t="shared" si="2"/>
        <v>85285.5</v>
      </c>
      <c r="G15" s="231">
        <f t="shared" si="2"/>
        <v>0</v>
      </c>
      <c r="H15" s="231">
        <f t="shared" si="2"/>
        <v>85285.5</v>
      </c>
      <c r="I15" s="231">
        <f t="shared" si="2"/>
        <v>0</v>
      </c>
      <c r="J15" s="231">
        <f t="shared" si="2"/>
        <v>152554</v>
      </c>
      <c r="K15" s="231">
        <f t="shared" si="2"/>
        <v>0</v>
      </c>
      <c r="L15" s="231">
        <f t="shared" si="2"/>
        <v>152554</v>
      </c>
      <c r="M15" s="231">
        <f t="shared" si="2"/>
        <v>0</v>
      </c>
      <c r="N15" s="231">
        <f t="shared" si="2"/>
        <v>166101.5</v>
      </c>
      <c r="O15" s="231">
        <f t="shared" si="2"/>
        <v>0</v>
      </c>
      <c r="P15" s="231">
        <f t="shared" si="2"/>
        <v>166101.5</v>
      </c>
      <c r="Q15" s="231">
        <f t="shared" si="2"/>
        <v>0</v>
      </c>
      <c r="R15" s="231">
        <f t="shared" si="2"/>
        <v>293827.5</v>
      </c>
      <c r="S15" s="231">
        <f t="shared" si="2"/>
        <v>624969</v>
      </c>
      <c r="T15" s="231">
        <f t="shared" si="2"/>
        <v>302575</v>
      </c>
      <c r="U15" s="231">
        <f t="shared" si="2"/>
        <v>0</v>
      </c>
      <c r="V15" s="231">
        <f t="shared" si="2"/>
        <v>448387</v>
      </c>
      <c r="W15" s="231">
        <f t="shared" si="2"/>
        <v>0</v>
      </c>
      <c r="X15" s="231">
        <f t="shared" si="2"/>
        <v>457135</v>
      </c>
      <c r="Y15" s="231">
        <f t="shared" si="2"/>
        <v>0</v>
      </c>
      <c r="Z15" s="231">
        <f t="shared" si="2"/>
        <v>434681</v>
      </c>
      <c r="AA15" s="231">
        <f t="shared" si="2"/>
        <v>0</v>
      </c>
      <c r="AB15" s="231">
        <f t="shared" si="2"/>
        <v>443428.5</v>
      </c>
      <c r="AC15" s="231">
        <f t="shared" si="2"/>
        <v>0</v>
      </c>
      <c r="AD15" s="231">
        <f t="shared" si="2"/>
        <v>351285.5</v>
      </c>
      <c r="AE15" s="231">
        <f t="shared" si="2"/>
        <v>0</v>
      </c>
      <c r="AF15" s="231">
        <f t="shared" si="2"/>
        <v>356978</v>
      </c>
      <c r="AG15" s="231">
        <f t="shared" si="2"/>
        <v>0</v>
      </c>
      <c r="AH15" s="231">
        <f t="shared" si="2"/>
        <v>1841656.5</v>
      </c>
      <c r="AI15" s="231">
        <f t="shared" si="2"/>
        <v>0</v>
      </c>
    </row>
    <row r="16" spans="1:35" x14ac:dyDescent="0.2">
      <c r="B16" s="235">
        <v>0.8</v>
      </c>
      <c r="C16" s="236">
        <f>C15*$B$16</f>
        <v>0</v>
      </c>
      <c r="D16" s="236">
        <f t="shared" ref="D16:AG16" si="3">D15*$B$16</f>
        <v>0</v>
      </c>
      <c r="E16" s="236">
        <f t="shared" si="3"/>
        <v>0</v>
      </c>
      <c r="F16" s="236">
        <f t="shared" si="3"/>
        <v>68228.400000000009</v>
      </c>
      <c r="G16" s="236">
        <f t="shared" si="3"/>
        <v>0</v>
      </c>
      <c r="H16" s="236">
        <f t="shared" si="3"/>
        <v>68228.400000000009</v>
      </c>
      <c r="I16" s="236">
        <f t="shared" si="3"/>
        <v>0</v>
      </c>
      <c r="J16" s="236">
        <f t="shared" si="3"/>
        <v>122043.20000000001</v>
      </c>
      <c r="K16" s="236">
        <f t="shared" si="3"/>
        <v>0</v>
      </c>
      <c r="L16" s="236">
        <f t="shared" si="3"/>
        <v>122043.20000000001</v>
      </c>
      <c r="M16" s="236">
        <f t="shared" si="3"/>
        <v>0</v>
      </c>
      <c r="N16" s="236">
        <f t="shared" si="3"/>
        <v>132881.20000000001</v>
      </c>
      <c r="O16" s="236">
        <f t="shared" si="3"/>
        <v>0</v>
      </c>
      <c r="P16" s="236">
        <f t="shared" si="3"/>
        <v>132881.20000000001</v>
      </c>
      <c r="Q16" s="236">
        <f t="shared" si="3"/>
        <v>0</v>
      </c>
      <c r="R16" s="236">
        <f t="shared" si="3"/>
        <v>235062</v>
      </c>
      <c r="S16" s="236">
        <f t="shared" si="3"/>
        <v>499975.2</v>
      </c>
      <c r="T16" s="236">
        <f t="shared" si="3"/>
        <v>242060</v>
      </c>
      <c r="U16" s="236">
        <f t="shared" si="3"/>
        <v>0</v>
      </c>
      <c r="V16" s="236">
        <f t="shared" si="3"/>
        <v>358709.60000000003</v>
      </c>
      <c r="W16" s="236">
        <f t="shared" si="3"/>
        <v>0</v>
      </c>
      <c r="X16" s="236">
        <f t="shared" si="3"/>
        <v>365708</v>
      </c>
      <c r="Y16" s="236">
        <f t="shared" si="3"/>
        <v>0</v>
      </c>
      <c r="Z16" s="236">
        <f t="shared" si="3"/>
        <v>347744.80000000005</v>
      </c>
      <c r="AA16" s="236">
        <f t="shared" si="3"/>
        <v>0</v>
      </c>
      <c r="AB16" s="236">
        <f t="shared" si="3"/>
        <v>354742.80000000005</v>
      </c>
      <c r="AC16" s="236">
        <f t="shared" si="3"/>
        <v>0</v>
      </c>
      <c r="AD16" s="236">
        <f t="shared" si="3"/>
        <v>281028.40000000002</v>
      </c>
      <c r="AE16" s="236">
        <f t="shared" si="3"/>
        <v>0</v>
      </c>
      <c r="AF16" s="236">
        <f t="shared" si="3"/>
        <v>285582.40000000002</v>
      </c>
      <c r="AG16" s="236">
        <f t="shared" si="3"/>
        <v>0</v>
      </c>
      <c r="AH16" s="236">
        <f>AH15*$B$16</f>
        <v>1473325.2000000002</v>
      </c>
      <c r="AI16" s="236">
        <f t="shared" ref="AI16" si="4">AI15*$B$16</f>
        <v>0</v>
      </c>
    </row>
    <row r="17" spans="1:35" ht="29" x14ac:dyDescent="0.35">
      <c r="B17" s="237" t="s">
        <v>366</v>
      </c>
      <c r="C17" s="229">
        <v>8</v>
      </c>
    </row>
    <row r="19" spans="1:35" ht="21" x14ac:dyDescent="0.25">
      <c r="B19" s="238" t="s">
        <v>367</v>
      </c>
    </row>
    <row r="20" spans="1:35" x14ac:dyDescent="0.2">
      <c r="C20" s="239">
        <f>C37+C22</f>
        <v>318474</v>
      </c>
      <c r="D20" s="239">
        <f t="shared" ref="D20:AI20" si="5">D37+D22</f>
        <v>313992</v>
      </c>
      <c r="E20" s="239">
        <f t="shared" si="5"/>
        <v>71053</v>
      </c>
      <c r="F20" s="239">
        <f t="shared" si="5"/>
        <v>483525</v>
      </c>
      <c r="G20" s="239">
        <f t="shared" si="5"/>
        <v>104700</v>
      </c>
      <c r="H20" s="239">
        <f t="shared" si="5"/>
        <v>37500</v>
      </c>
      <c r="I20" s="239">
        <f t="shared" si="5"/>
        <v>104000</v>
      </c>
      <c r="J20" s="239">
        <f t="shared" si="5"/>
        <v>69042</v>
      </c>
      <c r="K20" s="239">
        <f t="shared" si="5"/>
        <v>23192</v>
      </c>
      <c r="L20" s="239">
        <f t="shared" si="5"/>
        <v>0</v>
      </c>
      <c r="M20" s="239">
        <f t="shared" si="5"/>
        <v>0</v>
      </c>
      <c r="N20" s="239">
        <f t="shared" si="5"/>
        <v>0</v>
      </c>
      <c r="O20" s="239">
        <f t="shared" si="5"/>
        <v>730164</v>
      </c>
      <c r="P20" s="239">
        <f t="shared" si="5"/>
        <v>31100</v>
      </c>
      <c r="Q20" s="239">
        <f t="shared" si="5"/>
        <v>569850</v>
      </c>
      <c r="R20" s="239">
        <f t="shared" si="5"/>
        <v>0</v>
      </c>
      <c r="S20" s="239">
        <f t="shared" si="5"/>
        <v>0</v>
      </c>
      <c r="T20" s="239">
        <f t="shared" si="5"/>
        <v>155970</v>
      </c>
      <c r="U20" s="239">
        <f t="shared" si="5"/>
        <v>109000</v>
      </c>
      <c r="V20" s="239">
        <f t="shared" si="5"/>
        <v>0</v>
      </c>
      <c r="W20" s="239">
        <f t="shared" si="5"/>
        <v>0</v>
      </c>
      <c r="X20" s="239">
        <f t="shared" si="5"/>
        <v>0</v>
      </c>
      <c r="Y20" s="239">
        <f t="shared" si="5"/>
        <v>0</v>
      </c>
      <c r="Z20" s="239">
        <f t="shared" si="5"/>
        <v>0</v>
      </c>
      <c r="AA20" s="239">
        <f t="shared" si="5"/>
        <v>0</v>
      </c>
      <c r="AB20" s="239">
        <f t="shared" si="5"/>
        <v>381000</v>
      </c>
      <c r="AC20" s="239">
        <f t="shared" si="5"/>
        <v>0</v>
      </c>
      <c r="AD20" s="239">
        <f t="shared" si="5"/>
        <v>37000</v>
      </c>
      <c r="AE20" s="239">
        <f t="shared" si="5"/>
        <v>168000</v>
      </c>
      <c r="AF20" s="239">
        <f t="shared" si="5"/>
        <v>387930</v>
      </c>
      <c r="AG20" s="239">
        <f t="shared" si="5"/>
        <v>0</v>
      </c>
      <c r="AH20" s="239">
        <f t="shared" si="5"/>
        <v>0</v>
      </c>
      <c r="AI20" s="239">
        <f t="shared" si="5"/>
        <v>0</v>
      </c>
    </row>
    <row r="22" spans="1:35" x14ac:dyDescent="0.2">
      <c r="A22" s="229" t="s">
        <v>368</v>
      </c>
      <c r="B22" s="229" t="s">
        <v>369</v>
      </c>
      <c r="C22" s="236">
        <f>SUM(C23:C34)</f>
        <v>222474</v>
      </c>
      <c r="D22" s="240">
        <f t="shared" ref="D22:AI22" si="6">SUM(D23:D34)</f>
        <v>124042</v>
      </c>
      <c r="E22" s="236">
        <f t="shared" si="6"/>
        <v>21053</v>
      </c>
      <c r="F22" s="236">
        <f t="shared" si="6"/>
        <v>189000</v>
      </c>
      <c r="G22" s="236">
        <f t="shared" si="6"/>
        <v>0</v>
      </c>
      <c r="H22" s="236">
        <f t="shared" si="6"/>
        <v>37500</v>
      </c>
      <c r="I22" s="236">
        <f t="shared" si="6"/>
        <v>104000</v>
      </c>
      <c r="J22" s="236">
        <f>SUM(J23:J34)</f>
        <v>69042</v>
      </c>
      <c r="K22" s="236">
        <f t="shared" si="6"/>
        <v>23192</v>
      </c>
      <c r="L22" s="236">
        <f t="shared" si="6"/>
        <v>0</v>
      </c>
      <c r="M22" s="236">
        <f t="shared" si="6"/>
        <v>0</v>
      </c>
      <c r="N22" s="236">
        <f t="shared" si="6"/>
        <v>0</v>
      </c>
      <c r="O22" s="236">
        <f t="shared" si="6"/>
        <v>115364</v>
      </c>
      <c r="P22" s="236">
        <f t="shared" si="6"/>
        <v>31100</v>
      </c>
      <c r="Q22" s="236">
        <f t="shared" si="6"/>
        <v>0</v>
      </c>
      <c r="R22" s="236">
        <f t="shared" si="6"/>
        <v>0</v>
      </c>
      <c r="S22" s="236">
        <f t="shared" si="6"/>
        <v>0</v>
      </c>
      <c r="T22" s="236">
        <f t="shared" si="6"/>
        <v>0</v>
      </c>
      <c r="U22" s="236">
        <f t="shared" si="6"/>
        <v>37000</v>
      </c>
      <c r="V22" s="236">
        <f t="shared" si="6"/>
        <v>0</v>
      </c>
      <c r="W22" s="236">
        <f t="shared" si="6"/>
        <v>0</v>
      </c>
      <c r="X22" s="236">
        <f t="shared" si="6"/>
        <v>0</v>
      </c>
      <c r="Y22" s="236">
        <f t="shared" si="6"/>
        <v>0</v>
      </c>
      <c r="Z22" s="236">
        <f t="shared" si="6"/>
        <v>0</v>
      </c>
      <c r="AA22" s="236">
        <f t="shared" si="6"/>
        <v>0</v>
      </c>
      <c r="AB22" s="236">
        <f t="shared" si="6"/>
        <v>80000</v>
      </c>
      <c r="AC22" s="236">
        <f t="shared" si="6"/>
        <v>0</v>
      </c>
      <c r="AD22" s="236">
        <f t="shared" si="6"/>
        <v>37000</v>
      </c>
      <c r="AE22" s="236">
        <f t="shared" si="6"/>
        <v>0</v>
      </c>
      <c r="AF22" s="236">
        <f t="shared" si="6"/>
        <v>24000</v>
      </c>
      <c r="AG22" s="236">
        <f t="shared" si="6"/>
        <v>0</v>
      </c>
      <c r="AH22" s="236">
        <f t="shared" si="6"/>
        <v>0</v>
      </c>
      <c r="AI22" s="236">
        <f t="shared" si="6"/>
        <v>0</v>
      </c>
    </row>
    <row r="23" spans="1:35" x14ac:dyDescent="0.2">
      <c r="A23" s="236">
        <f>SUM(C23:AI23)</f>
        <v>154588</v>
      </c>
      <c r="B23" s="234" t="s">
        <v>99</v>
      </c>
      <c r="C23" s="241">
        <v>71119</v>
      </c>
      <c r="D23" s="241" t="s">
        <v>370</v>
      </c>
      <c r="E23" s="241" t="s">
        <v>371</v>
      </c>
      <c r="F23" s="241" t="s">
        <v>370</v>
      </c>
      <c r="G23" s="241" t="s">
        <v>371</v>
      </c>
      <c r="H23" s="241"/>
      <c r="I23" s="241" t="s">
        <v>372</v>
      </c>
      <c r="J23" s="241" t="s">
        <v>373</v>
      </c>
      <c r="K23" s="241"/>
      <c r="L23" s="241"/>
      <c r="M23" s="241" t="s">
        <v>374</v>
      </c>
      <c r="N23" s="241" t="s">
        <v>372</v>
      </c>
      <c r="O23" s="241">
        <v>71119</v>
      </c>
      <c r="P23" s="241">
        <v>12350</v>
      </c>
      <c r="Q23" s="241" t="s">
        <v>371</v>
      </c>
      <c r="R23" s="241" t="s">
        <v>371</v>
      </c>
      <c r="S23" s="241" t="s">
        <v>371</v>
      </c>
      <c r="T23" s="241" t="s">
        <v>371</v>
      </c>
      <c r="U23" s="241" t="s">
        <v>372</v>
      </c>
      <c r="V23" s="241" t="s">
        <v>374</v>
      </c>
      <c r="W23" s="241" t="s">
        <v>374</v>
      </c>
      <c r="X23" s="241" t="s">
        <v>371</v>
      </c>
      <c r="Y23" s="241" t="s">
        <v>371</v>
      </c>
      <c r="Z23" s="241" t="s">
        <v>372</v>
      </c>
      <c r="AA23" s="241" t="s">
        <v>374</v>
      </c>
      <c r="AB23" s="241" t="s">
        <v>373</v>
      </c>
      <c r="AC23" s="241" t="s">
        <v>371</v>
      </c>
      <c r="AD23" s="241" t="s">
        <v>371</v>
      </c>
      <c r="AE23" s="241" t="s">
        <v>371</v>
      </c>
      <c r="AF23" s="241" t="s">
        <v>371</v>
      </c>
      <c r="AG23" s="241" t="s">
        <v>375</v>
      </c>
      <c r="AH23" s="241" t="s">
        <v>371</v>
      </c>
      <c r="AI23" s="241" t="s">
        <v>371</v>
      </c>
    </row>
    <row r="24" spans="1:35" x14ac:dyDescent="0.2">
      <c r="A24" s="236">
        <f t="shared" ref="A24:A34" si="7">SUM(C24:AI24)</f>
        <v>42106</v>
      </c>
      <c r="B24" s="234" t="s">
        <v>376</v>
      </c>
      <c r="C24" s="242" t="s">
        <v>377</v>
      </c>
      <c r="D24" s="242" t="s">
        <v>370</v>
      </c>
      <c r="E24" s="308">
        <v>21053</v>
      </c>
      <c r="F24" s="242" t="s">
        <v>370</v>
      </c>
      <c r="G24" s="242"/>
      <c r="H24" s="242" t="s">
        <v>372</v>
      </c>
      <c r="I24" s="242" t="s">
        <v>372</v>
      </c>
      <c r="J24" s="242" t="s">
        <v>373</v>
      </c>
      <c r="K24" s="242" t="s">
        <v>371</v>
      </c>
      <c r="L24" s="242" t="s">
        <v>371</v>
      </c>
      <c r="M24" s="242" t="s">
        <v>374</v>
      </c>
      <c r="N24" s="242" t="s">
        <v>372</v>
      </c>
      <c r="O24" s="242">
        <v>21053</v>
      </c>
      <c r="P24" s="242" t="s">
        <v>371</v>
      </c>
      <c r="Q24" s="242" t="s">
        <v>371</v>
      </c>
      <c r="R24" s="242" t="s">
        <v>371</v>
      </c>
      <c r="S24" s="242" t="s">
        <v>371</v>
      </c>
      <c r="T24" s="242" t="s">
        <v>371</v>
      </c>
      <c r="U24" s="242" t="s">
        <v>372</v>
      </c>
      <c r="V24" s="242" t="s">
        <v>374</v>
      </c>
      <c r="W24" s="242" t="s">
        <v>374</v>
      </c>
      <c r="X24" s="242" t="s">
        <v>371</v>
      </c>
      <c r="Y24" s="242" t="s">
        <v>371</v>
      </c>
      <c r="Z24" s="242" t="s">
        <v>372</v>
      </c>
      <c r="AA24" s="242" t="s">
        <v>374</v>
      </c>
      <c r="AB24" s="242" t="s">
        <v>373</v>
      </c>
      <c r="AC24" s="242" t="s">
        <v>371</v>
      </c>
      <c r="AD24" s="242" t="s">
        <v>371</v>
      </c>
      <c r="AE24" s="242" t="s">
        <v>371</v>
      </c>
      <c r="AF24" s="242" t="s">
        <v>371</v>
      </c>
      <c r="AG24" s="242" t="s">
        <v>375</v>
      </c>
      <c r="AH24" s="242" t="s">
        <v>371</v>
      </c>
      <c r="AI24" s="242" t="s">
        <v>371</v>
      </c>
    </row>
    <row r="25" spans="1:35" x14ac:dyDescent="0.2">
      <c r="A25" s="236">
        <f t="shared" si="7"/>
        <v>350939</v>
      </c>
      <c r="B25" s="234" t="s">
        <v>118</v>
      </c>
      <c r="C25" s="241">
        <v>151355</v>
      </c>
      <c r="D25" s="308">
        <v>5292</v>
      </c>
      <c r="E25" s="241" t="s">
        <v>371</v>
      </c>
      <c r="F25" s="308">
        <v>189000</v>
      </c>
      <c r="G25" s="241" t="s">
        <v>371</v>
      </c>
      <c r="H25" s="241" t="s">
        <v>372</v>
      </c>
      <c r="I25" s="241" t="s">
        <v>372</v>
      </c>
      <c r="J25" s="241">
        <v>5292</v>
      </c>
      <c r="K25" s="241" t="s">
        <v>371</v>
      </c>
      <c r="L25" s="241" t="s">
        <v>371</v>
      </c>
      <c r="M25" s="314"/>
      <c r="N25" s="241" t="s">
        <v>372</v>
      </c>
      <c r="O25" s="241" t="s">
        <v>373</v>
      </c>
      <c r="P25" s="241" t="s">
        <v>371</v>
      </c>
      <c r="Q25" s="241" t="s">
        <v>371</v>
      </c>
      <c r="R25" s="241" t="s">
        <v>371</v>
      </c>
      <c r="S25" s="241" t="s">
        <v>371</v>
      </c>
      <c r="T25" s="241" t="s">
        <v>371</v>
      </c>
      <c r="U25" s="241" t="s">
        <v>372</v>
      </c>
      <c r="V25" s="241" t="s">
        <v>374</v>
      </c>
      <c r="W25" s="241" t="s">
        <v>374</v>
      </c>
      <c r="X25" s="241" t="s">
        <v>371</v>
      </c>
      <c r="Y25" s="241" t="s">
        <v>371</v>
      </c>
      <c r="Z25" s="241" t="s">
        <v>372</v>
      </c>
      <c r="AA25" s="241" t="s">
        <v>374</v>
      </c>
      <c r="AB25" s="241" t="s">
        <v>373</v>
      </c>
      <c r="AC25" s="241" t="s">
        <v>371</v>
      </c>
      <c r="AD25" s="241" t="s">
        <v>371</v>
      </c>
      <c r="AE25" s="241" t="s">
        <v>371</v>
      </c>
      <c r="AF25" s="241" t="s">
        <v>371</v>
      </c>
      <c r="AG25" s="241" t="s">
        <v>375</v>
      </c>
      <c r="AH25" s="241" t="s">
        <v>371</v>
      </c>
      <c r="AI25" s="241" t="s">
        <v>371</v>
      </c>
    </row>
    <row r="26" spans="1:35" x14ac:dyDescent="0.2">
      <c r="A26" s="236">
        <f t="shared" si="7"/>
        <v>46384</v>
      </c>
      <c r="B26" s="234" t="s">
        <v>378</v>
      </c>
      <c r="C26" s="242" t="s">
        <v>377</v>
      </c>
      <c r="D26" s="314"/>
      <c r="E26" s="242" t="s">
        <v>371</v>
      </c>
      <c r="F26" s="242" t="s">
        <v>370</v>
      </c>
      <c r="G26" s="242" t="s">
        <v>371</v>
      </c>
      <c r="H26" s="242" t="s">
        <v>372</v>
      </c>
      <c r="I26" s="242" t="s">
        <v>372</v>
      </c>
      <c r="J26" s="242"/>
      <c r="K26" s="314">
        <v>23192</v>
      </c>
      <c r="L26" s="242" t="s">
        <v>371</v>
      </c>
      <c r="M26" s="242" t="s">
        <v>374</v>
      </c>
      <c r="N26" s="242" t="s">
        <v>372</v>
      </c>
      <c r="O26" s="314">
        <f>K26</f>
        <v>23192</v>
      </c>
      <c r="P26" s="242" t="s">
        <v>371</v>
      </c>
      <c r="Q26" s="242" t="s">
        <v>371</v>
      </c>
      <c r="R26" s="242" t="s">
        <v>371</v>
      </c>
      <c r="S26" s="242" t="s">
        <v>371</v>
      </c>
      <c r="T26" s="242" t="s">
        <v>371</v>
      </c>
      <c r="U26" s="242" t="s">
        <v>372</v>
      </c>
      <c r="V26" s="242" t="s">
        <v>374</v>
      </c>
      <c r="W26" s="242" t="s">
        <v>374</v>
      </c>
      <c r="X26" s="242" t="s">
        <v>371</v>
      </c>
      <c r="Y26" s="242" t="s">
        <v>371</v>
      </c>
      <c r="Z26" s="242" t="s">
        <v>372</v>
      </c>
      <c r="AA26" s="242" t="s">
        <v>374</v>
      </c>
      <c r="AB26" s="242" t="s">
        <v>373</v>
      </c>
      <c r="AC26" s="242" t="s">
        <v>371</v>
      </c>
      <c r="AD26" s="242" t="s">
        <v>371</v>
      </c>
      <c r="AE26" s="242" t="s">
        <v>371</v>
      </c>
      <c r="AF26" s="242" t="s">
        <v>371</v>
      </c>
      <c r="AG26" s="242" t="s">
        <v>375</v>
      </c>
      <c r="AH26" s="242" t="s">
        <v>371</v>
      </c>
      <c r="AI26" s="242" t="s">
        <v>371</v>
      </c>
    </row>
    <row r="27" spans="1:35" x14ac:dyDescent="0.2">
      <c r="A27" s="236">
        <f t="shared" si="7"/>
        <v>160000</v>
      </c>
      <c r="B27" s="234" t="s">
        <v>379</v>
      </c>
      <c r="C27" s="241" t="s">
        <v>377</v>
      </c>
      <c r="D27" s="241" t="s">
        <v>370</v>
      </c>
      <c r="E27" s="241" t="s">
        <v>371</v>
      </c>
      <c r="F27" s="241" t="s">
        <v>370</v>
      </c>
      <c r="G27" s="241"/>
      <c r="H27" s="241" t="s">
        <v>372</v>
      </c>
      <c r="I27" s="314">
        <v>80000</v>
      </c>
      <c r="J27" s="241" t="s">
        <v>373</v>
      </c>
      <c r="K27" s="241" t="s">
        <v>371</v>
      </c>
      <c r="L27" s="241" t="s">
        <v>371</v>
      </c>
      <c r="M27" s="241" t="s">
        <v>374</v>
      </c>
      <c r="N27" s="241" t="s">
        <v>372</v>
      </c>
      <c r="O27" s="241" t="s">
        <v>373</v>
      </c>
      <c r="P27" s="241" t="s">
        <v>371</v>
      </c>
      <c r="Q27" s="241" t="s">
        <v>371</v>
      </c>
      <c r="R27" s="241" t="s">
        <v>371</v>
      </c>
      <c r="S27" s="241" t="s">
        <v>371</v>
      </c>
      <c r="T27" s="241" t="s">
        <v>371</v>
      </c>
      <c r="U27" s="241" t="s">
        <v>372</v>
      </c>
      <c r="V27" s="241" t="s">
        <v>374</v>
      </c>
      <c r="W27" s="241" t="s">
        <v>374</v>
      </c>
      <c r="X27" s="241" t="s">
        <v>371</v>
      </c>
      <c r="Y27" s="241" t="s">
        <v>371</v>
      </c>
      <c r="Z27" s="241" t="s">
        <v>372</v>
      </c>
      <c r="AA27" s="241" t="s">
        <v>374</v>
      </c>
      <c r="AB27" s="241">
        <v>80000</v>
      </c>
      <c r="AC27" s="241" t="s">
        <v>371</v>
      </c>
      <c r="AD27" s="241" t="s">
        <v>371</v>
      </c>
      <c r="AE27" s="241" t="s">
        <v>371</v>
      </c>
      <c r="AF27" s="241" t="s">
        <v>371</v>
      </c>
      <c r="AG27" s="241" t="s">
        <v>375</v>
      </c>
      <c r="AH27" s="241" t="s">
        <v>371</v>
      </c>
      <c r="AI27" s="241" t="s">
        <v>371</v>
      </c>
    </row>
    <row r="28" spans="1:35" x14ac:dyDescent="0.2">
      <c r="A28" s="236">
        <f t="shared" si="7"/>
        <v>48000</v>
      </c>
      <c r="B28" s="234" t="s">
        <v>380</v>
      </c>
      <c r="C28" s="242" t="s">
        <v>377</v>
      </c>
      <c r="D28" s="242" t="s">
        <v>370</v>
      </c>
      <c r="E28" s="242" t="s">
        <v>371</v>
      </c>
      <c r="F28" s="242" t="s">
        <v>370</v>
      </c>
      <c r="G28" s="242"/>
      <c r="H28" s="242" t="s">
        <v>372</v>
      </c>
      <c r="I28" s="314">
        <v>24000</v>
      </c>
      <c r="J28" s="242" t="s">
        <v>373</v>
      </c>
      <c r="K28" s="242" t="s">
        <v>371</v>
      </c>
      <c r="L28" s="242" t="s">
        <v>371</v>
      </c>
      <c r="M28" s="242" t="s">
        <v>374</v>
      </c>
      <c r="N28" s="242" t="s">
        <v>372</v>
      </c>
      <c r="O28" s="242" t="s">
        <v>373</v>
      </c>
      <c r="P28" s="242" t="s">
        <v>371</v>
      </c>
      <c r="Q28" s="242" t="s">
        <v>371</v>
      </c>
      <c r="R28" s="242" t="s">
        <v>371</v>
      </c>
      <c r="S28" s="242" t="s">
        <v>371</v>
      </c>
      <c r="T28" s="242" t="s">
        <v>371</v>
      </c>
      <c r="U28" s="242" t="s">
        <v>372</v>
      </c>
      <c r="V28" s="242" t="s">
        <v>374</v>
      </c>
      <c r="W28" s="242" t="s">
        <v>374</v>
      </c>
      <c r="X28" s="242" t="s">
        <v>371</v>
      </c>
      <c r="Y28" s="242" t="s">
        <v>371</v>
      </c>
      <c r="Z28" s="242" t="s">
        <v>372</v>
      </c>
      <c r="AA28" s="242" t="s">
        <v>374</v>
      </c>
      <c r="AB28" s="242" t="s">
        <v>373</v>
      </c>
      <c r="AC28" s="242" t="s">
        <v>371</v>
      </c>
      <c r="AD28" s="242" t="s">
        <v>371</v>
      </c>
      <c r="AE28" s="242" t="s">
        <v>371</v>
      </c>
      <c r="AF28" s="242">
        <v>24000</v>
      </c>
      <c r="AG28" s="242" t="s">
        <v>375</v>
      </c>
      <c r="AH28" s="242" t="s">
        <v>371</v>
      </c>
      <c r="AI28" s="242" t="s">
        <v>371</v>
      </c>
    </row>
    <row r="29" spans="1:35" x14ac:dyDescent="0.2">
      <c r="A29" s="236">
        <f t="shared" si="7"/>
        <v>249000</v>
      </c>
      <c r="B29" s="234" t="s">
        <v>88</v>
      </c>
      <c r="C29" s="241" t="s">
        <v>377</v>
      </c>
      <c r="D29" s="308">
        <v>118750</v>
      </c>
      <c r="E29" s="241" t="s">
        <v>371</v>
      </c>
      <c r="F29" s="241" t="s">
        <v>370</v>
      </c>
      <c r="G29" s="241" t="s">
        <v>371</v>
      </c>
      <c r="H29" s="308">
        <v>37500</v>
      </c>
      <c r="I29" s="241" t="s">
        <v>372</v>
      </c>
      <c r="J29" s="241" t="s">
        <v>373</v>
      </c>
      <c r="K29" s="241" t="s">
        <v>371</v>
      </c>
      <c r="L29" s="241" t="s">
        <v>371</v>
      </c>
      <c r="M29" s="241" t="s">
        <v>374</v>
      </c>
      <c r="N29" s="241" t="s">
        <v>372</v>
      </c>
      <c r="O29" s="241" t="s">
        <v>373</v>
      </c>
      <c r="P29" s="241">
        <v>18750</v>
      </c>
      <c r="Q29" s="241" t="s">
        <v>371</v>
      </c>
      <c r="R29" s="241" t="s">
        <v>371</v>
      </c>
      <c r="S29" s="241" t="s">
        <v>371</v>
      </c>
      <c r="T29" s="241" t="s">
        <v>371</v>
      </c>
      <c r="U29" s="241">
        <v>37000</v>
      </c>
      <c r="V29" s="241" t="s">
        <v>374</v>
      </c>
      <c r="W29" s="241" t="s">
        <v>374</v>
      </c>
      <c r="X29" s="241" t="s">
        <v>371</v>
      </c>
      <c r="Y29" s="241" t="s">
        <v>371</v>
      </c>
      <c r="Z29" s="241" t="s">
        <v>372</v>
      </c>
      <c r="AA29" s="241" t="s">
        <v>374</v>
      </c>
      <c r="AB29" s="241" t="s">
        <v>373</v>
      </c>
      <c r="AC29" s="241" t="s">
        <v>371</v>
      </c>
      <c r="AD29" s="241">
        <v>37000</v>
      </c>
      <c r="AE29" s="241" t="s">
        <v>371</v>
      </c>
      <c r="AF29" s="241" t="s">
        <v>371</v>
      </c>
      <c r="AG29" s="241" t="s">
        <v>375</v>
      </c>
      <c r="AH29" s="241" t="s">
        <v>371</v>
      </c>
      <c r="AI29" s="241" t="s">
        <v>371</v>
      </c>
    </row>
    <row r="30" spans="1:35" x14ac:dyDescent="0.2">
      <c r="A30" s="236">
        <f t="shared" si="7"/>
        <v>0</v>
      </c>
      <c r="B30" s="234" t="s">
        <v>381</v>
      </c>
      <c r="C30" s="242" t="s">
        <v>377</v>
      </c>
      <c r="D30" s="242" t="s">
        <v>370</v>
      </c>
      <c r="E30" s="242" t="s">
        <v>371</v>
      </c>
      <c r="F30" s="242" t="s">
        <v>370</v>
      </c>
      <c r="G30" s="242" t="s">
        <v>371</v>
      </c>
      <c r="H30" s="242" t="s">
        <v>372</v>
      </c>
      <c r="I30" s="242" t="s">
        <v>372</v>
      </c>
      <c r="J30" s="242" t="s">
        <v>373</v>
      </c>
      <c r="K30" s="242" t="s">
        <v>371</v>
      </c>
      <c r="L30" s="242" t="s">
        <v>371</v>
      </c>
      <c r="M30" s="242" t="s">
        <v>374</v>
      </c>
      <c r="N30" s="242" t="s">
        <v>372</v>
      </c>
      <c r="O30" s="242" t="s">
        <v>373</v>
      </c>
      <c r="P30" s="242" t="s">
        <v>371</v>
      </c>
      <c r="Q30" s="242" t="s">
        <v>371</v>
      </c>
      <c r="R30" s="242" t="s">
        <v>371</v>
      </c>
      <c r="S30" s="242" t="s">
        <v>371</v>
      </c>
      <c r="T30" s="242" t="s">
        <v>371</v>
      </c>
      <c r="U30" s="242" t="s">
        <v>372</v>
      </c>
      <c r="V30" s="242" t="s">
        <v>374</v>
      </c>
      <c r="W30" s="242" t="s">
        <v>374</v>
      </c>
      <c r="X30" s="242" t="s">
        <v>371</v>
      </c>
      <c r="Y30" s="242" t="s">
        <v>371</v>
      </c>
      <c r="Z30" s="242" t="s">
        <v>372</v>
      </c>
      <c r="AA30" s="242" t="s">
        <v>374</v>
      </c>
      <c r="AB30" s="242" t="s">
        <v>373</v>
      </c>
      <c r="AC30" s="242" t="s">
        <v>371</v>
      </c>
      <c r="AD30" s="242" t="s">
        <v>371</v>
      </c>
      <c r="AE30" s="242" t="s">
        <v>371</v>
      </c>
      <c r="AF30" s="242" t="s">
        <v>371</v>
      </c>
      <c r="AG30" s="242" t="s">
        <v>375</v>
      </c>
      <c r="AH30" s="242" t="s">
        <v>371</v>
      </c>
      <c r="AI30" s="242" t="s">
        <v>371</v>
      </c>
    </row>
    <row r="31" spans="1:35" x14ac:dyDescent="0.2">
      <c r="A31" s="236">
        <f t="shared" si="7"/>
        <v>0</v>
      </c>
      <c r="B31" s="234" t="s">
        <v>78</v>
      </c>
      <c r="C31" s="241" t="s">
        <v>377</v>
      </c>
      <c r="D31" s="241" t="s">
        <v>370</v>
      </c>
      <c r="E31" s="241" t="s">
        <v>371</v>
      </c>
      <c r="F31" s="241" t="s">
        <v>370</v>
      </c>
      <c r="G31" s="241" t="s">
        <v>371</v>
      </c>
      <c r="H31" s="241" t="s">
        <v>372</v>
      </c>
      <c r="I31" s="241" t="s">
        <v>372</v>
      </c>
      <c r="J31" s="241" t="s">
        <v>373</v>
      </c>
      <c r="K31" s="241" t="s">
        <v>371</v>
      </c>
      <c r="L31" s="241" t="s">
        <v>371</v>
      </c>
      <c r="M31" s="241" t="s">
        <v>374</v>
      </c>
      <c r="N31" s="241" t="s">
        <v>372</v>
      </c>
      <c r="O31" s="241" t="s">
        <v>373</v>
      </c>
      <c r="P31" s="241" t="s">
        <v>371</v>
      </c>
      <c r="Q31" s="241" t="s">
        <v>371</v>
      </c>
      <c r="R31" s="241" t="s">
        <v>371</v>
      </c>
      <c r="S31" s="241" t="s">
        <v>371</v>
      </c>
      <c r="T31" s="241" t="s">
        <v>371</v>
      </c>
      <c r="U31" s="241" t="s">
        <v>372</v>
      </c>
      <c r="V31" s="241" t="s">
        <v>374</v>
      </c>
      <c r="W31" s="241" t="s">
        <v>374</v>
      </c>
      <c r="X31" s="241" t="s">
        <v>371</v>
      </c>
      <c r="Y31" s="241" t="s">
        <v>371</v>
      </c>
      <c r="Z31" s="241" t="s">
        <v>372</v>
      </c>
      <c r="AA31" s="241" t="s">
        <v>374</v>
      </c>
      <c r="AB31" s="241" t="s">
        <v>373</v>
      </c>
      <c r="AC31" s="241" t="s">
        <v>371</v>
      </c>
      <c r="AD31" s="241" t="s">
        <v>371</v>
      </c>
      <c r="AE31" s="241" t="s">
        <v>371</v>
      </c>
      <c r="AF31" s="241" t="s">
        <v>371</v>
      </c>
      <c r="AG31" s="241" t="s">
        <v>375</v>
      </c>
      <c r="AH31" s="241" t="s">
        <v>371</v>
      </c>
      <c r="AI31" s="241" t="s">
        <v>371</v>
      </c>
    </row>
    <row r="32" spans="1:35" x14ac:dyDescent="0.2">
      <c r="A32" s="236">
        <f t="shared" si="7"/>
        <v>0</v>
      </c>
      <c r="B32" s="234" t="s">
        <v>382</v>
      </c>
      <c r="C32" s="242" t="s">
        <v>377</v>
      </c>
      <c r="D32" s="242" t="s">
        <v>370</v>
      </c>
      <c r="E32" s="242" t="s">
        <v>371</v>
      </c>
      <c r="F32" s="242" t="s">
        <v>370</v>
      </c>
      <c r="G32" s="242" t="s">
        <v>371</v>
      </c>
      <c r="H32" s="242" t="s">
        <v>372</v>
      </c>
      <c r="I32" s="242" t="s">
        <v>372</v>
      </c>
      <c r="J32" s="242" t="s">
        <v>373</v>
      </c>
      <c r="K32" s="242" t="s">
        <v>371</v>
      </c>
      <c r="L32" s="242" t="s">
        <v>371</v>
      </c>
      <c r="M32" s="242" t="s">
        <v>374</v>
      </c>
      <c r="N32" s="242" t="s">
        <v>372</v>
      </c>
      <c r="O32" s="242" t="s">
        <v>373</v>
      </c>
      <c r="P32" s="242" t="s">
        <v>371</v>
      </c>
      <c r="Q32" s="242" t="s">
        <v>371</v>
      </c>
      <c r="R32" s="242" t="s">
        <v>371</v>
      </c>
      <c r="S32" s="242" t="s">
        <v>371</v>
      </c>
      <c r="T32" s="242" t="s">
        <v>371</v>
      </c>
      <c r="U32" s="242" t="s">
        <v>372</v>
      </c>
      <c r="V32" s="242" t="s">
        <v>374</v>
      </c>
      <c r="W32" s="242" t="s">
        <v>374</v>
      </c>
      <c r="X32" s="242" t="s">
        <v>371</v>
      </c>
      <c r="Y32" s="242" t="s">
        <v>371</v>
      </c>
      <c r="Z32" s="242" t="s">
        <v>372</v>
      </c>
      <c r="AA32" s="242" t="s">
        <v>374</v>
      </c>
      <c r="AB32" s="242" t="s">
        <v>373</v>
      </c>
      <c r="AC32" s="242" t="s">
        <v>371</v>
      </c>
      <c r="AD32" s="242" t="s">
        <v>371</v>
      </c>
      <c r="AE32" s="242" t="s">
        <v>371</v>
      </c>
      <c r="AF32" s="242" t="s">
        <v>371</v>
      </c>
      <c r="AG32" s="242" t="s">
        <v>375</v>
      </c>
      <c r="AH32" s="242" t="s">
        <v>371</v>
      </c>
      <c r="AI32" s="242" t="s">
        <v>371</v>
      </c>
    </row>
    <row r="33" spans="1:36" x14ac:dyDescent="0.2">
      <c r="A33" s="236">
        <f t="shared" si="7"/>
        <v>0</v>
      </c>
      <c r="B33" s="234" t="s">
        <v>383</v>
      </c>
      <c r="C33" s="241" t="s">
        <v>377</v>
      </c>
      <c r="D33" s="241"/>
      <c r="E33" s="241" t="s">
        <v>371</v>
      </c>
      <c r="F33" s="241" t="s">
        <v>370</v>
      </c>
      <c r="G33" s="241" t="s">
        <v>371</v>
      </c>
      <c r="H33" s="241"/>
      <c r="I33" s="241" t="s">
        <v>372</v>
      </c>
      <c r="J33" s="241" t="s">
        <v>373</v>
      </c>
      <c r="K33" s="241" t="s">
        <v>371</v>
      </c>
      <c r="L33" s="241" t="s">
        <v>371</v>
      </c>
      <c r="M33" s="241" t="s">
        <v>374</v>
      </c>
      <c r="N33" s="241" t="s">
        <v>372</v>
      </c>
      <c r="O33" s="241" t="s">
        <v>373</v>
      </c>
      <c r="P33" s="241" t="s">
        <v>371</v>
      </c>
      <c r="Q33" s="241" t="s">
        <v>371</v>
      </c>
      <c r="R33" s="241" t="s">
        <v>371</v>
      </c>
      <c r="S33" s="241" t="s">
        <v>371</v>
      </c>
      <c r="T33" s="241" t="s">
        <v>371</v>
      </c>
      <c r="U33" s="241" t="s">
        <v>372</v>
      </c>
      <c r="V33" s="241" t="s">
        <v>374</v>
      </c>
      <c r="W33" s="241" t="s">
        <v>374</v>
      </c>
      <c r="X33" s="241" t="s">
        <v>371</v>
      </c>
      <c r="Y33" s="241" t="s">
        <v>371</v>
      </c>
      <c r="Z33" s="241" t="s">
        <v>372</v>
      </c>
      <c r="AA33" s="241" t="s">
        <v>374</v>
      </c>
      <c r="AB33" s="241" t="s">
        <v>373</v>
      </c>
      <c r="AC33" s="241" t="s">
        <v>371</v>
      </c>
      <c r="AD33" s="241" t="s">
        <v>371</v>
      </c>
      <c r="AE33" s="241" t="s">
        <v>371</v>
      </c>
      <c r="AF33" s="241" t="s">
        <v>371</v>
      </c>
      <c r="AG33" s="241" t="s">
        <v>375</v>
      </c>
      <c r="AH33" s="241" t="s">
        <v>371</v>
      </c>
      <c r="AI33" s="241" t="s">
        <v>371</v>
      </c>
    </row>
    <row r="34" spans="1:36" x14ac:dyDescent="0.2">
      <c r="A34" s="236">
        <f t="shared" si="7"/>
        <v>63750</v>
      </c>
      <c r="B34" s="234" t="s">
        <v>384</v>
      </c>
      <c r="C34" s="242" t="s">
        <v>377</v>
      </c>
      <c r="D34" s="242" t="s">
        <v>370</v>
      </c>
      <c r="E34" s="242" t="s">
        <v>371</v>
      </c>
      <c r="F34" s="242" t="s">
        <v>370</v>
      </c>
      <c r="G34" s="242" t="s">
        <v>371</v>
      </c>
      <c r="H34" s="242"/>
      <c r="I34" s="242"/>
      <c r="J34" s="325">
        <f>50000+13750</f>
        <v>63750</v>
      </c>
      <c r="K34" s="242" t="s">
        <v>371</v>
      </c>
      <c r="L34" s="242" t="s">
        <v>371</v>
      </c>
      <c r="M34" s="242" t="s">
        <v>374</v>
      </c>
      <c r="N34" s="242" t="s">
        <v>372</v>
      </c>
      <c r="O34" s="242" t="s">
        <v>373</v>
      </c>
      <c r="P34" s="242" t="s">
        <v>371</v>
      </c>
      <c r="Q34" s="242" t="s">
        <v>371</v>
      </c>
      <c r="R34" s="242" t="s">
        <v>371</v>
      </c>
      <c r="S34" s="242" t="s">
        <v>371</v>
      </c>
      <c r="T34" s="242" t="s">
        <v>371</v>
      </c>
      <c r="U34" s="242" t="s">
        <v>372</v>
      </c>
      <c r="V34" s="242" t="s">
        <v>374</v>
      </c>
      <c r="W34" s="242" t="s">
        <v>374</v>
      </c>
      <c r="X34" s="242" t="s">
        <v>371</v>
      </c>
      <c r="Y34" s="242" t="s">
        <v>371</v>
      </c>
      <c r="Z34" s="242" t="s">
        <v>372</v>
      </c>
      <c r="AA34" s="242" t="s">
        <v>374</v>
      </c>
      <c r="AB34" s="242" t="s">
        <v>373</v>
      </c>
      <c r="AC34" s="242" t="s">
        <v>371</v>
      </c>
      <c r="AD34" s="242" t="s">
        <v>371</v>
      </c>
      <c r="AE34" s="242" t="s">
        <v>371</v>
      </c>
      <c r="AF34" s="242" t="s">
        <v>371</v>
      </c>
      <c r="AG34" s="242" t="s">
        <v>375</v>
      </c>
      <c r="AH34" s="242" t="s">
        <v>371</v>
      </c>
      <c r="AI34" s="242" t="s">
        <v>371</v>
      </c>
    </row>
    <row r="36" spans="1:36" x14ac:dyDescent="0.2">
      <c r="D36" s="236">
        <f t="shared" ref="D36:AI36" si="8">10%*D37</f>
        <v>18995</v>
      </c>
      <c r="E36" s="236">
        <f t="shared" si="8"/>
        <v>5000</v>
      </c>
      <c r="F36" s="236">
        <f t="shared" si="8"/>
        <v>29452.5</v>
      </c>
      <c r="G36" s="236">
        <f t="shared" si="8"/>
        <v>10470</v>
      </c>
      <c r="H36" s="236">
        <f t="shared" si="8"/>
        <v>0</v>
      </c>
      <c r="I36" s="236">
        <f t="shared" si="8"/>
        <v>0</v>
      </c>
      <c r="J36" s="236">
        <f t="shared" si="8"/>
        <v>0</v>
      </c>
      <c r="K36" s="236">
        <f t="shared" si="8"/>
        <v>0</v>
      </c>
      <c r="L36" s="236">
        <f t="shared" si="8"/>
        <v>0</v>
      </c>
      <c r="M36" s="236">
        <f t="shared" si="8"/>
        <v>0</v>
      </c>
      <c r="N36" s="236">
        <f t="shared" si="8"/>
        <v>0</v>
      </c>
      <c r="O36" s="236">
        <f t="shared" si="8"/>
        <v>61480</v>
      </c>
      <c r="P36" s="236">
        <f t="shared" si="8"/>
        <v>0</v>
      </c>
      <c r="Q36" s="236">
        <f t="shared" si="8"/>
        <v>56985</v>
      </c>
      <c r="R36" s="236">
        <f t="shared" si="8"/>
        <v>0</v>
      </c>
      <c r="S36" s="236">
        <f t="shared" si="8"/>
        <v>0</v>
      </c>
      <c r="T36" s="236">
        <f t="shared" si="8"/>
        <v>15597</v>
      </c>
      <c r="U36" s="236">
        <f t="shared" si="8"/>
        <v>7200</v>
      </c>
      <c r="V36" s="236">
        <f t="shared" si="8"/>
        <v>0</v>
      </c>
      <c r="W36" s="236">
        <f t="shared" si="8"/>
        <v>0</v>
      </c>
      <c r="X36" s="236">
        <f t="shared" si="8"/>
        <v>0</v>
      </c>
      <c r="Y36" s="236">
        <f t="shared" si="8"/>
        <v>0</v>
      </c>
      <c r="Z36" s="236">
        <f t="shared" si="8"/>
        <v>0</v>
      </c>
      <c r="AA36" s="236">
        <f t="shared" si="8"/>
        <v>0</v>
      </c>
      <c r="AB36" s="236">
        <f t="shared" si="8"/>
        <v>30100</v>
      </c>
      <c r="AC36" s="236">
        <f t="shared" si="8"/>
        <v>0</v>
      </c>
      <c r="AD36" s="236">
        <f t="shared" si="8"/>
        <v>0</v>
      </c>
      <c r="AE36" s="236">
        <f t="shared" si="8"/>
        <v>16800</v>
      </c>
      <c r="AF36" s="236">
        <f t="shared" si="8"/>
        <v>36393</v>
      </c>
      <c r="AG36" s="236">
        <f t="shared" si="8"/>
        <v>0</v>
      </c>
      <c r="AH36" s="236">
        <f t="shared" si="8"/>
        <v>0</v>
      </c>
      <c r="AI36" s="236">
        <f t="shared" si="8"/>
        <v>0</v>
      </c>
    </row>
    <row r="37" spans="1:36" x14ac:dyDescent="0.2">
      <c r="A37" s="229" t="s">
        <v>385</v>
      </c>
      <c r="B37" s="229" t="s">
        <v>369</v>
      </c>
      <c r="C37" s="236">
        <f t="shared" ref="C37:AI37" si="9">SUM(C38:C47)</f>
        <v>96000</v>
      </c>
      <c r="D37" s="236">
        <f t="shared" si="9"/>
        <v>189950</v>
      </c>
      <c r="E37" s="236">
        <f t="shared" si="9"/>
        <v>50000</v>
      </c>
      <c r="F37" s="310">
        <f t="shared" si="9"/>
        <v>294525</v>
      </c>
      <c r="G37" s="236">
        <f t="shared" si="9"/>
        <v>104700</v>
      </c>
      <c r="H37" s="236">
        <f t="shared" si="9"/>
        <v>0</v>
      </c>
      <c r="I37" s="236">
        <f t="shared" si="9"/>
        <v>0</v>
      </c>
      <c r="J37" s="236">
        <f t="shared" si="9"/>
        <v>0</v>
      </c>
      <c r="K37" s="236">
        <f t="shared" si="9"/>
        <v>0</v>
      </c>
      <c r="L37" s="236">
        <f t="shared" si="9"/>
        <v>0</v>
      </c>
      <c r="M37" s="236">
        <f t="shared" si="9"/>
        <v>0</v>
      </c>
      <c r="N37" s="236">
        <f t="shared" si="9"/>
        <v>0</v>
      </c>
      <c r="O37" s="236">
        <f t="shared" si="9"/>
        <v>614800</v>
      </c>
      <c r="P37" s="236">
        <f t="shared" si="9"/>
        <v>0</v>
      </c>
      <c r="Q37" s="236">
        <f t="shared" si="9"/>
        <v>569850</v>
      </c>
      <c r="R37" s="236">
        <f t="shared" si="9"/>
        <v>0</v>
      </c>
      <c r="S37" s="236">
        <f t="shared" si="9"/>
        <v>0</v>
      </c>
      <c r="T37" s="236">
        <f t="shared" si="9"/>
        <v>155970</v>
      </c>
      <c r="U37" s="236">
        <f t="shared" si="9"/>
        <v>72000</v>
      </c>
      <c r="V37" s="236">
        <f t="shared" si="9"/>
        <v>0</v>
      </c>
      <c r="W37" s="236">
        <f t="shared" si="9"/>
        <v>0</v>
      </c>
      <c r="X37" s="236">
        <f t="shared" si="9"/>
        <v>0</v>
      </c>
      <c r="Y37" s="236">
        <f t="shared" si="9"/>
        <v>0</v>
      </c>
      <c r="Z37" s="236">
        <f t="shared" si="9"/>
        <v>0</v>
      </c>
      <c r="AA37" s="236">
        <f t="shared" si="9"/>
        <v>0</v>
      </c>
      <c r="AB37" s="236">
        <f t="shared" si="9"/>
        <v>301000</v>
      </c>
      <c r="AC37" s="236">
        <f t="shared" si="9"/>
        <v>0</v>
      </c>
      <c r="AD37" s="236">
        <f t="shared" si="9"/>
        <v>0</v>
      </c>
      <c r="AE37" s="236">
        <f t="shared" si="9"/>
        <v>168000</v>
      </c>
      <c r="AF37" s="236">
        <f t="shared" si="9"/>
        <v>363930</v>
      </c>
      <c r="AG37" s="236">
        <f t="shared" si="9"/>
        <v>0</v>
      </c>
      <c r="AH37" s="236">
        <f t="shared" si="9"/>
        <v>0</v>
      </c>
      <c r="AI37" s="236">
        <f t="shared" si="9"/>
        <v>0</v>
      </c>
      <c r="AJ37" s="236">
        <f>SUM(C37:AI37)</f>
        <v>2980725</v>
      </c>
    </row>
    <row r="38" spans="1:36" x14ac:dyDescent="0.2">
      <c r="A38" s="236">
        <f t="shared" ref="A38:A47" si="10">SUM(C38:AI38)</f>
        <v>387500</v>
      </c>
      <c r="B38" s="234" t="s">
        <v>99</v>
      </c>
      <c r="C38" s="308">
        <v>96000</v>
      </c>
      <c r="D38" s="241" t="s">
        <v>370</v>
      </c>
      <c r="E38" s="308">
        <v>50000</v>
      </c>
      <c r="F38" s="241" t="s">
        <v>370</v>
      </c>
      <c r="G38" s="241" t="s">
        <v>371</v>
      </c>
      <c r="H38" s="241" t="s">
        <v>372</v>
      </c>
      <c r="I38" s="241" t="s">
        <v>372</v>
      </c>
      <c r="J38" s="241" t="s">
        <v>373</v>
      </c>
      <c r="K38" s="241" t="s">
        <v>371</v>
      </c>
      <c r="L38" s="241" t="s">
        <v>371</v>
      </c>
      <c r="M38" s="241" t="s">
        <v>374</v>
      </c>
      <c r="N38" s="241" t="s">
        <v>372</v>
      </c>
      <c r="O38" s="241">
        <v>241500</v>
      </c>
      <c r="P38" s="241" t="s">
        <v>371</v>
      </c>
      <c r="Q38" s="241" t="s">
        <v>371</v>
      </c>
      <c r="R38" s="241" t="s">
        <v>371</v>
      </c>
      <c r="S38" s="241" t="s">
        <v>371</v>
      </c>
      <c r="T38" s="241" t="s">
        <v>371</v>
      </c>
      <c r="U38" s="241" t="s">
        <v>372</v>
      </c>
      <c r="V38" s="241" t="s">
        <v>374</v>
      </c>
      <c r="W38" s="241" t="s">
        <v>374</v>
      </c>
      <c r="X38" s="241" t="s">
        <v>371</v>
      </c>
      <c r="Y38" s="241" t="s">
        <v>371</v>
      </c>
      <c r="Z38" s="241" t="s">
        <v>372</v>
      </c>
      <c r="AA38" s="241" t="s">
        <v>374</v>
      </c>
      <c r="AB38" s="241" t="s">
        <v>373</v>
      </c>
      <c r="AC38" s="241" t="s">
        <v>371</v>
      </c>
      <c r="AD38" s="241" t="s">
        <v>371</v>
      </c>
      <c r="AE38" s="241" t="s">
        <v>371</v>
      </c>
      <c r="AF38" s="241" t="s">
        <v>371</v>
      </c>
      <c r="AG38" s="241" t="s">
        <v>375</v>
      </c>
      <c r="AH38" s="241" t="s">
        <v>371</v>
      </c>
      <c r="AI38" s="241" t="s">
        <v>371</v>
      </c>
    </row>
    <row r="39" spans="1:36" x14ac:dyDescent="0.2">
      <c r="A39" s="236">
        <f t="shared" si="10"/>
        <v>349000</v>
      </c>
      <c r="B39" s="234" t="s">
        <v>376</v>
      </c>
      <c r="C39" s="242" t="s">
        <v>377</v>
      </c>
      <c r="D39" s="243" t="s">
        <v>370</v>
      </c>
      <c r="E39" s="243"/>
      <c r="F39" s="243"/>
      <c r="G39" s="309">
        <v>104700</v>
      </c>
      <c r="H39" s="243" t="s">
        <v>372</v>
      </c>
      <c r="I39" s="243" t="s">
        <v>372</v>
      </c>
      <c r="J39" s="243"/>
      <c r="K39" s="243" t="s">
        <v>371</v>
      </c>
      <c r="L39" s="243" t="s">
        <v>371</v>
      </c>
      <c r="M39" s="243" t="s">
        <v>374</v>
      </c>
      <c r="N39" s="243" t="s">
        <v>372</v>
      </c>
      <c r="O39" s="241">
        <v>244300</v>
      </c>
      <c r="P39" s="243" t="s">
        <v>371</v>
      </c>
      <c r="Q39" s="243" t="s">
        <v>371</v>
      </c>
      <c r="R39" s="243" t="s">
        <v>371</v>
      </c>
      <c r="S39" s="243" t="s">
        <v>371</v>
      </c>
      <c r="T39" s="243" t="s">
        <v>371</v>
      </c>
      <c r="U39" s="243" t="s">
        <v>372</v>
      </c>
      <c r="V39" s="243" t="s">
        <v>374</v>
      </c>
      <c r="W39" s="243" t="s">
        <v>374</v>
      </c>
      <c r="X39" s="243" t="s">
        <v>371</v>
      </c>
      <c r="Y39" s="243" t="s">
        <v>371</v>
      </c>
      <c r="Z39" s="243" t="s">
        <v>372</v>
      </c>
      <c r="AA39" s="243" t="s">
        <v>374</v>
      </c>
      <c r="AB39" s="243" t="s">
        <v>373</v>
      </c>
      <c r="AC39" s="243" t="s">
        <v>371</v>
      </c>
      <c r="AD39" s="243" t="s">
        <v>371</v>
      </c>
      <c r="AE39" s="243" t="s">
        <v>371</v>
      </c>
      <c r="AF39" s="243" t="s">
        <v>371</v>
      </c>
      <c r="AG39" s="243" t="s">
        <v>375</v>
      </c>
      <c r="AH39" s="243" t="s">
        <v>371</v>
      </c>
      <c r="AI39" s="243" t="s">
        <v>371</v>
      </c>
    </row>
    <row r="40" spans="1:36" x14ac:dyDescent="0.2">
      <c r="A40" s="236">
        <f t="shared" si="10"/>
        <v>759800</v>
      </c>
      <c r="B40" s="234" t="s">
        <v>118</v>
      </c>
      <c r="C40" s="241" t="s">
        <v>377</v>
      </c>
      <c r="D40" s="309">
        <v>189950</v>
      </c>
      <c r="E40" s="241" t="s">
        <v>371</v>
      </c>
      <c r="F40" s="241" t="s">
        <v>370</v>
      </c>
      <c r="G40" s="241" t="s">
        <v>371</v>
      </c>
      <c r="H40" s="241" t="s">
        <v>372</v>
      </c>
      <c r="I40" s="241" t="s">
        <v>372</v>
      </c>
      <c r="J40" s="241" t="s">
        <v>373</v>
      </c>
      <c r="K40" s="241" t="s">
        <v>371</v>
      </c>
      <c r="L40" s="241" t="s">
        <v>371</v>
      </c>
      <c r="M40" s="241" t="s">
        <v>374</v>
      </c>
      <c r="N40" s="241" t="s">
        <v>372</v>
      </c>
      <c r="O40" s="241" t="s">
        <v>373</v>
      </c>
      <c r="P40" s="241" t="s">
        <v>371</v>
      </c>
      <c r="Q40" s="241">
        <v>569850</v>
      </c>
      <c r="R40" s="241" t="s">
        <v>371</v>
      </c>
      <c r="S40" s="241" t="s">
        <v>371</v>
      </c>
      <c r="T40" s="241" t="s">
        <v>371</v>
      </c>
      <c r="U40" s="241" t="s">
        <v>372</v>
      </c>
      <c r="V40" s="241" t="s">
        <v>374</v>
      </c>
      <c r="W40" s="241" t="s">
        <v>374</v>
      </c>
      <c r="X40" s="241" t="s">
        <v>371</v>
      </c>
      <c r="Y40" s="241" t="s">
        <v>371</v>
      </c>
      <c r="Z40" s="241" t="s">
        <v>372</v>
      </c>
      <c r="AA40" s="241" t="s">
        <v>374</v>
      </c>
      <c r="AB40" s="241" t="s">
        <v>373</v>
      </c>
      <c r="AC40" s="241" t="s">
        <v>371</v>
      </c>
      <c r="AD40" s="241" t="s">
        <v>371</v>
      </c>
      <c r="AE40" s="241" t="s">
        <v>371</v>
      </c>
      <c r="AF40" s="241" t="s">
        <v>371</v>
      </c>
      <c r="AG40" s="241" t="s">
        <v>375</v>
      </c>
      <c r="AH40" s="241" t="s">
        <v>371</v>
      </c>
      <c r="AI40" s="241" t="s">
        <v>371</v>
      </c>
    </row>
    <row r="41" spans="1:36" x14ac:dyDescent="0.2">
      <c r="A41" s="236">
        <f t="shared" si="10"/>
        <v>0</v>
      </c>
      <c r="B41" s="234" t="s">
        <v>378</v>
      </c>
      <c r="C41" s="242" t="s">
        <v>377</v>
      </c>
      <c r="D41" s="242" t="s">
        <v>370</v>
      </c>
      <c r="E41" s="242" t="s">
        <v>371</v>
      </c>
      <c r="F41" s="242" t="s">
        <v>370</v>
      </c>
      <c r="G41" s="242" t="s">
        <v>371</v>
      </c>
      <c r="H41" s="242" t="s">
        <v>372</v>
      </c>
      <c r="I41" s="242" t="s">
        <v>372</v>
      </c>
      <c r="J41" s="242" t="s">
        <v>373</v>
      </c>
      <c r="K41" s="242" t="s">
        <v>371</v>
      </c>
      <c r="L41" s="242" t="s">
        <v>371</v>
      </c>
      <c r="M41" s="242" t="s">
        <v>374</v>
      </c>
      <c r="N41" s="242" t="s">
        <v>372</v>
      </c>
      <c r="O41" s="242" t="s">
        <v>373</v>
      </c>
      <c r="P41" s="242" t="s">
        <v>371</v>
      </c>
      <c r="Q41" s="242" t="s">
        <v>371</v>
      </c>
      <c r="R41" s="242" t="s">
        <v>371</v>
      </c>
      <c r="S41" s="242" t="s">
        <v>371</v>
      </c>
      <c r="T41" s="242" t="s">
        <v>371</v>
      </c>
      <c r="U41" s="242" t="s">
        <v>372</v>
      </c>
      <c r="V41" s="242" t="s">
        <v>374</v>
      </c>
      <c r="W41" s="242" t="s">
        <v>374</v>
      </c>
      <c r="X41" s="242" t="s">
        <v>371</v>
      </c>
      <c r="Y41" s="242" t="s">
        <v>371</v>
      </c>
      <c r="Z41" s="242" t="s">
        <v>372</v>
      </c>
      <c r="AA41" s="242" t="s">
        <v>374</v>
      </c>
      <c r="AB41" s="242" t="s">
        <v>373</v>
      </c>
      <c r="AC41" s="242" t="s">
        <v>371</v>
      </c>
      <c r="AD41" s="242" t="s">
        <v>371</v>
      </c>
      <c r="AE41" s="242" t="s">
        <v>371</v>
      </c>
      <c r="AF41" s="242" t="s">
        <v>371</v>
      </c>
      <c r="AG41" s="242" t="s">
        <v>375</v>
      </c>
      <c r="AH41" s="242" t="s">
        <v>371</v>
      </c>
      <c r="AI41" s="242" t="s">
        <v>371</v>
      </c>
    </row>
    <row r="42" spans="1:36" x14ac:dyDescent="0.2">
      <c r="A42" s="236">
        <f t="shared" si="10"/>
        <v>430000</v>
      </c>
      <c r="B42" s="234" t="s">
        <v>379</v>
      </c>
      <c r="C42" s="241" t="s">
        <v>377</v>
      </c>
      <c r="D42" s="241" t="s">
        <v>370</v>
      </c>
      <c r="E42" s="241" t="s">
        <v>371</v>
      </c>
      <c r="F42" s="241" t="s">
        <v>370</v>
      </c>
      <c r="G42" s="241" t="s">
        <v>371</v>
      </c>
      <c r="H42" s="241" t="s">
        <v>372</v>
      </c>
      <c r="I42" s="241" t="s">
        <v>372</v>
      </c>
      <c r="J42" s="241" t="s">
        <v>373</v>
      </c>
      <c r="K42" s="241" t="s">
        <v>371</v>
      </c>
      <c r="L42" s="241" t="s">
        <v>371</v>
      </c>
      <c r="M42" s="241" t="s">
        <v>374</v>
      </c>
      <c r="N42" s="241" t="s">
        <v>372</v>
      </c>
      <c r="O42" s="241">
        <v>129000</v>
      </c>
      <c r="P42" s="241" t="s">
        <v>371</v>
      </c>
      <c r="Q42" s="241" t="s">
        <v>371</v>
      </c>
      <c r="R42" s="241" t="s">
        <v>371</v>
      </c>
      <c r="S42" s="241" t="s">
        <v>371</v>
      </c>
      <c r="T42" s="241" t="s">
        <v>371</v>
      </c>
      <c r="U42" s="241" t="s">
        <v>372</v>
      </c>
      <c r="V42" s="241" t="s">
        <v>374</v>
      </c>
      <c r="W42" s="241" t="s">
        <v>374</v>
      </c>
      <c r="X42" s="241" t="s">
        <v>371</v>
      </c>
      <c r="Y42" s="241" t="s">
        <v>371</v>
      </c>
      <c r="Z42" s="241" t="s">
        <v>372</v>
      </c>
      <c r="AA42" s="241" t="s">
        <v>374</v>
      </c>
      <c r="AB42" s="241">
        <v>301000</v>
      </c>
      <c r="AC42" s="241" t="s">
        <v>371</v>
      </c>
      <c r="AD42" s="241" t="s">
        <v>371</v>
      </c>
      <c r="AE42" s="241" t="s">
        <v>371</v>
      </c>
      <c r="AF42" s="241" t="s">
        <v>371</v>
      </c>
      <c r="AG42" s="241" t="s">
        <v>375</v>
      </c>
      <c r="AH42" s="241" t="s">
        <v>371</v>
      </c>
      <c r="AI42" s="241" t="s">
        <v>371</v>
      </c>
    </row>
    <row r="43" spans="1:36" x14ac:dyDescent="0.2">
      <c r="A43" s="236">
        <f t="shared" si="10"/>
        <v>519900</v>
      </c>
      <c r="B43" s="234" t="s">
        <v>380</v>
      </c>
      <c r="C43" s="242" t="s">
        <v>377</v>
      </c>
      <c r="D43" s="242" t="s">
        <v>370</v>
      </c>
      <c r="E43" s="242" t="s">
        <v>371</v>
      </c>
      <c r="F43" s="242" t="s">
        <v>370</v>
      </c>
      <c r="G43" s="242"/>
      <c r="H43" s="242" t="s">
        <v>372</v>
      </c>
      <c r="I43" s="242" t="s">
        <v>372</v>
      </c>
      <c r="J43" s="242" t="s">
        <v>373</v>
      </c>
      <c r="K43" s="242" t="s">
        <v>371</v>
      </c>
      <c r="L43" s="242" t="s">
        <v>371</v>
      </c>
      <c r="M43" s="242" t="s">
        <v>374</v>
      </c>
      <c r="N43" s="242" t="s">
        <v>372</v>
      </c>
      <c r="O43" s="242" t="s">
        <v>373</v>
      </c>
      <c r="P43" s="242" t="s">
        <v>371</v>
      </c>
      <c r="Q43" s="242" t="s">
        <v>371</v>
      </c>
      <c r="R43" s="242" t="s">
        <v>371</v>
      </c>
      <c r="S43" s="242" t="s">
        <v>371</v>
      </c>
      <c r="T43" s="242">
        <v>155970</v>
      </c>
      <c r="U43" s="242" t="s">
        <v>372</v>
      </c>
      <c r="V43" s="242" t="s">
        <v>374</v>
      </c>
      <c r="W43" s="242" t="s">
        <v>374</v>
      </c>
      <c r="X43" s="242" t="s">
        <v>371</v>
      </c>
      <c r="Y43" s="242" t="s">
        <v>371</v>
      </c>
      <c r="Z43" s="242" t="s">
        <v>372</v>
      </c>
      <c r="AA43" s="242" t="s">
        <v>374</v>
      </c>
      <c r="AB43" s="242" t="s">
        <v>373</v>
      </c>
      <c r="AC43" s="242" t="s">
        <v>371</v>
      </c>
      <c r="AD43" s="242" t="s">
        <v>371</v>
      </c>
      <c r="AE43" s="242" t="s">
        <v>371</v>
      </c>
      <c r="AF43" s="242">
        <v>363930</v>
      </c>
      <c r="AG43" s="242" t="s">
        <v>375</v>
      </c>
      <c r="AH43" s="242" t="s">
        <v>371</v>
      </c>
      <c r="AI43" s="242" t="s">
        <v>371</v>
      </c>
    </row>
    <row r="44" spans="1:36" x14ac:dyDescent="0.2">
      <c r="A44" s="236">
        <f t="shared" si="10"/>
        <v>240000</v>
      </c>
      <c r="B44" s="234" t="s">
        <v>88</v>
      </c>
      <c r="C44" s="241" t="s">
        <v>377</v>
      </c>
      <c r="D44" s="241" t="s">
        <v>370</v>
      </c>
      <c r="E44" s="241" t="s">
        <v>371</v>
      </c>
      <c r="F44" s="241" t="s">
        <v>370</v>
      </c>
      <c r="G44" s="241" t="s">
        <v>371</v>
      </c>
      <c r="H44" s="241" t="s">
        <v>372</v>
      </c>
      <c r="I44" s="241" t="s">
        <v>372</v>
      </c>
      <c r="J44" s="241" t="s">
        <v>373</v>
      </c>
      <c r="K44" s="241" t="s">
        <v>371</v>
      </c>
      <c r="L44" s="241" t="s">
        <v>371</v>
      </c>
      <c r="M44" s="241" t="s">
        <v>374</v>
      </c>
      <c r="N44" s="241" t="s">
        <v>372</v>
      </c>
      <c r="O44" s="241" t="s">
        <v>373</v>
      </c>
      <c r="P44" s="241" t="s">
        <v>371</v>
      </c>
      <c r="Q44" s="241" t="s">
        <v>371</v>
      </c>
      <c r="R44" s="241" t="s">
        <v>371</v>
      </c>
      <c r="S44" s="241" t="s">
        <v>371</v>
      </c>
      <c r="T44" s="241" t="s">
        <v>371</v>
      </c>
      <c r="U44" s="241">
        <v>72000</v>
      </c>
      <c r="V44" s="241" t="s">
        <v>374</v>
      </c>
      <c r="W44" s="241" t="s">
        <v>374</v>
      </c>
      <c r="X44" s="241" t="s">
        <v>371</v>
      </c>
      <c r="Y44" s="241" t="s">
        <v>371</v>
      </c>
      <c r="Z44" s="241" t="s">
        <v>372</v>
      </c>
      <c r="AA44" s="241" t="s">
        <v>374</v>
      </c>
      <c r="AB44" s="241" t="s">
        <v>373</v>
      </c>
      <c r="AC44" s="241" t="s">
        <v>371</v>
      </c>
      <c r="AD44" s="241" t="s">
        <v>371</v>
      </c>
      <c r="AE44" s="241">
        <v>168000</v>
      </c>
      <c r="AF44" s="241" t="s">
        <v>371</v>
      </c>
      <c r="AG44" s="241" t="s">
        <v>375</v>
      </c>
      <c r="AH44" s="241" t="s">
        <v>371</v>
      </c>
      <c r="AI44" s="241" t="s">
        <v>371</v>
      </c>
    </row>
    <row r="45" spans="1:36" x14ac:dyDescent="0.2">
      <c r="A45" s="236">
        <f t="shared" si="10"/>
        <v>0</v>
      </c>
      <c r="B45" s="234" t="s">
        <v>381</v>
      </c>
      <c r="C45" s="242" t="s">
        <v>377</v>
      </c>
      <c r="D45" s="242" t="s">
        <v>370</v>
      </c>
      <c r="E45" s="242" t="s">
        <v>371</v>
      </c>
      <c r="F45" s="242" t="s">
        <v>370</v>
      </c>
      <c r="G45" s="242" t="s">
        <v>371</v>
      </c>
      <c r="H45" s="242" t="s">
        <v>372</v>
      </c>
      <c r="I45" s="242" t="s">
        <v>372</v>
      </c>
      <c r="J45" s="242" t="s">
        <v>373</v>
      </c>
      <c r="K45" s="242" t="s">
        <v>371</v>
      </c>
      <c r="L45" s="242" t="s">
        <v>371</v>
      </c>
      <c r="M45" s="242" t="s">
        <v>374</v>
      </c>
      <c r="N45" s="242" t="s">
        <v>372</v>
      </c>
      <c r="O45" s="242" t="s">
        <v>373</v>
      </c>
      <c r="P45" s="242" t="s">
        <v>371</v>
      </c>
      <c r="Q45" s="242" t="s">
        <v>371</v>
      </c>
      <c r="R45" s="242" t="s">
        <v>371</v>
      </c>
      <c r="S45" s="242" t="s">
        <v>371</v>
      </c>
      <c r="T45" s="242" t="s">
        <v>371</v>
      </c>
      <c r="U45" s="242" t="s">
        <v>372</v>
      </c>
      <c r="V45" s="242" t="s">
        <v>374</v>
      </c>
      <c r="W45" s="242" t="s">
        <v>374</v>
      </c>
      <c r="X45" s="242" t="s">
        <v>371</v>
      </c>
      <c r="Y45" s="242" t="s">
        <v>371</v>
      </c>
      <c r="Z45" s="242" t="s">
        <v>372</v>
      </c>
      <c r="AA45" s="242" t="s">
        <v>374</v>
      </c>
      <c r="AB45" s="242" t="s">
        <v>373</v>
      </c>
      <c r="AC45" s="242" t="s">
        <v>371</v>
      </c>
      <c r="AD45" s="242" t="s">
        <v>371</v>
      </c>
      <c r="AE45" s="242" t="s">
        <v>371</v>
      </c>
      <c r="AF45" s="242" t="s">
        <v>371</v>
      </c>
      <c r="AG45" s="242" t="s">
        <v>375</v>
      </c>
      <c r="AH45" s="242" t="s">
        <v>371</v>
      </c>
      <c r="AI45" s="242" t="s">
        <v>371</v>
      </c>
    </row>
    <row r="46" spans="1:36" x14ac:dyDescent="0.2">
      <c r="A46" s="236">
        <f t="shared" si="10"/>
        <v>294525</v>
      </c>
      <c r="B46" s="234" t="s">
        <v>78</v>
      </c>
      <c r="C46" s="241" t="s">
        <v>377</v>
      </c>
      <c r="D46" s="241" t="s">
        <v>370</v>
      </c>
      <c r="E46" s="241" t="s">
        <v>371</v>
      </c>
      <c r="F46" s="308">
        <v>294525</v>
      </c>
      <c r="G46" s="241" t="s">
        <v>371</v>
      </c>
      <c r="H46" s="241" t="s">
        <v>372</v>
      </c>
      <c r="I46" s="241" t="s">
        <v>372</v>
      </c>
      <c r="J46" s="241" t="s">
        <v>373</v>
      </c>
      <c r="K46" s="241" t="s">
        <v>371</v>
      </c>
      <c r="L46" s="241" t="s">
        <v>371</v>
      </c>
      <c r="M46" s="241" t="s">
        <v>374</v>
      </c>
      <c r="N46" s="241" t="s">
        <v>372</v>
      </c>
      <c r="O46" s="241" t="s">
        <v>373</v>
      </c>
      <c r="P46" s="241" t="s">
        <v>371</v>
      </c>
      <c r="Q46" s="241" t="s">
        <v>371</v>
      </c>
      <c r="R46" s="241" t="s">
        <v>371</v>
      </c>
      <c r="S46" s="241" t="s">
        <v>371</v>
      </c>
      <c r="T46" s="241" t="s">
        <v>371</v>
      </c>
      <c r="U46" s="241" t="s">
        <v>372</v>
      </c>
      <c r="V46" s="241" t="s">
        <v>374</v>
      </c>
      <c r="W46" s="241" t="s">
        <v>374</v>
      </c>
      <c r="X46" s="241" t="s">
        <v>371</v>
      </c>
      <c r="Y46" s="241" t="s">
        <v>371</v>
      </c>
      <c r="Z46" s="241" t="s">
        <v>372</v>
      </c>
      <c r="AA46" s="241" t="s">
        <v>374</v>
      </c>
      <c r="AB46" s="241" t="s">
        <v>373</v>
      </c>
      <c r="AC46" s="241" t="s">
        <v>371</v>
      </c>
      <c r="AD46" s="241" t="s">
        <v>371</v>
      </c>
      <c r="AE46" s="241" t="s">
        <v>371</v>
      </c>
      <c r="AF46" s="241" t="s">
        <v>371</v>
      </c>
      <c r="AG46" s="241" t="s">
        <v>375</v>
      </c>
      <c r="AH46" s="241" t="s">
        <v>371</v>
      </c>
      <c r="AI46" s="241" t="s">
        <v>371</v>
      </c>
    </row>
    <row r="47" spans="1:36" x14ac:dyDescent="0.2">
      <c r="A47" s="236">
        <f t="shared" si="10"/>
        <v>0</v>
      </c>
      <c r="B47" s="234" t="s">
        <v>382</v>
      </c>
      <c r="C47" s="242" t="s">
        <v>377</v>
      </c>
      <c r="D47" s="242" t="s">
        <v>370</v>
      </c>
      <c r="E47" s="242" t="s">
        <v>371</v>
      </c>
      <c r="F47" s="242" t="s">
        <v>370</v>
      </c>
      <c r="G47" s="242" t="s">
        <v>371</v>
      </c>
      <c r="H47" s="242" t="s">
        <v>372</v>
      </c>
      <c r="I47" s="242" t="s">
        <v>372</v>
      </c>
      <c r="J47" s="242" t="s">
        <v>373</v>
      </c>
      <c r="K47" s="242" t="s">
        <v>371</v>
      </c>
      <c r="L47" s="242" t="s">
        <v>371</v>
      </c>
      <c r="M47" s="242" t="s">
        <v>374</v>
      </c>
      <c r="N47" s="242" t="s">
        <v>372</v>
      </c>
      <c r="O47" s="242" t="s">
        <v>373</v>
      </c>
      <c r="P47" s="242" t="s">
        <v>371</v>
      </c>
      <c r="Q47" s="242" t="s">
        <v>371</v>
      </c>
      <c r="R47" s="242" t="s">
        <v>371</v>
      </c>
      <c r="S47" s="242" t="s">
        <v>371</v>
      </c>
      <c r="T47" s="242" t="s">
        <v>371</v>
      </c>
      <c r="U47" s="242" t="s">
        <v>372</v>
      </c>
      <c r="V47" s="242" t="s">
        <v>374</v>
      </c>
      <c r="W47" s="242" t="s">
        <v>374</v>
      </c>
      <c r="X47" s="242" t="s">
        <v>371</v>
      </c>
      <c r="Y47" s="242" t="s">
        <v>371</v>
      </c>
      <c r="Z47" s="242" t="s">
        <v>372</v>
      </c>
      <c r="AA47" s="242" t="s">
        <v>374</v>
      </c>
      <c r="AB47" s="242" t="s">
        <v>373</v>
      </c>
      <c r="AC47" s="242" t="s">
        <v>371</v>
      </c>
      <c r="AD47" s="242" t="s">
        <v>371</v>
      </c>
      <c r="AE47" s="242" t="s">
        <v>371</v>
      </c>
      <c r="AF47" s="242" t="s">
        <v>371</v>
      </c>
      <c r="AG47" s="242" t="s">
        <v>375</v>
      </c>
      <c r="AH47" s="242" t="s">
        <v>371</v>
      </c>
      <c r="AI47" s="242" t="s">
        <v>371</v>
      </c>
    </row>
  </sheetData>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32A4A-D1C8-43AA-AF5A-5AE1811FEE55}">
  <dimension ref="B4:H25"/>
  <sheetViews>
    <sheetView topLeftCell="A13" zoomScale="145" zoomScaleNormal="145" workbookViewId="0">
      <selection activeCell="E25" sqref="E25"/>
    </sheetView>
  </sheetViews>
  <sheetFormatPr baseColWidth="10" defaultColWidth="8.83203125" defaultRowHeight="15" x14ac:dyDescent="0.2"/>
  <cols>
    <col min="3" max="3" width="13.5" customWidth="1"/>
    <col min="4" max="4" width="12" bestFit="1" customWidth="1"/>
    <col min="5" max="5" width="11.1640625" bestFit="1" customWidth="1"/>
    <col min="6" max="7" width="11.1640625" customWidth="1"/>
    <col min="8" max="8" width="17.33203125" customWidth="1"/>
  </cols>
  <sheetData>
    <row r="4" spans="2:8" x14ac:dyDescent="0.2">
      <c r="D4" s="149" t="s">
        <v>111</v>
      </c>
      <c r="E4" s="149" t="s">
        <v>79</v>
      </c>
      <c r="F4" s="149"/>
      <c r="G4" s="149"/>
      <c r="H4" s="357" t="s">
        <v>386</v>
      </c>
    </row>
    <row r="5" spans="2:8" s="144" customFormat="1" x14ac:dyDescent="0.2">
      <c r="C5" s="144" t="s">
        <v>99</v>
      </c>
      <c r="D5" s="144">
        <f>+'NRE Inventory'!A23+'NRE Inventory'!A24</f>
        <v>196694</v>
      </c>
      <c r="E5" s="144">
        <f>+'NRE Inventory'!A38+'NRE Inventory'!A39</f>
        <v>736500</v>
      </c>
      <c r="F5" s="302">
        <f>+D5+E5</f>
        <v>933194</v>
      </c>
      <c r="H5" s="144">
        <f>+E5/0.7</f>
        <v>1052142.8571428573</v>
      </c>
    </row>
    <row r="6" spans="2:8" s="144" customFormat="1" x14ac:dyDescent="0.2">
      <c r="C6" s="144" t="s">
        <v>118</v>
      </c>
      <c r="D6" s="144">
        <f>+'NRE Inventory'!A25+'NRE Inventory'!A26</f>
        <v>397323</v>
      </c>
      <c r="E6" s="144">
        <f>+'NRE Inventory'!A40</f>
        <v>759800</v>
      </c>
      <c r="F6" s="302">
        <f t="shared" ref="F6:F9" si="0">+D6+E6</f>
        <v>1157123</v>
      </c>
      <c r="H6" s="144">
        <f t="shared" ref="H6:H9" si="1">+E6/0.7</f>
        <v>1085428.5714285716</v>
      </c>
    </row>
    <row r="7" spans="2:8" s="144" customFormat="1" x14ac:dyDescent="0.2">
      <c r="C7" s="144" t="s">
        <v>379</v>
      </c>
      <c r="D7" s="144">
        <f>+'NRE Inventory'!A27+'NRE Inventory'!A28</f>
        <v>208000</v>
      </c>
      <c r="E7" s="144">
        <f>+'NRE Inventory'!A42+'NRE Inventory'!A43</f>
        <v>949900</v>
      </c>
      <c r="F7" s="302">
        <f t="shared" si="0"/>
        <v>1157900</v>
      </c>
      <c r="H7" s="144">
        <f t="shared" si="1"/>
        <v>1357000</v>
      </c>
    </row>
    <row r="8" spans="2:8" s="144" customFormat="1" x14ac:dyDescent="0.2">
      <c r="C8" s="144" t="s">
        <v>88</v>
      </c>
      <c r="D8" s="144">
        <f>+'NRE Inventory'!A29</f>
        <v>249000</v>
      </c>
      <c r="E8" s="144">
        <f>+'NRE Inventory'!A44</f>
        <v>240000</v>
      </c>
      <c r="F8" s="302">
        <f t="shared" si="0"/>
        <v>489000</v>
      </c>
      <c r="H8" s="144">
        <f t="shared" si="1"/>
        <v>342857.1428571429</v>
      </c>
    </row>
    <row r="9" spans="2:8" s="144" customFormat="1" x14ac:dyDescent="0.2">
      <c r="C9" s="144" t="s">
        <v>78</v>
      </c>
      <c r="E9" s="144">
        <f>+'NRE Inventory'!A46</f>
        <v>294525</v>
      </c>
      <c r="F9" s="302">
        <f t="shared" si="0"/>
        <v>294525</v>
      </c>
      <c r="H9" s="144">
        <f t="shared" si="1"/>
        <v>420750</v>
      </c>
    </row>
    <row r="10" spans="2:8" s="144" customFormat="1" x14ac:dyDescent="0.2"/>
    <row r="12" spans="2:8" x14ac:dyDescent="0.2">
      <c r="B12" s="357" t="s">
        <v>387</v>
      </c>
      <c r="C12">
        <v>409600</v>
      </c>
      <c r="D12">
        <f>C12/35000</f>
        <v>11.702857142857143</v>
      </c>
      <c r="E12" s="357"/>
    </row>
    <row r="15" spans="2:8" x14ac:dyDescent="0.2">
      <c r="C15" t="s">
        <v>388</v>
      </c>
      <c r="D15" t="s">
        <v>389</v>
      </c>
      <c r="E15">
        <v>194</v>
      </c>
    </row>
    <row r="16" spans="2:8" x14ac:dyDescent="0.2">
      <c r="C16" t="s">
        <v>388</v>
      </c>
      <c r="D16" t="s">
        <v>390</v>
      </c>
      <c r="E16">
        <v>101</v>
      </c>
    </row>
    <row r="17" spans="3:6" x14ac:dyDescent="0.2">
      <c r="E17">
        <f>E15-E16</f>
        <v>93</v>
      </c>
    </row>
    <row r="19" spans="3:6" x14ac:dyDescent="0.2">
      <c r="C19" t="s">
        <v>391</v>
      </c>
      <c r="E19">
        <v>9536</v>
      </c>
    </row>
    <row r="20" spans="3:6" x14ac:dyDescent="0.2">
      <c r="E20" s="144">
        <f>E19*E17</f>
        <v>886848</v>
      </c>
      <c r="F20" t="s">
        <v>392</v>
      </c>
    </row>
    <row r="23" spans="3:6" x14ac:dyDescent="0.2">
      <c r="C23" t="s">
        <v>393</v>
      </c>
      <c r="E23">
        <v>4329290</v>
      </c>
    </row>
    <row r="24" spans="3:6" x14ac:dyDescent="0.2">
      <c r="E24">
        <v>4155301</v>
      </c>
    </row>
    <row r="25" spans="3:6" x14ac:dyDescent="0.2">
      <c r="E25" s="144">
        <f>E23-E24</f>
        <v>173989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ED92D-0904-47AB-A2AC-0BED17674093}">
  <dimension ref="A3:I31"/>
  <sheetViews>
    <sheetView topLeftCell="A2" workbookViewId="0">
      <selection activeCell="G51" sqref="G51"/>
    </sheetView>
  </sheetViews>
  <sheetFormatPr baseColWidth="10" defaultColWidth="8.83203125" defaultRowHeight="15" x14ac:dyDescent="0.2"/>
  <cols>
    <col min="1" max="1" width="19.1640625" bestFit="1" customWidth="1"/>
    <col min="2" max="2" width="14.1640625" bestFit="1" customWidth="1"/>
    <col min="3" max="3" width="10.5" bestFit="1" customWidth="1"/>
    <col min="4" max="5" width="14.1640625" bestFit="1" customWidth="1"/>
    <col min="8" max="8" width="13.83203125" customWidth="1"/>
  </cols>
  <sheetData>
    <row r="3" spans="1:9" x14ac:dyDescent="0.2">
      <c r="A3" s="185" t="s">
        <v>394</v>
      </c>
      <c r="B3" s="185" t="s">
        <v>72</v>
      </c>
      <c r="C3" s="185" t="s">
        <v>395</v>
      </c>
      <c r="D3" t="s">
        <v>396</v>
      </c>
      <c r="F3" t="s">
        <v>394</v>
      </c>
      <c r="G3" t="s">
        <v>72</v>
      </c>
      <c r="H3" t="s">
        <v>395</v>
      </c>
      <c r="I3" t="s">
        <v>396</v>
      </c>
    </row>
    <row r="4" spans="1:9" x14ac:dyDescent="0.2">
      <c r="A4" t="s">
        <v>397</v>
      </c>
      <c r="B4" t="s">
        <v>398</v>
      </c>
      <c r="C4" s="187">
        <v>45856</v>
      </c>
      <c r="D4">
        <v>15052.5</v>
      </c>
      <c r="F4" t="s">
        <v>397</v>
      </c>
      <c r="G4" t="s">
        <v>398</v>
      </c>
      <c r="H4" s="187">
        <v>45856</v>
      </c>
      <c r="I4">
        <v>67252.5</v>
      </c>
    </row>
    <row r="5" spans="1:9" x14ac:dyDescent="0.2">
      <c r="C5" s="187">
        <v>45930</v>
      </c>
      <c r="D5">
        <v>86171.19</v>
      </c>
      <c r="H5" s="187">
        <v>45930</v>
      </c>
      <c r="I5">
        <v>86171.19</v>
      </c>
    </row>
    <row r="6" spans="1:9" x14ac:dyDescent="0.2">
      <c r="B6" t="s">
        <v>399</v>
      </c>
      <c r="D6">
        <v>101223.69</v>
      </c>
      <c r="G6" t="s">
        <v>399</v>
      </c>
      <c r="I6">
        <v>153423.69</v>
      </c>
    </row>
    <row r="7" spans="1:9" x14ac:dyDescent="0.2">
      <c r="B7" t="s">
        <v>400</v>
      </c>
      <c r="C7" s="187">
        <v>45870</v>
      </c>
      <c r="D7">
        <v>73223.350000000006</v>
      </c>
      <c r="G7" t="s">
        <v>400</v>
      </c>
      <c r="H7" s="187">
        <v>45870</v>
      </c>
      <c r="I7">
        <v>73223.350000000006</v>
      </c>
    </row>
    <row r="8" spans="1:9" x14ac:dyDescent="0.2">
      <c r="C8" s="187">
        <v>46021</v>
      </c>
      <c r="D8">
        <v>73223.350000000006</v>
      </c>
      <c r="H8" s="187">
        <v>46021</v>
      </c>
      <c r="I8">
        <v>73223.350000000006</v>
      </c>
    </row>
    <row r="9" spans="1:9" x14ac:dyDescent="0.2">
      <c r="B9" t="s">
        <v>401</v>
      </c>
      <c r="D9">
        <v>146446.70000000001</v>
      </c>
      <c r="G9" t="s">
        <v>401</v>
      </c>
      <c r="I9">
        <v>146446.70000000001</v>
      </c>
    </row>
    <row r="10" spans="1:9" x14ac:dyDescent="0.2">
      <c r="B10" t="s">
        <v>402</v>
      </c>
      <c r="C10" s="187">
        <v>45870</v>
      </c>
      <c r="D10">
        <v>17512.5</v>
      </c>
      <c r="G10" t="s">
        <v>402</v>
      </c>
      <c r="H10" s="187">
        <v>45870</v>
      </c>
      <c r="I10">
        <v>17512.5</v>
      </c>
    </row>
    <row r="11" spans="1:9" x14ac:dyDescent="0.2">
      <c r="C11" s="187">
        <v>45881</v>
      </c>
      <c r="D11">
        <v>12350</v>
      </c>
      <c r="H11" s="187">
        <v>45881</v>
      </c>
      <c r="I11">
        <v>12350</v>
      </c>
    </row>
    <row r="12" spans="1:9" x14ac:dyDescent="0.2">
      <c r="B12" t="s">
        <v>403</v>
      </c>
      <c r="D12">
        <v>29862.5</v>
      </c>
      <c r="G12" t="s">
        <v>403</v>
      </c>
      <c r="I12">
        <v>29862.5</v>
      </c>
    </row>
    <row r="13" spans="1:9" x14ac:dyDescent="0.2">
      <c r="B13" t="s">
        <v>404</v>
      </c>
      <c r="C13" s="187">
        <v>45858</v>
      </c>
      <c r="D13">
        <v>50000</v>
      </c>
      <c r="G13" t="s">
        <v>404</v>
      </c>
      <c r="H13" s="187">
        <v>45858</v>
      </c>
      <c r="I13">
        <v>50000</v>
      </c>
    </row>
    <row r="14" spans="1:9" x14ac:dyDescent="0.2">
      <c r="B14" t="s">
        <v>405</v>
      </c>
      <c r="D14">
        <v>50000</v>
      </c>
      <c r="G14" t="s">
        <v>405</v>
      </c>
      <c r="I14">
        <v>50000</v>
      </c>
    </row>
    <row r="15" spans="1:9" x14ac:dyDescent="0.2">
      <c r="B15" t="s">
        <v>406</v>
      </c>
      <c r="C15" s="187">
        <v>45856</v>
      </c>
      <c r="D15">
        <v>104700</v>
      </c>
      <c r="G15" t="s">
        <v>406</v>
      </c>
      <c r="H15" s="187">
        <v>45856</v>
      </c>
      <c r="I15">
        <v>52500</v>
      </c>
    </row>
    <row r="16" spans="1:9" x14ac:dyDescent="0.2">
      <c r="C16" s="187">
        <v>45870</v>
      </c>
      <c r="D16">
        <v>103500</v>
      </c>
      <c r="H16" s="187">
        <v>45870</v>
      </c>
      <c r="I16">
        <v>103500</v>
      </c>
    </row>
    <row r="17" spans="1:9" x14ac:dyDescent="0.2">
      <c r="C17" s="187">
        <v>45930</v>
      </c>
      <c r="D17">
        <v>493300</v>
      </c>
      <c r="H17" s="187">
        <v>45930</v>
      </c>
      <c r="I17">
        <v>493300</v>
      </c>
    </row>
    <row r="18" spans="1:9" x14ac:dyDescent="0.2">
      <c r="C18" s="187">
        <v>45960</v>
      </c>
      <c r="D18">
        <v>241500</v>
      </c>
      <c r="H18" s="187">
        <v>45960</v>
      </c>
      <c r="I18">
        <v>241500</v>
      </c>
    </row>
    <row r="19" spans="1:9" x14ac:dyDescent="0.2">
      <c r="B19" t="s">
        <v>407</v>
      </c>
      <c r="D19">
        <v>943000</v>
      </c>
      <c r="G19" t="s">
        <v>407</v>
      </c>
      <c r="I19">
        <v>890800</v>
      </c>
    </row>
    <row r="20" spans="1:9" x14ac:dyDescent="0.2">
      <c r="B20" t="s">
        <v>408</v>
      </c>
      <c r="C20" s="187">
        <v>45870</v>
      </c>
      <c r="D20">
        <v>129000</v>
      </c>
      <c r="G20" t="s">
        <v>408</v>
      </c>
      <c r="H20" s="187">
        <v>45870</v>
      </c>
      <c r="I20">
        <v>129000</v>
      </c>
    </row>
    <row r="21" spans="1:9" x14ac:dyDescent="0.2">
      <c r="C21" s="187">
        <v>45930</v>
      </c>
      <c r="D21">
        <v>129000</v>
      </c>
      <c r="H21" s="187">
        <v>45930</v>
      </c>
      <c r="I21">
        <v>129000</v>
      </c>
    </row>
    <row r="22" spans="1:9" x14ac:dyDescent="0.2">
      <c r="C22" s="187">
        <v>45960</v>
      </c>
      <c r="D22">
        <v>155970</v>
      </c>
      <c r="H22" s="187">
        <v>45960</v>
      </c>
      <c r="I22">
        <v>155970</v>
      </c>
    </row>
    <row r="23" spans="1:9" x14ac:dyDescent="0.2">
      <c r="C23" s="187">
        <v>46021</v>
      </c>
      <c r="D23">
        <v>602000</v>
      </c>
      <c r="H23" s="187">
        <v>46021</v>
      </c>
      <c r="I23">
        <v>602000</v>
      </c>
    </row>
    <row r="24" spans="1:9" x14ac:dyDescent="0.2">
      <c r="B24" t="s">
        <v>409</v>
      </c>
      <c r="D24">
        <v>1015970</v>
      </c>
      <c r="G24" t="s">
        <v>409</v>
      </c>
      <c r="I24">
        <v>1015970</v>
      </c>
    </row>
    <row r="25" spans="1:9" x14ac:dyDescent="0.2">
      <c r="A25" t="s">
        <v>410</v>
      </c>
      <c r="D25" s="186">
        <v>2286502.89</v>
      </c>
      <c r="F25" t="s">
        <v>410</v>
      </c>
      <c r="I25" s="186">
        <v>2286502.89</v>
      </c>
    </row>
    <row r="26" spans="1:9" x14ac:dyDescent="0.2">
      <c r="A26" t="s">
        <v>411</v>
      </c>
      <c r="B26" t="s">
        <v>400</v>
      </c>
      <c r="C26" s="187">
        <v>46052</v>
      </c>
      <c r="D26">
        <v>17512.5</v>
      </c>
      <c r="F26" t="s">
        <v>411</v>
      </c>
      <c r="G26" t="s">
        <v>400</v>
      </c>
      <c r="H26" s="187">
        <v>46052</v>
      </c>
      <c r="I26">
        <v>17512.5</v>
      </c>
    </row>
    <row r="27" spans="1:9" x14ac:dyDescent="0.2">
      <c r="B27" t="s">
        <v>401</v>
      </c>
      <c r="D27">
        <v>17512.5</v>
      </c>
      <c r="G27" t="s">
        <v>401</v>
      </c>
      <c r="I27">
        <v>17512.5</v>
      </c>
    </row>
    <row r="28" spans="1:9" x14ac:dyDescent="0.2">
      <c r="B28" t="s">
        <v>408</v>
      </c>
      <c r="C28" s="187">
        <v>46052</v>
      </c>
      <c r="D28">
        <v>363930</v>
      </c>
      <c r="G28" t="s">
        <v>408</v>
      </c>
      <c r="H28" s="187">
        <v>46052</v>
      </c>
      <c r="I28">
        <v>363930</v>
      </c>
    </row>
    <row r="29" spans="1:9" x14ac:dyDescent="0.2">
      <c r="B29" t="s">
        <v>409</v>
      </c>
      <c r="D29">
        <v>363930</v>
      </c>
      <c r="G29" t="s">
        <v>409</v>
      </c>
      <c r="I29">
        <v>363930</v>
      </c>
    </row>
    <row r="30" spans="1:9" x14ac:dyDescent="0.2">
      <c r="A30" t="s">
        <v>412</v>
      </c>
      <c r="D30" s="186">
        <v>381442.5</v>
      </c>
      <c r="F30" t="s">
        <v>412</v>
      </c>
      <c r="I30" s="186">
        <v>381442.5</v>
      </c>
    </row>
    <row r="31" spans="1:9" x14ac:dyDescent="0.2">
      <c r="A31" t="s">
        <v>413</v>
      </c>
      <c r="D31">
        <v>2667945.39</v>
      </c>
      <c r="F31" t="s">
        <v>413</v>
      </c>
      <c r="I31">
        <v>2667945.39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A21A3-A8AC-4910-953B-2C6E5AD8D4BE}">
  <dimension ref="B1:K41"/>
  <sheetViews>
    <sheetView topLeftCell="A10" zoomScaleNormal="100" workbookViewId="0">
      <selection activeCell="C62" sqref="C62"/>
    </sheetView>
  </sheetViews>
  <sheetFormatPr baseColWidth="10" defaultColWidth="8.6640625" defaultRowHeight="15" x14ac:dyDescent="0.2"/>
  <cols>
    <col min="1" max="1" width="8.6640625" style="154"/>
    <col min="2" max="2" width="12.83203125" style="154" customWidth="1"/>
    <col min="3" max="3" width="14" style="154" customWidth="1"/>
    <col min="4" max="4" width="24.5" style="154" customWidth="1"/>
    <col min="5" max="5" width="23.5" style="154" customWidth="1"/>
    <col min="6" max="6" width="44.5" style="154" customWidth="1"/>
    <col min="7" max="7" width="13.5" style="154" customWidth="1"/>
    <col min="8" max="8" width="10.83203125" style="154" customWidth="1"/>
    <col min="9" max="9" width="26.1640625" style="154" customWidth="1"/>
    <col min="10" max="10" width="25.5" style="154" customWidth="1"/>
    <col min="11" max="16384" width="8.6640625" style="154"/>
  </cols>
  <sheetData>
    <row r="1" spans="2:9" ht="34.75" customHeight="1" x14ac:dyDescent="0.2">
      <c r="B1" s="153" t="s">
        <v>414</v>
      </c>
    </row>
    <row r="2" spans="2:9" ht="27.5" customHeight="1" x14ac:dyDescent="0.2">
      <c r="B2" s="155" t="s">
        <v>415</v>
      </c>
      <c r="C2" s="155" t="s">
        <v>416</v>
      </c>
      <c r="D2" s="155" t="s">
        <v>417</v>
      </c>
      <c r="E2" s="155" t="s">
        <v>418</v>
      </c>
      <c r="F2" s="155" t="s">
        <v>419</v>
      </c>
      <c r="G2" s="154" t="s">
        <v>72</v>
      </c>
    </row>
    <row r="3" spans="2:9" ht="22.25" customHeight="1" x14ac:dyDescent="0.2">
      <c r="B3" s="176">
        <v>45856</v>
      </c>
      <c r="C3" s="177">
        <v>13827.5</v>
      </c>
      <c r="D3" s="158" t="s">
        <v>420</v>
      </c>
      <c r="E3" s="159" t="s">
        <v>421</v>
      </c>
      <c r="F3" s="158" t="s">
        <v>422</v>
      </c>
      <c r="G3" s="154" t="s">
        <v>398</v>
      </c>
    </row>
    <row r="4" spans="2:9" ht="22.25" customHeight="1" x14ac:dyDescent="0.2">
      <c r="B4" s="178">
        <v>45856</v>
      </c>
      <c r="C4" s="179">
        <v>52200</v>
      </c>
      <c r="D4" s="158" t="s">
        <v>420</v>
      </c>
      <c r="E4" s="159" t="s">
        <v>421</v>
      </c>
      <c r="F4" s="158" t="s">
        <v>423</v>
      </c>
      <c r="G4" s="154" t="s">
        <v>406</v>
      </c>
    </row>
    <row r="5" spans="2:9" ht="19.25" customHeight="1" thickBot="1" x14ac:dyDescent="0.25">
      <c r="B5" s="176">
        <v>45856</v>
      </c>
      <c r="C5" s="177">
        <v>1225</v>
      </c>
      <c r="D5" s="158" t="s">
        <v>424</v>
      </c>
      <c r="E5" s="160" t="s">
        <v>425</v>
      </c>
      <c r="F5" s="158" t="s">
        <v>422</v>
      </c>
      <c r="G5" s="154" t="s">
        <v>398</v>
      </c>
    </row>
    <row r="6" spans="2:9" ht="19.25" customHeight="1" thickBot="1" x14ac:dyDescent="0.25">
      <c r="B6" s="178">
        <v>45856</v>
      </c>
      <c r="C6" s="179">
        <v>52500</v>
      </c>
      <c r="D6" s="158" t="s">
        <v>426</v>
      </c>
      <c r="E6" s="160" t="s">
        <v>425</v>
      </c>
      <c r="F6" s="158" t="s">
        <v>423</v>
      </c>
      <c r="G6" s="154" t="s">
        <v>406</v>
      </c>
    </row>
    <row r="7" spans="2:9" ht="19.25" customHeight="1" thickBot="1" x14ac:dyDescent="0.25">
      <c r="B7" s="178">
        <v>45858</v>
      </c>
      <c r="C7" s="179">
        <v>50000</v>
      </c>
      <c r="D7" s="158" t="s">
        <v>427</v>
      </c>
      <c r="E7" s="158" t="s">
        <v>428</v>
      </c>
      <c r="F7" s="158" t="s">
        <v>429</v>
      </c>
      <c r="G7" s="154" t="s">
        <v>404</v>
      </c>
    </row>
    <row r="8" spans="2:9" ht="19.25" customHeight="1" x14ac:dyDescent="0.2">
      <c r="B8" s="176">
        <v>45870</v>
      </c>
      <c r="C8" s="184">
        <v>73223.350000000006</v>
      </c>
      <c r="D8" s="158" t="s">
        <v>430</v>
      </c>
      <c r="E8" s="161" t="s">
        <v>431</v>
      </c>
      <c r="F8" s="158" t="s">
        <v>422</v>
      </c>
      <c r="G8" s="154" t="s">
        <v>400</v>
      </c>
    </row>
    <row r="9" spans="2:9" ht="19.25" customHeight="1" x14ac:dyDescent="0.2">
      <c r="B9" s="176">
        <v>45870</v>
      </c>
      <c r="C9" s="184">
        <v>16287.5</v>
      </c>
      <c r="D9" s="158" t="s">
        <v>432</v>
      </c>
      <c r="E9" s="162" t="s">
        <v>433</v>
      </c>
      <c r="F9" s="158" t="s">
        <v>422</v>
      </c>
      <c r="G9" s="154" t="s">
        <v>402</v>
      </c>
    </row>
    <row r="10" spans="2:9" ht="19.25" customHeight="1" thickBot="1" x14ac:dyDescent="0.25">
      <c r="B10" s="176">
        <v>45870</v>
      </c>
      <c r="C10" s="184">
        <v>1225</v>
      </c>
      <c r="D10" s="158" t="s">
        <v>434</v>
      </c>
      <c r="E10" s="163" t="s">
        <v>435</v>
      </c>
      <c r="F10" s="158" t="s">
        <v>422</v>
      </c>
      <c r="G10" s="154" t="s">
        <v>402</v>
      </c>
    </row>
    <row r="11" spans="2:9" ht="19.25" customHeight="1" thickBot="1" x14ac:dyDescent="0.25">
      <c r="B11" s="176">
        <v>45881</v>
      </c>
      <c r="C11" s="180">
        <v>12350</v>
      </c>
      <c r="D11" s="158" t="s">
        <v>436</v>
      </c>
      <c r="E11" s="161" t="s">
        <v>431</v>
      </c>
      <c r="F11" s="158" t="s">
        <v>437</v>
      </c>
      <c r="G11" s="154" t="s">
        <v>402</v>
      </c>
      <c r="I11" s="182"/>
    </row>
    <row r="12" spans="2:9" ht="19.25" customHeight="1" thickBot="1" x14ac:dyDescent="0.25">
      <c r="B12" s="156">
        <v>45930</v>
      </c>
      <c r="C12" s="177">
        <v>71118.69</v>
      </c>
      <c r="D12" s="158" t="s">
        <v>436</v>
      </c>
      <c r="E12" s="161" t="s">
        <v>431</v>
      </c>
      <c r="F12" s="158" t="s">
        <v>438</v>
      </c>
      <c r="G12" s="154" t="s">
        <v>398</v>
      </c>
      <c r="H12" s="182"/>
    </row>
    <row r="13" spans="2:9" ht="19.25" customHeight="1" x14ac:dyDescent="0.2">
      <c r="B13" s="156">
        <v>45930</v>
      </c>
      <c r="C13" s="179">
        <v>249000</v>
      </c>
      <c r="D13" s="158" t="s">
        <v>436</v>
      </c>
      <c r="E13" s="161" t="s">
        <v>431</v>
      </c>
      <c r="F13" s="158" t="s">
        <v>439</v>
      </c>
      <c r="G13" s="154" t="s">
        <v>406</v>
      </c>
    </row>
    <row r="14" spans="2:9" ht="19.25" customHeight="1" x14ac:dyDescent="0.2">
      <c r="B14" s="156">
        <v>45930</v>
      </c>
      <c r="C14" s="177">
        <v>13827.5</v>
      </c>
      <c r="D14" s="158" t="s">
        <v>420</v>
      </c>
      <c r="E14" s="159" t="s">
        <v>421</v>
      </c>
      <c r="F14" s="158" t="s">
        <v>438</v>
      </c>
      <c r="G14" s="154" t="s">
        <v>398</v>
      </c>
    </row>
    <row r="15" spans="2:9" ht="19.25" customHeight="1" x14ac:dyDescent="0.2">
      <c r="B15" s="156">
        <v>45930</v>
      </c>
      <c r="C15" s="179">
        <v>121800</v>
      </c>
      <c r="D15" s="158" t="s">
        <v>420</v>
      </c>
      <c r="E15" s="159" t="s">
        <v>421</v>
      </c>
      <c r="F15" s="158" t="s">
        <v>440</v>
      </c>
      <c r="G15" s="154" t="s">
        <v>406</v>
      </c>
    </row>
    <row r="16" spans="2:9" ht="19.25" customHeight="1" thickBot="1" x14ac:dyDescent="0.25">
      <c r="B16" s="156">
        <v>45930</v>
      </c>
      <c r="C16" s="177">
        <v>1225</v>
      </c>
      <c r="D16" s="158" t="s">
        <v>424</v>
      </c>
      <c r="E16" s="160" t="s">
        <v>425</v>
      </c>
      <c r="F16" s="158" t="s">
        <v>438</v>
      </c>
      <c r="G16" s="154" t="s">
        <v>398</v>
      </c>
    </row>
    <row r="17" spans="2:9" ht="19.25" customHeight="1" thickBot="1" x14ac:dyDescent="0.25">
      <c r="B17" s="156">
        <v>45930</v>
      </c>
      <c r="C17" s="179">
        <v>122500</v>
      </c>
      <c r="D17" s="158" t="s">
        <v>424</v>
      </c>
      <c r="E17" s="160" t="s">
        <v>425</v>
      </c>
      <c r="F17" s="158" t="s">
        <v>440</v>
      </c>
      <c r="G17" s="154" t="s">
        <v>406</v>
      </c>
    </row>
    <row r="18" spans="2:9" ht="22.25" customHeight="1" x14ac:dyDescent="0.2">
      <c r="B18" s="156">
        <v>45930</v>
      </c>
      <c r="C18" s="179">
        <v>129000</v>
      </c>
      <c r="D18" s="158" t="s">
        <v>430</v>
      </c>
      <c r="E18" s="161" t="s">
        <v>431</v>
      </c>
      <c r="F18" s="158" t="s">
        <v>423</v>
      </c>
      <c r="G18" s="154" t="s">
        <v>408</v>
      </c>
    </row>
    <row r="19" spans="2:9" ht="22.25" customHeight="1" x14ac:dyDescent="0.2">
      <c r="B19" s="156">
        <v>45960</v>
      </c>
      <c r="C19" s="179">
        <v>77850</v>
      </c>
      <c r="D19" s="164" t="s">
        <v>432</v>
      </c>
      <c r="E19" s="162" t="s">
        <v>433</v>
      </c>
      <c r="F19" s="164" t="s">
        <v>441</v>
      </c>
      <c r="G19" s="154" t="s">
        <v>408</v>
      </c>
      <c r="H19" s="182">
        <f>C19+C20</f>
        <v>155970</v>
      </c>
    </row>
    <row r="20" spans="2:9" ht="22.25" customHeight="1" thickBot="1" x14ac:dyDescent="0.25">
      <c r="B20" s="156">
        <v>45960</v>
      </c>
      <c r="C20" s="179">
        <v>78120</v>
      </c>
      <c r="D20" s="158" t="s">
        <v>434</v>
      </c>
      <c r="E20" s="163" t="s">
        <v>435</v>
      </c>
      <c r="F20" s="164" t="s">
        <v>441</v>
      </c>
      <c r="G20" s="154" t="s">
        <v>408</v>
      </c>
    </row>
    <row r="21" spans="2:9" ht="26.5" customHeight="1" thickBot="1" x14ac:dyDescent="0.25">
      <c r="B21" s="189">
        <v>46021</v>
      </c>
      <c r="C21" s="177">
        <v>73223.350000000006</v>
      </c>
      <c r="D21" s="158" t="s">
        <v>430</v>
      </c>
      <c r="E21" s="161" t="s">
        <v>431</v>
      </c>
      <c r="F21" s="158" t="s">
        <v>438</v>
      </c>
      <c r="G21" s="154" t="s">
        <v>400</v>
      </c>
    </row>
    <row r="22" spans="2:9" ht="26.5" customHeight="1" x14ac:dyDescent="0.2">
      <c r="B22" s="189">
        <v>46021</v>
      </c>
      <c r="C22" s="179">
        <v>301000</v>
      </c>
      <c r="D22" s="158" t="s">
        <v>430</v>
      </c>
      <c r="E22" s="161" t="s">
        <v>431</v>
      </c>
      <c r="F22" s="158" t="s">
        <v>440</v>
      </c>
      <c r="G22" s="154" t="s">
        <v>408</v>
      </c>
    </row>
    <row r="23" spans="2:9" ht="27" customHeight="1" x14ac:dyDescent="0.2">
      <c r="B23" s="189">
        <v>46052</v>
      </c>
      <c r="C23" s="177">
        <v>16287.5</v>
      </c>
      <c r="D23" s="158" t="s">
        <v>432</v>
      </c>
      <c r="E23" s="162" t="s">
        <v>433</v>
      </c>
      <c r="F23" s="158" t="s">
        <v>438</v>
      </c>
      <c r="G23" s="154" t="s">
        <v>400</v>
      </c>
    </row>
    <row r="24" spans="2:9" ht="27" customHeight="1" x14ac:dyDescent="0.2">
      <c r="B24" s="189">
        <v>46052</v>
      </c>
      <c r="C24" s="181">
        <v>181650</v>
      </c>
      <c r="D24" s="164" t="s">
        <v>432</v>
      </c>
      <c r="E24" s="162" t="s">
        <v>433</v>
      </c>
      <c r="F24" s="164" t="s">
        <v>442</v>
      </c>
      <c r="G24" s="154" t="s">
        <v>408</v>
      </c>
      <c r="I24" s="362">
        <f>C24+C25+C26</f>
        <v>365155</v>
      </c>
    </row>
    <row r="25" spans="2:9" ht="27" customHeight="1" thickBot="1" x14ac:dyDescent="0.25">
      <c r="B25" s="189">
        <v>46052</v>
      </c>
      <c r="C25" s="177">
        <v>1225</v>
      </c>
      <c r="D25" s="158" t="s">
        <v>434</v>
      </c>
      <c r="E25" s="163" t="s">
        <v>435</v>
      </c>
      <c r="F25" s="158" t="s">
        <v>438</v>
      </c>
      <c r="G25" s="154" t="s">
        <v>400</v>
      </c>
    </row>
    <row r="26" spans="2:9" ht="27" customHeight="1" thickBot="1" x14ac:dyDescent="0.25">
      <c r="B26" s="189">
        <v>46052</v>
      </c>
      <c r="C26" s="179">
        <v>182280</v>
      </c>
      <c r="D26" s="158" t="s">
        <v>434</v>
      </c>
      <c r="E26" s="163" t="s">
        <v>435</v>
      </c>
      <c r="F26" s="164" t="s">
        <v>442</v>
      </c>
      <c r="G26" s="154" t="s">
        <v>408</v>
      </c>
      <c r="I26" s="165"/>
    </row>
    <row r="27" spans="2:9" ht="27" customHeight="1" x14ac:dyDescent="0.2">
      <c r="B27" s="189">
        <v>45870</v>
      </c>
      <c r="C27" s="179">
        <v>41400</v>
      </c>
      <c r="D27" s="162" t="s">
        <v>443</v>
      </c>
      <c r="E27" s="158" t="s">
        <v>444</v>
      </c>
      <c r="F27" s="164" t="s">
        <v>445</v>
      </c>
      <c r="G27" s="154" t="s">
        <v>406</v>
      </c>
      <c r="H27" s="435"/>
      <c r="I27" s="436"/>
    </row>
    <row r="28" spans="2:9" ht="27" customHeight="1" x14ac:dyDescent="0.2">
      <c r="B28" s="189">
        <v>45870</v>
      </c>
      <c r="C28" s="179">
        <v>62100</v>
      </c>
      <c r="D28" s="162" t="s">
        <v>446</v>
      </c>
      <c r="E28" s="158" t="s">
        <v>447</v>
      </c>
      <c r="F28" s="164" t="s">
        <v>448</v>
      </c>
      <c r="G28" s="154" t="s">
        <v>406</v>
      </c>
      <c r="H28" s="166"/>
      <c r="I28" s="166"/>
    </row>
    <row r="29" spans="2:9" ht="27" customHeight="1" x14ac:dyDescent="0.2">
      <c r="B29" s="189">
        <v>45960</v>
      </c>
      <c r="C29" s="179">
        <v>96600</v>
      </c>
      <c r="D29" s="162" t="s">
        <v>443</v>
      </c>
      <c r="E29" s="158" t="s">
        <v>449</v>
      </c>
      <c r="F29" s="164" t="s">
        <v>450</v>
      </c>
      <c r="G29" s="154" t="s">
        <v>406</v>
      </c>
      <c r="H29" s="166"/>
      <c r="I29" s="166"/>
    </row>
    <row r="30" spans="2:9" ht="27" customHeight="1" x14ac:dyDescent="0.2">
      <c r="B30" s="189">
        <v>45960</v>
      </c>
      <c r="C30" s="179">
        <v>144900</v>
      </c>
      <c r="D30" s="162" t="s">
        <v>446</v>
      </c>
      <c r="E30" s="158" t="s">
        <v>447</v>
      </c>
      <c r="F30" s="164" t="s">
        <v>451</v>
      </c>
      <c r="G30" s="154" t="s">
        <v>406</v>
      </c>
      <c r="H30" s="166"/>
      <c r="I30" s="166"/>
    </row>
    <row r="31" spans="2:9" ht="27" customHeight="1" x14ac:dyDescent="0.2">
      <c r="B31" s="189">
        <v>45870</v>
      </c>
      <c r="C31" s="179">
        <v>51600</v>
      </c>
      <c r="D31" s="162" t="s">
        <v>452</v>
      </c>
      <c r="E31" s="158" t="s">
        <v>453</v>
      </c>
      <c r="F31" s="164" t="s">
        <v>454</v>
      </c>
      <c r="G31" s="154" t="s">
        <v>408</v>
      </c>
      <c r="H31" s="166"/>
      <c r="I31" s="166"/>
    </row>
    <row r="32" spans="2:9" ht="27" customHeight="1" x14ac:dyDescent="0.2">
      <c r="B32" s="189">
        <v>45870</v>
      </c>
      <c r="C32" s="179">
        <v>77400</v>
      </c>
      <c r="D32" s="162" t="s">
        <v>455</v>
      </c>
      <c r="E32" s="158" t="s">
        <v>456</v>
      </c>
      <c r="F32" s="164" t="s">
        <v>457</v>
      </c>
      <c r="G32" s="154" t="s">
        <v>408</v>
      </c>
      <c r="H32" s="166"/>
      <c r="I32" s="166"/>
    </row>
    <row r="33" spans="2:11" ht="27" customHeight="1" x14ac:dyDescent="0.2">
      <c r="B33" s="156">
        <v>46021</v>
      </c>
      <c r="C33" s="179">
        <v>120400</v>
      </c>
      <c r="D33" s="162" t="s">
        <v>452</v>
      </c>
      <c r="E33" s="167" t="s">
        <v>453</v>
      </c>
      <c r="F33" s="164" t="s">
        <v>458</v>
      </c>
      <c r="G33" s="154" t="s">
        <v>408</v>
      </c>
      <c r="H33" s="166"/>
      <c r="I33" s="188">
        <f>C34+C33+C22</f>
        <v>602000</v>
      </c>
    </row>
    <row r="34" spans="2:11" ht="27" customHeight="1" x14ac:dyDescent="0.2">
      <c r="B34" s="156">
        <v>46021</v>
      </c>
      <c r="C34" s="179">
        <v>180600</v>
      </c>
      <c r="D34" s="162" t="s">
        <v>455</v>
      </c>
      <c r="E34" s="167" t="s">
        <v>456</v>
      </c>
      <c r="F34" s="164" t="s">
        <v>459</v>
      </c>
      <c r="G34" s="154" t="s">
        <v>408</v>
      </c>
      <c r="H34" s="166"/>
      <c r="I34" s="166"/>
    </row>
    <row r="35" spans="2:11" ht="32.5" customHeight="1" x14ac:dyDescent="0.2">
      <c r="B35" s="156"/>
      <c r="C35" s="157">
        <f>SUM(C3:C34)</f>
        <v>2667945.39</v>
      </c>
      <c r="D35" s="168"/>
      <c r="E35" s="168"/>
      <c r="F35" s="164"/>
      <c r="I35" s="165"/>
    </row>
    <row r="36" spans="2:11" ht="32.5" customHeight="1" x14ac:dyDescent="0.2">
      <c r="C36" s="362" t="e">
        <f ca="1">'Weekly Spend'!#REF!+'Weekly Spend'!N30+'Weekly Spend'!N28</f>
        <v>#REF!</v>
      </c>
    </row>
    <row r="37" spans="2:11" ht="28.75" customHeight="1" x14ac:dyDescent="0.2">
      <c r="C37" s="183" t="e">
        <f ca="1">C35-C36</f>
        <v>#REF!</v>
      </c>
    </row>
    <row r="38" spans="2:11" ht="28.25" customHeight="1" x14ac:dyDescent="0.2"/>
    <row r="39" spans="2:11" ht="22.25" customHeight="1" x14ac:dyDescent="0.2">
      <c r="D39" s="169"/>
      <c r="E39" s="169"/>
      <c r="F39" s="170"/>
      <c r="G39" s="171"/>
      <c r="H39" s="171"/>
      <c r="I39" s="170"/>
      <c r="J39" s="169"/>
      <c r="K39" s="169"/>
    </row>
    <row r="40" spans="2:11" ht="33.5" customHeight="1" x14ac:dyDescent="0.2">
      <c r="B40" s="169"/>
      <c r="C40" s="169"/>
      <c r="D40" s="169"/>
      <c r="E40" s="169"/>
      <c r="F40" s="172"/>
      <c r="G40" s="172"/>
      <c r="H40" s="172"/>
      <c r="I40" s="172"/>
      <c r="J40" s="172"/>
      <c r="K40" s="169"/>
    </row>
    <row r="41" spans="2:11" ht="27" customHeight="1" x14ac:dyDescent="0.2">
      <c r="B41" s="173"/>
      <c r="C41" s="437"/>
      <c r="D41" s="437"/>
      <c r="E41" s="174"/>
      <c r="F41" s="175"/>
      <c r="G41" s="175"/>
      <c r="H41" s="175"/>
      <c r="I41" s="175"/>
      <c r="J41" s="175"/>
      <c r="K41" s="173"/>
    </row>
  </sheetData>
  <autoFilter ref="B2:G34" xr:uid="{508A21A3-A8AC-4910-953B-2C6E5AD8D4BE}"/>
  <mergeCells count="2">
    <mergeCell ref="H27:I27"/>
    <mergeCell ref="C41:D41"/>
  </mergeCells>
  <phoneticPr fontId="36" type="noConversion"/>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topLeftCell="A13" workbookViewId="0">
      <selection activeCell="F27" sqref="F27"/>
    </sheetView>
  </sheetViews>
  <sheetFormatPr baseColWidth="10" defaultColWidth="14.5" defaultRowHeight="15" customHeight="1" x14ac:dyDescent="0.2"/>
  <cols>
    <col min="1" max="1" width="31.5" customWidth="1"/>
    <col min="2" max="7" width="12.5" customWidth="1"/>
    <col min="8" max="9" width="34.83203125" customWidth="1"/>
    <col min="10" max="10" width="11.83203125" style="1" customWidth="1"/>
    <col min="11" max="11" width="13.1640625" style="1" customWidth="1"/>
    <col min="12" max="26" width="8.83203125" style="1" customWidth="1"/>
  </cols>
  <sheetData>
    <row r="1" spans="1:11" ht="14.25" customHeight="1" x14ac:dyDescent="0.25">
      <c r="A1" s="84" t="s">
        <v>460</v>
      </c>
      <c r="B1" s="1"/>
      <c r="C1" s="1"/>
      <c r="D1" s="1"/>
      <c r="E1" s="1"/>
      <c r="F1" s="1"/>
      <c r="G1" s="1"/>
      <c r="H1" s="26"/>
      <c r="I1" s="85"/>
    </row>
    <row r="2" spans="1:11" ht="14.25" customHeight="1" x14ac:dyDescent="0.2">
      <c r="A2" s="24"/>
      <c r="B2" s="1"/>
      <c r="C2" s="1"/>
      <c r="D2" s="1"/>
      <c r="E2" s="1"/>
      <c r="F2" s="1"/>
      <c r="G2" s="1"/>
      <c r="H2" s="26"/>
      <c r="I2" s="85"/>
      <c r="J2" s="24" t="s">
        <v>461</v>
      </c>
    </row>
    <row r="3" spans="1:11" ht="14.25" customHeight="1" x14ac:dyDescent="0.2">
      <c r="A3" s="86" t="s">
        <v>462</v>
      </c>
      <c r="B3" s="87" t="s">
        <v>463</v>
      </c>
      <c r="C3" s="88" t="s">
        <v>464</v>
      </c>
      <c r="D3" s="88" t="s">
        <v>465</v>
      </c>
      <c r="E3" s="88" t="s">
        <v>466</v>
      </c>
      <c r="F3" s="88" t="s">
        <v>467</v>
      </c>
      <c r="G3" s="88" t="s">
        <v>468</v>
      </c>
      <c r="H3" s="214" t="s">
        <v>281</v>
      </c>
      <c r="I3" s="89"/>
      <c r="J3" s="1" t="s">
        <v>469</v>
      </c>
      <c r="K3" s="90">
        <v>6500</v>
      </c>
    </row>
    <row r="4" spans="1:11" ht="14.25" customHeight="1" x14ac:dyDescent="0.2">
      <c r="A4" s="438" t="s">
        <v>470</v>
      </c>
      <c r="B4" s="91" t="s">
        <v>469</v>
      </c>
      <c r="C4" s="91">
        <v>0</v>
      </c>
      <c r="D4" s="91">
        <v>0</v>
      </c>
      <c r="E4" s="91">
        <v>0</v>
      </c>
      <c r="F4" s="91">
        <v>0</v>
      </c>
      <c r="G4" s="91">
        <v>0</v>
      </c>
      <c r="H4" s="441" t="s">
        <v>471</v>
      </c>
      <c r="I4" s="92"/>
      <c r="J4" s="1" t="s">
        <v>472</v>
      </c>
      <c r="K4" s="90">
        <v>6500</v>
      </c>
    </row>
    <row r="5" spans="1:11" ht="14.25" customHeight="1" x14ac:dyDescent="0.2">
      <c r="A5" s="439"/>
      <c r="B5" s="93" t="s">
        <v>472</v>
      </c>
      <c r="C5" s="91">
        <v>0</v>
      </c>
      <c r="D5" s="91">
        <v>0</v>
      </c>
      <c r="E5" s="91">
        <v>0</v>
      </c>
      <c r="F5" s="91">
        <v>0</v>
      </c>
      <c r="G5" s="91">
        <v>0</v>
      </c>
      <c r="H5" s="442"/>
      <c r="I5" s="92"/>
      <c r="J5" s="1" t="s">
        <v>473</v>
      </c>
      <c r="K5" s="90">
        <v>4000</v>
      </c>
    </row>
    <row r="6" spans="1:11" ht="14.25" customHeight="1" x14ac:dyDescent="0.2">
      <c r="A6" s="439"/>
      <c r="B6" s="93" t="s">
        <v>473</v>
      </c>
      <c r="C6" s="91">
        <v>0</v>
      </c>
      <c r="D6" s="91">
        <v>0</v>
      </c>
      <c r="E6" s="91">
        <v>0</v>
      </c>
      <c r="F6" s="91">
        <v>0</v>
      </c>
      <c r="G6" s="91">
        <v>0</v>
      </c>
      <c r="H6" s="442"/>
      <c r="I6" s="92"/>
      <c r="J6" s="1" t="s">
        <v>474</v>
      </c>
      <c r="K6" s="90">
        <v>16000</v>
      </c>
    </row>
    <row r="7" spans="1:11" ht="14.25" customHeight="1" x14ac:dyDescent="0.2">
      <c r="A7" s="439"/>
      <c r="B7" s="93" t="s">
        <v>474</v>
      </c>
      <c r="C7" s="93">
        <v>0</v>
      </c>
      <c r="D7" s="93">
        <v>0</v>
      </c>
      <c r="E7" s="93">
        <v>0</v>
      </c>
      <c r="F7" s="93">
        <v>0</v>
      </c>
      <c r="G7" s="91">
        <v>0</v>
      </c>
      <c r="H7" s="442"/>
      <c r="I7" s="92"/>
      <c r="J7" s="1" t="s">
        <v>124</v>
      </c>
      <c r="K7" s="90">
        <v>8000</v>
      </c>
    </row>
    <row r="8" spans="1:11" ht="14.25" customHeight="1" x14ac:dyDescent="0.2">
      <c r="A8" s="440"/>
      <c r="B8" s="94"/>
      <c r="C8" s="94"/>
      <c r="D8" s="94"/>
      <c r="E8" s="94"/>
      <c r="F8" s="94"/>
      <c r="G8" s="94"/>
      <c r="H8" s="442"/>
      <c r="I8" s="92"/>
      <c r="J8" s="1" t="s">
        <v>475</v>
      </c>
      <c r="K8" s="90">
        <v>5000</v>
      </c>
    </row>
    <row r="9" spans="1:11" ht="14.25" customHeight="1" x14ac:dyDescent="0.2">
      <c r="A9" s="24" t="s">
        <v>476</v>
      </c>
      <c r="B9" s="1"/>
      <c r="C9" s="95">
        <f t="shared" ref="C9:G9" si="0">C4*$K$3+C5*$K$4+C6*$K$5+C7*$K$6</f>
        <v>0</v>
      </c>
      <c r="D9" s="95">
        <f t="shared" si="0"/>
        <v>0</v>
      </c>
      <c r="E9" s="95">
        <f t="shared" si="0"/>
        <v>0</v>
      </c>
      <c r="F9" s="95">
        <f t="shared" si="0"/>
        <v>0</v>
      </c>
      <c r="G9" s="95">
        <f t="shared" si="0"/>
        <v>0</v>
      </c>
      <c r="H9" s="26"/>
      <c r="I9" s="96"/>
    </row>
    <row r="10" spans="1:11" ht="14.25" customHeight="1" x14ac:dyDescent="0.2">
      <c r="A10" s="1"/>
      <c r="B10" s="1"/>
      <c r="C10" s="1"/>
      <c r="D10" s="1"/>
      <c r="E10" s="1"/>
      <c r="F10" s="1"/>
      <c r="G10" s="1"/>
      <c r="H10" s="26"/>
      <c r="I10" s="96"/>
    </row>
    <row r="11" spans="1:11" ht="14.25" customHeight="1" x14ac:dyDescent="0.2">
      <c r="A11" s="1"/>
      <c r="B11" s="1"/>
      <c r="C11" s="1"/>
      <c r="D11" s="1"/>
      <c r="E11" s="1"/>
      <c r="F11" s="1"/>
      <c r="G11" s="1"/>
      <c r="H11" s="26"/>
      <c r="I11" s="96"/>
    </row>
    <row r="12" spans="1:11" ht="14.25" customHeight="1" x14ac:dyDescent="0.2">
      <c r="A12" s="86" t="s">
        <v>477</v>
      </c>
      <c r="B12" s="87" t="s">
        <v>463</v>
      </c>
      <c r="C12" s="88" t="s">
        <v>464</v>
      </c>
      <c r="D12" s="88" t="s">
        <v>465</v>
      </c>
      <c r="E12" s="88" t="s">
        <v>466</v>
      </c>
      <c r="F12" s="88" t="s">
        <v>467</v>
      </c>
      <c r="G12" s="88" t="s">
        <v>468</v>
      </c>
      <c r="H12" s="26"/>
      <c r="I12" s="96"/>
    </row>
    <row r="13" spans="1:11" ht="14.25" customHeight="1" x14ac:dyDescent="0.2">
      <c r="A13" s="438" t="s">
        <v>478</v>
      </c>
      <c r="B13" s="91" t="s">
        <v>469</v>
      </c>
      <c r="C13" s="91">
        <v>1</v>
      </c>
      <c r="D13" s="91">
        <v>1</v>
      </c>
      <c r="E13" s="91">
        <v>1</v>
      </c>
      <c r="F13" s="91">
        <v>1</v>
      </c>
      <c r="G13" s="91">
        <v>1</v>
      </c>
      <c r="H13" s="97" t="s">
        <v>479</v>
      </c>
      <c r="I13" s="96"/>
    </row>
    <row r="14" spans="1:11" ht="14.25" customHeight="1" x14ac:dyDescent="0.2">
      <c r="A14" s="439"/>
      <c r="B14" s="93" t="s">
        <v>472</v>
      </c>
      <c r="C14" s="91">
        <v>0.5</v>
      </c>
      <c r="D14" s="91">
        <v>0.5</v>
      </c>
      <c r="E14" s="91">
        <v>0.5</v>
      </c>
      <c r="F14" s="91">
        <v>0.5</v>
      </c>
      <c r="G14" s="91">
        <v>0.5</v>
      </c>
      <c r="H14" s="98" t="s">
        <v>480</v>
      </c>
      <c r="I14" s="96"/>
    </row>
    <row r="15" spans="1:11" ht="14.25" customHeight="1" x14ac:dyDescent="0.2">
      <c r="A15" s="439"/>
      <c r="B15" s="93" t="s">
        <v>473</v>
      </c>
      <c r="C15" s="91">
        <v>1</v>
      </c>
      <c r="D15" s="91">
        <v>1</v>
      </c>
      <c r="E15" s="91">
        <v>1</v>
      </c>
      <c r="F15" s="91">
        <v>1</v>
      </c>
      <c r="G15" s="91">
        <v>1</v>
      </c>
      <c r="H15" s="26" t="s">
        <v>481</v>
      </c>
      <c r="I15" s="96"/>
    </row>
    <row r="16" spans="1:11" ht="14.25" customHeight="1" x14ac:dyDescent="0.2">
      <c r="A16" s="439"/>
      <c r="B16" s="93" t="s">
        <v>475</v>
      </c>
      <c r="C16" s="91">
        <v>0</v>
      </c>
      <c r="D16" s="91">
        <v>0.25</v>
      </c>
      <c r="E16" s="91">
        <v>0.5</v>
      </c>
      <c r="F16" s="91">
        <v>0.5</v>
      </c>
      <c r="G16" s="91">
        <v>0.5</v>
      </c>
      <c r="H16" s="26" t="s">
        <v>482</v>
      </c>
      <c r="I16" s="96"/>
    </row>
    <row r="17" spans="1:9" ht="14.25" customHeight="1" x14ac:dyDescent="0.2">
      <c r="A17" s="440"/>
      <c r="B17" s="93" t="s">
        <v>474</v>
      </c>
      <c r="C17" s="94">
        <v>0.25</v>
      </c>
      <c r="D17" s="94"/>
      <c r="E17" s="94"/>
      <c r="F17" s="94"/>
      <c r="G17" s="94"/>
      <c r="H17" s="26" t="s">
        <v>483</v>
      </c>
      <c r="I17" s="96"/>
    </row>
    <row r="18" spans="1:9" ht="14.25" customHeight="1" x14ac:dyDescent="0.2">
      <c r="A18" s="24" t="s">
        <v>476</v>
      </c>
      <c r="B18" s="1"/>
      <c r="C18" s="95">
        <f>C13*$K$3+C14*$K$4+C15*$K$5+C16*$K$8+C17*K6</f>
        <v>17750</v>
      </c>
      <c r="D18" s="95">
        <f t="shared" ref="D18:G18" si="1">D13*$K$3+D14*$K$4+D15*$K$5+D16*$K$8</f>
        <v>15000</v>
      </c>
      <c r="E18" s="95">
        <f t="shared" si="1"/>
        <v>16250</v>
      </c>
      <c r="F18" s="95">
        <f t="shared" si="1"/>
        <v>16250</v>
      </c>
      <c r="G18" s="95">
        <f t="shared" si="1"/>
        <v>16250</v>
      </c>
      <c r="H18" s="26"/>
      <c r="I18" s="96">
        <f>SUM(C18:G18)</f>
        <v>81500</v>
      </c>
    </row>
    <row r="19" spans="1:9" ht="14.25" customHeight="1" x14ac:dyDescent="0.2">
      <c r="A19" s="1"/>
      <c r="B19" s="1"/>
      <c r="C19" s="1"/>
      <c r="D19" s="1"/>
      <c r="E19" s="1"/>
      <c r="F19" s="1"/>
      <c r="G19" s="1"/>
      <c r="H19" s="26"/>
      <c r="I19" s="96"/>
    </row>
    <row r="20" spans="1:9" ht="14.25" customHeight="1" x14ac:dyDescent="0.2">
      <c r="A20" s="1"/>
      <c r="B20" s="1"/>
      <c r="C20" s="1"/>
      <c r="D20" s="1"/>
      <c r="E20" s="1"/>
      <c r="F20" s="1"/>
      <c r="G20" s="1"/>
      <c r="H20" s="26"/>
      <c r="I20" s="96"/>
    </row>
    <row r="21" spans="1:9" ht="14.25" customHeight="1" x14ac:dyDescent="0.2">
      <c r="A21" s="86" t="s">
        <v>484</v>
      </c>
      <c r="B21" s="87" t="s">
        <v>463</v>
      </c>
      <c r="C21" s="88" t="s">
        <v>464</v>
      </c>
      <c r="D21" s="88" t="s">
        <v>465</v>
      </c>
      <c r="E21" s="88" t="s">
        <v>466</v>
      </c>
      <c r="F21" s="88" t="s">
        <v>467</v>
      </c>
      <c r="G21" s="88" t="s">
        <v>468</v>
      </c>
      <c r="H21" s="26"/>
      <c r="I21" s="96"/>
    </row>
    <row r="22" spans="1:9" ht="14.25" customHeight="1" x14ac:dyDescent="0.2">
      <c r="A22" s="438" t="s">
        <v>485</v>
      </c>
      <c r="B22" s="91" t="s">
        <v>469</v>
      </c>
      <c r="C22" s="91">
        <v>1</v>
      </c>
      <c r="D22" s="91">
        <v>3</v>
      </c>
      <c r="E22" s="91">
        <v>3</v>
      </c>
      <c r="F22" s="91">
        <v>2</v>
      </c>
      <c r="G22" s="91">
        <v>2</v>
      </c>
      <c r="H22" s="97" t="s">
        <v>486</v>
      </c>
      <c r="I22" s="96"/>
    </row>
    <row r="23" spans="1:9" ht="14.25" customHeight="1" x14ac:dyDescent="0.2">
      <c r="A23" s="439"/>
      <c r="B23" s="93" t="s">
        <v>472</v>
      </c>
      <c r="C23" s="93">
        <v>0</v>
      </c>
      <c r="D23" s="93">
        <v>0.5</v>
      </c>
      <c r="E23" s="93">
        <v>0.5</v>
      </c>
      <c r="F23" s="93">
        <v>0.5</v>
      </c>
      <c r="G23" s="93">
        <v>0.5</v>
      </c>
      <c r="H23" s="99" t="s">
        <v>487</v>
      </c>
      <c r="I23" s="96"/>
    </row>
    <row r="24" spans="1:9" ht="14.25" customHeight="1" x14ac:dyDescent="0.2">
      <c r="A24" s="439"/>
      <c r="B24" s="93" t="s">
        <v>473</v>
      </c>
      <c r="C24" s="93">
        <v>0</v>
      </c>
      <c r="D24" s="93">
        <v>1</v>
      </c>
      <c r="E24" s="93">
        <v>2</v>
      </c>
      <c r="F24" s="93">
        <v>4</v>
      </c>
      <c r="G24" s="93">
        <v>4</v>
      </c>
      <c r="H24" s="26" t="s">
        <v>488</v>
      </c>
      <c r="I24" s="96"/>
    </row>
    <row r="25" spans="1:9" ht="14.25" customHeight="1" x14ac:dyDescent="0.2">
      <c r="A25" s="439"/>
      <c r="B25" s="93" t="s">
        <v>474</v>
      </c>
      <c r="C25" s="93">
        <v>0.25</v>
      </c>
      <c r="D25" s="93">
        <v>0.5</v>
      </c>
      <c r="E25" s="93">
        <v>0.5</v>
      </c>
      <c r="F25" s="93">
        <v>0.5</v>
      </c>
      <c r="G25" s="93">
        <v>0.5</v>
      </c>
      <c r="H25" s="26" t="s">
        <v>489</v>
      </c>
      <c r="I25" s="96"/>
    </row>
    <row r="26" spans="1:9" ht="14.25" customHeight="1" x14ac:dyDescent="0.2">
      <c r="A26" s="440"/>
      <c r="B26" s="94"/>
      <c r="C26" s="94"/>
      <c r="D26" s="94"/>
      <c r="E26" s="94"/>
      <c r="F26" s="94"/>
      <c r="G26" s="94"/>
      <c r="H26" s="26" t="s">
        <v>490</v>
      </c>
      <c r="I26" s="96"/>
    </row>
    <row r="27" spans="1:9" ht="14.25" customHeight="1" x14ac:dyDescent="0.2">
      <c r="A27" s="24" t="s">
        <v>476</v>
      </c>
      <c r="B27" s="1"/>
      <c r="C27" s="95">
        <f t="shared" ref="C27:G27" si="2">C22*$K$3+C23*$K$4+C24*$K$5+C25*$K$6</f>
        <v>10500</v>
      </c>
      <c r="D27" s="95">
        <f t="shared" si="2"/>
        <v>34750</v>
      </c>
      <c r="E27" s="95">
        <f t="shared" si="2"/>
        <v>38750</v>
      </c>
      <c r="F27" s="95">
        <f t="shared" si="2"/>
        <v>40250</v>
      </c>
      <c r="G27" s="95">
        <f t="shared" si="2"/>
        <v>40250</v>
      </c>
      <c r="H27" s="26" t="s">
        <v>491</v>
      </c>
      <c r="I27" s="96">
        <f>SUM(C27:G27)</f>
        <v>164500</v>
      </c>
    </row>
    <row r="28" spans="1:9" ht="14.25" customHeight="1" x14ac:dyDescent="0.2">
      <c r="A28" s="1"/>
      <c r="B28" s="1"/>
      <c r="C28" s="1"/>
      <c r="D28" s="1"/>
      <c r="E28" s="1"/>
      <c r="F28" s="1"/>
      <c r="G28" s="1"/>
      <c r="H28" s="26"/>
      <c r="I28" s="96"/>
    </row>
    <row r="29" spans="1:9" ht="14.25" customHeight="1" x14ac:dyDescent="0.2">
      <c r="A29" s="1"/>
      <c r="B29" s="1"/>
      <c r="C29" s="1"/>
      <c r="D29" s="1"/>
      <c r="E29" s="1"/>
      <c r="F29" s="1"/>
      <c r="G29" s="1"/>
      <c r="H29" s="26"/>
      <c r="I29" s="96"/>
    </row>
    <row r="30" spans="1:9" ht="14.25" customHeight="1" x14ac:dyDescent="0.2">
      <c r="A30" s="86" t="s">
        <v>492</v>
      </c>
      <c r="B30" s="87" t="s">
        <v>463</v>
      </c>
      <c r="C30" s="88" t="s">
        <v>464</v>
      </c>
      <c r="D30" s="88" t="s">
        <v>465</v>
      </c>
      <c r="E30" s="88" t="s">
        <v>466</v>
      </c>
      <c r="F30" s="88" t="s">
        <v>467</v>
      </c>
      <c r="G30" s="88" t="s">
        <v>468</v>
      </c>
      <c r="H30" s="26"/>
      <c r="I30" s="96"/>
    </row>
    <row r="31" spans="1:9" ht="14.25" customHeight="1" x14ac:dyDescent="0.2">
      <c r="A31" s="438" t="s">
        <v>493</v>
      </c>
      <c r="B31" s="91" t="s">
        <v>124</v>
      </c>
      <c r="C31" s="91">
        <v>2</v>
      </c>
      <c r="D31" s="91">
        <v>2</v>
      </c>
      <c r="E31" s="91">
        <v>2</v>
      </c>
      <c r="F31" s="91">
        <v>2</v>
      </c>
      <c r="G31" s="91">
        <v>2</v>
      </c>
      <c r="H31" s="26"/>
      <c r="I31" s="96"/>
    </row>
    <row r="32" spans="1:9" ht="14.25" customHeight="1" x14ac:dyDescent="0.2">
      <c r="A32" s="439"/>
      <c r="B32" s="93" t="s">
        <v>472</v>
      </c>
      <c r="C32" s="93"/>
      <c r="D32" s="93"/>
      <c r="E32" s="93"/>
      <c r="F32" s="93"/>
      <c r="G32" s="93"/>
      <c r="H32" s="26"/>
      <c r="I32" s="96"/>
    </row>
    <row r="33" spans="1:9" ht="14.25" customHeight="1" x14ac:dyDescent="0.2">
      <c r="A33" s="439"/>
      <c r="B33" s="93" t="s">
        <v>473</v>
      </c>
      <c r="C33" s="93"/>
      <c r="D33" s="93"/>
      <c r="E33" s="93"/>
      <c r="F33" s="93"/>
      <c r="G33" s="93"/>
      <c r="H33" s="26"/>
      <c r="I33" s="96"/>
    </row>
    <row r="34" spans="1:9" ht="14.25" customHeight="1" x14ac:dyDescent="0.2">
      <c r="A34" s="439"/>
      <c r="B34" s="93" t="s">
        <v>474</v>
      </c>
      <c r="C34" s="93"/>
      <c r="D34" s="93"/>
      <c r="E34" s="93"/>
      <c r="F34" s="93"/>
      <c r="G34" s="93"/>
      <c r="H34" s="26" t="s">
        <v>494</v>
      </c>
      <c r="I34" s="96"/>
    </row>
    <row r="35" spans="1:9" ht="14.25" customHeight="1" x14ac:dyDescent="0.2">
      <c r="A35" s="440"/>
      <c r="B35" s="94"/>
      <c r="C35" s="94"/>
      <c r="D35" s="94"/>
      <c r="E35" s="94"/>
      <c r="F35" s="94"/>
      <c r="G35" s="94"/>
      <c r="H35" s="26"/>
      <c r="I35" s="96"/>
    </row>
    <row r="36" spans="1:9" ht="14.25" customHeight="1" x14ac:dyDescent="0.2">
      <c r="A36" s="24" t="s">
        <v>476</v>
      </c>
      <c r="B36" s="1"/>
      <c r="C36" s="95">
        <f t="shared" ref="C36:G36" si="3">C31*$K$7</f>
        <v>16000</v>
      </c>
      <c r="D36" s="95">
        <f t="shared" si="3"/>
        <v>16000</v>
      </c>
      <c r="E36" s="95">
        <f t="shared" si="3"/>
        <v>16000</v>
      </c>
      <c r="F36" s="95">
        <f t="shared" si="3"/>
        <v>16000</v>
      </c>
      <c r="G36" s="95">
        <f t="shared" si="3"/>
        <v>16000</v>
      </c>
      <c r="H36" s="26"/>
      <c r="I36" s="96">
        <f>SUM(C36:G36)</f>
        <v>80000</v>
      </c>
    </row>
    <row r="37" spans="1:9" ht="14.25" customHeight="1" x14ac:dyDescent="0.2">
      <c r="A37" s="1"/>
      <c r="B37" s="1"/>
      <c r="C37" s="1"/>
      <c r="D37" s="1"/>
      <c r="E37" s="1"/>
      <c r="F37" s="1"/>
      <c r="G37" s="1"/>
      <c r="H37" s="26"/>
      <c r="I37" s="96"/>
    </row>
    <row r="38" spans="1:9" ht="14.25" customHeight="1" x14ac:dyDescent="0.2">
      <c r="A38" s="1"/>
      <c r="B38" s="1"/>
      <c r="C38" s="1"/>
      <c r="D38" s="1"/>
      <c r="E38" s="1"/>
      <c r="F38" s="1"/>
      <c r="G38" s="1"/>
      <c r="H38" s="26"/>
      <c r="I38" s="96"/>
    </row>
    <row r="39" spans="1:9" ht="14.25" customHeight="1" x14ac:dyDescent="0.2">
      <c r="A39" s="86" t="s">
        <v>495</v>
      </c>
      <c r="B39" s="87" t="s">
        <v>463</v>
      </c>
      <c r="C39" s="88" t="s">
        <v>464</v>
      </c>
      <c r="D39" s="100" t="s">
        <v>465</v>
      </c>
      <c r="E39" s="100" t="s">
        <v>466</v>
      </c>
      <c r="F39" s="88" t="s">
        <v>467</v>
      </c>
      <c r="G39" s="101" t="s">
        <v>468</v>
      </c>
      <c r="H39" s="26"/>
      <c r="I39" s="96"/>
    </row>
    <row r="40" spans="1:9" ht="14.25" customHeight="1" x14ac:dyDescent="0.2">
      <c r="A40" s="438" t="s">
        <v>496</v>
      </c>
      <c r="B40" s="91" t="s">
        <v>469</v>
      </c>
      <c r="C40" s="91"/>
      <c r="D40" s="93"/>
      <c r="E40" s="93"/>
      <c r="F40" s="91">
        <v>1</v>
      </c>
      <c r="G40" s="102">
        <v>0.5</v>
      </c>
      <c r="H40" s="103" t="s">
        <v>497</v>
      </c>
      <c r="I40" s="96"/>
    </row>
    <row r="41" spans="1:9" ht="14.25" customHeight="1" x14ac:dyDescent="0.2">
      <c r="A41" s="439"/>
      <c r="B41" s="93" t="s">
        <v>472</v>
      </c>
      <c r="C41" s="93"/>
      <c r="D41" s="93"/>
      <c r="E41" s="93"/>
      <c r="F41" s="93">
        <v>0.5</v>
      </c>
      <c r="G41" s="104">
        <v>0.5</v>
      </c>
      <c r="H41" s="26" t="s">
        <v>498</v>
      </c>
      <c r="I41" s="96"/>
    </row>
    <row r="42" spans="1:9" ht="14.25" customHeight="1" x14ac:dyDescent="0.2">
      <c r="A42" s="439"/>
      <c r="B42" s="93" t="s">
        <v>473</v>
      </c>
      <c r="C42" s="93"/>
      <c r="D42" s="93"/>
      <c r="E42" s="93"/>
      <c r="F42" s="93">
        <v>1</v>
      </c>
      <c r="G42" s="104">
        <v>1</v>
      </c>
      <c r="H42" s="26" t="s">
        <v>499</v>
      </c>
      <c r="I42" s="96"/>
    </row>
    <row r="43" spans="1:9" ht="14.25" customHeight="1" x14ac:dyDescent="0.2">
      <c r="A43" s="439"/>
      <c r="B43" s="93" t="s">
        <v>474</v>
      </c>
      <c r="C43" s="93"/>
      <c r="D43" s="93"/>
      <c r="E43" s="93"/>
      <c r="F43" s="93">
        <v>0.15</v>
      </c>
      <c r="G43" s="104">
        <v>0.15</v>
      </c>
      <c r="H43" s="26" t="s">
        <v>500</v>
      </c>
      <c r="I43" s="96"/>
    </row>
    <row r="44" spans="1:9" ht="14.25" customHeight="1" x14ac:dyDescent="0.2">
      <c r="A44" s="440"/>
      <c r="B44" s="94" t="s">
        <v>124</v>
      </c>
      <c r="C44" s="94"/>
      <c r="D44" s="94"/>
      <c r="E44" s="94"/>
      <c r="F44" s="94">
        <v>0</v>
      </c>
      <c r="G44" s="105">
        <v>0</v>
      </c>
      <c r="H44" s="26" t="s">
        <v>501</v>
      </c>
      <c r="I44" s="96"/>
    </row>
    <row r="45" spans="1:9" ht="14.25" customHeight="1" x14ac:dyDescent="0.2">
      <c r="A45" s="24" t="s">
        <v>476</v>
      </c>
      <c r="B45" s="1"/>
      <c r="C45" s="95">
        <f t="shared" ref="C45:E45" si="4">C40*$K$7</f>
        <v>0</v>
      </c>
      <c r="D45" s="95">
        <f t="shared" si="4"/>
        <v>0</v>
      </c>
      <c r="E45" s="95">
        <f t="shared" si="4"/>
        <v>0</v>
      </c>
      <c r="F45" s="95">
        <f t="shared" ref="F45:G45" si="5">F40*$K$3+F41*$K$4+F42*$K$5+F43*$K$6</f>
        <v>16150</v>
      </c>
      <c r="G45" s="95">
        <f t="shared" si="5"/>
        <v>12900</v>
      </c>
      <c r="H45" s="26"/>
      <c r="I45" s="96">
        <f>SUM(C45:G45)</f>
        <v>29050</v>
      </c>
    </row>
    <row r="46" spans="1:9" ht="14.25" customHeight="1" x14ac:dyDescent="0.2">
      <c r="A46" s="1"/>
      <c r="B46" s="1"/>
      <c r="C46" s="1"/>
      <c r="D46" s="1"/>
      <c r="E46" s="1"/>
      <c r="F46" s="1"/>
      <c r="G46" s="1"/>
      <c r="H46" s="26"/>
      <c r="I46" s="96"/>
    </row>
    <row r="47" spans="1:9" ht="14.25" customHeight="1" x14ac:dyDescent="0.2">
      <c r="A47" s="1"/>
      <c r="B47" s="1"/>
      <c r="C47" s="1"/>
      <c r="D47" s="1"/>
      <c r="E47" s="1"/>
      <c r="F47" s="1"/>
      <c r="G47" s="1"/>
      <c r="H47" s="26"/>
      <c r="I47" s="96"/>
    </row>
    <row r="48" spans="1:9" ht="14.25" customHeight="1" x14ac:dyDescent="0.2">
      <c r="A48" s="24" t="s">
        <v>502</v>
      </c>
      <c r="B48" s="1"/>
      <c r="C48" s="95">
        <f t="shared" ref="C48:G48" si="6">C45+C36+C27+C18+C9</f>
        <v>44250</v>
      </c>
      <c r="D48" s="95">
        <f t="shared" si="6"/>
        <v>65750</v>
      </c>
      <c r="E48" s="95">
        <f t="shared" si="6"/>
        <v>71000</v>
      </c>
      <c r="F48" s="95">
        <f t="shared" si="6"/>
        <v>88650</v>
      </c>
      <c r="G48" s="95">
        <f t="shared" si="6"/>
        <v>85400</v>
      </c>
      <c r="H48" s="106"/>
      <c r="I48" s="96">
        <f>SUM(C48:G48)</f>
        <v>355050</v>
      </c>
    </row>
    <row r="49" spans="1:9" ht="14.25" customHeight="1" x14ac:dyDescent="0.2">
      <c r="A49" s="1"/>
      <c r="B49" s="1"/>
      <c r="C49" s="1"/>
      <c r="D49" s="1"/>
      <c r="E49" s="1"/>
      <c r="F49" s="90">
        <f t="shared" ref="F49:G49" si="7">F48-F45</f>
        <v>72500</v>
      </c>
      <c r="G49" s="90">
        <f t="shared" si="7"/>
        <v>72500</v>
      </c>
      <c r="H49" s="1"/>
      <c r="I49" s="107"/>
    </row>
    <row r="50" spans="1:9" ht="14.25" customHeight="1" x14ac:dyDescent="0.2">
      <c r="A50" s="1"/>
      <c r="B50" s="1"/>
      <c r="C50" s="1"/>
      <c r="D50" s="1"/>
      <c r="E50" s="1"/>
      <c r="F50" s="1"/>
      <c r="G50" s="1"/>
      <c r="H50" s="26"/>
      <c r="I50" s="85"/>
    </row>
    <row r="51" spans="1:9" ht="14.25" customHeight="1" x14ac:dyDescent="0.2">
      <c r="A51" s="1"/>
      <c r="B51" s="1"/>
      <c r="C51" s="1">
        <v>56000</v>
      </c>
      <c r="D51" s="1">
        <f>470000-326000</f>
        <v>144000</v>
      </c>
      <c r="E51" s="90">
        <f>E48/4</f>
        <v>17750</v>
      </c>
      <c r="F51" s="90">
        <f>F48/4</f>
        <v>22162.5</v>
      </c>
      <c r="G51" s="90">
        <f>G48/4</f>
        <v>21350</v>
      </c>
      <c r="H51" s="26"/>
      <c r="I51" s="85"/>
    </row>
    <row r="52" spans="1:9" ht="14.25" customHeight="1" x14ac:dyDescent="0.2">
      <c r="A52" s="1"/>
      <c r="B52" s="1"/>
      <c r="C52" s="1"/>
      <c r="D52" s="1"/>
      <c r="E52" s="1"/>
      <c r="F52" s="1"/>
      <c r="G52" s="1"/>
      <c r="H52" s="26"/>
      <c r="I52" s="85"/>
    </row>
    <row r="53" spans="1:9" ht="14.25" customHeight="1" x14ac:dyDescent="0.2">
      <c r="A53" s="1"/>
      <c r="B53" s="1"/>
      <c r="C53" s="1"/>
      <c r="D53" s="1"/>
      <c r="E53" s="1"/>
      <c r="F53" s="1"/>
      <c r="G53" s="1"/>
      <c r="H53" s="26"/>
      <c r="I53" s="85"/>
    </row>
    <row r="54" spans="1:9" ht="14.25" customHeight="1" x14ac:dyDescent="0.2">
      <c r="A54" s="1"/>
      <c r="B54" s="1"/>
      <c r="C54" s="1"/>
      <c r="D54" s="1"/>
      <c r="E54" s="1"/>
      <c r="F54" s="1"/>
      <c r="G54" s="1"/>
      <c r="H54" s="26"/>
      <c r="I54" s="85"/>
    </row>
    <row r="55" spans="1:9" ht="14.25" customHeight="1" x14ac:dyDescent="0.2">
      <c r="A55" s="1"/>
      <c r="B55" s="1"/>
      <c r="C55" s="1"/>
      <c r="D55" s="1"/>
      <c r="E55" s="1"/>
      <c r="F55" s="1"/>
      <c r="G55" s="1"/>
      <c r="H55" s="26"/>
      <c r="I55" s="85"/>
    </row>
    <row r="56" spans="1:9" ht="14.25" customHeight="1" x14ac:dyDescent="0.2">
      <c r="A56" s="1"/>
      <c r="B56" s="1"/>
      <c r="C56" s="1"/>
      <c r="D56" s="1"/>
      <c r="E56" s="1"/>
      <c r="F56" s="1"/>
      <c r="G56" s="1"/>
      <c r="H56" s="26"/>
      <c r="I56" s="85"/>
    </row>
    <row r="57" spans="1:9" ht="14.25" customHeight="1" x14ac:dyDescent="0.2">
      <c r="A57" s="1"/>
      <c r="B57" s="1"/>
      <c r="C57" s="1"/>
      <c r="D57" s="1"/>
      <c r="E57" s="1"/>
      <c r="F57" s="1"/>
      <c r="G57" s="1"/>
      <c r="H57" s="26"/>
      <c r="I57" s="85"/>
    </row>
    <row r="58" spans="1:9" ht="14.25" customHeight="1" x14ac:dyDescent="0.2">
      <c r="A58" s="1"/>
      <c r="B58" s="1"/>
      <c r="C58" s="1"/>
      <c r="D58" s="1"/>
      <c r="E58" s="1"/>
      <c r="F58" s="1"/>
      <c r="G58" s="1"/>
      <c r="H58" s="26"/>
      <c r="I58" s="85"/>
    </row>
    <row r="59" spans="1:9" ht="14.25" customHeight="1" x14ac:dyDescent="0.2">
      <c r="A59" s="1"/>
      <c r="B59" s="1"/>
      <c r="C59" s="1"/>
      <c r="D59" s="1"/>
      <c r="E59" s="1"/>
      <c r="F59" s="1"/>
      <c r="G59" s="1"/>
      <c r="H59" s="26"/>
      <c r="I59" s="85"/>
    </row>
    <row r="60" spans="1:9" ht="14.25" customHeight="1" x14ac:dyDescent="0.2">
      <c r="A60" s="1"/>
      <c r="B60" s="1"/>
      <c r="C60" s="1"/>
      <c r="D60" s="1"/>
      <c r="E60" s="1"/>
      <c r="F60" s="1"/>
      <c r="G60" s="1"/>
      <c r="H60" s="26"/>
      <c r="I60" s="85"/>
    </row>
    <row r="61" spans="1:9" ht="14.25" customHeight="1" x14ac:dyDescent="0.2">
      <c r="A61" s="1"/>
      <c r="B61" s="1"/>
      <c r="C61" s="1"/>
      <c r="D61" s="1"/>
      <c r="E61" s="1"/>
      <c r="F61" s="1"/>
      <c r="G61" s="1"/>
      <c r="H61" s="26"/>
      <c r="I61" s="85"/>
    </row>
    <row r="62" spans="1:9" ht="14.25" customHeight="1" x14ac:dyDescent="0.2">
      <c r="A62" s="1"/>
      <c r="B62" s="1"/>
      <c r="C62" s="1"/>
      <c r="D62" s="1"/>
      <c r="E62" s="1"/>
      <c r="F62" s="1"/>
      <c r="G62" s="1"/>
      <c r="H62" s="26"/>
      <c r="I62" s="85"/>
    </row>
    <row r="63" spans="1:9" ht="14.25" customHeight="1" x14ac:dyDescent="0.2">
      <c r="A63" s="1"/>
      <c r="B63" s="1"/>
      <c r="C63" s="1"/>
      <c r="D63" s="1"/>
      <c r="E63" s="1"/>
      <c r="F63" s="1"/>
      <c r="G63" s="1"/>
      <c r="H63" s="26"/>
      <c r="I63" s="85"/>
    </row>
    <row r="64" spans="1:9" ht="14.25" customHeight="1" x14ac:dyDescent="0.2">
      <c r="A64" s="1"/>
      <c r="B64" s="1"/>
      <c r="C64" s="1"/>
      <c r="D64" s="1"/>
      <c r="E64" s="1"/>
      <c r="F64" s="1"/>
      <c r="G64" s="1"/>
      <c r="H64" s="26"/>
      <c r="I64" s="85"/>
    </row>
    <row r="65" spans="1:9" ht="14.25" customHeight="1" x14ac:dyDescent="0.2">
      <c r="A65" s="1"/>
      <c r="B65" s="1"/>
      <c r="C65" s="1"/>
      <c r="D65" s="1"/>
      <c r="E65" s="1"/>
      <c r="F65" s="1"/>
      <c r="G65" s="1"/>
      <c r="H65" s="26"/>
      <c r="I65" s="85"/>
    </row>
    <row r="66" spans="1:9" ht="14.25" customHeight="1" x14ac:dyDescent="0.2">
      <c r="A66" s="1"/>
      <c r="B66" s="1"/>
      <c r="C66" s="1"/>
      <c r="D66" s="1"/>
      <c r="E66" s="1"/>
      <c r="F66" s="1"/>
      <c r="G66" s="1"/>
      <c r="H66" s="26"/>
      <c r="I66" s="85"/>
    </row>
    <row r="67" spans="1:9" ht="14.25" customHeight="1" x14ac:dyDescent="0.2">
      <c r="A67" s="1"/>
      <c r="B67" s="1"/>
      <c r="C67" s="1"/>
      <c r="D67" s="1"/>
      <c r="E67" s="1"/>
      <c r="F67" s="1"/>
      <c r="G67" s="1"/>
      <c r="H67" s="26"/>
      <c r="I67" s="85"/>
    </row>
    <row r="68" spans="1:9" ht="14.25" customHeight="1" x14ac:dyDescent="0.2">
      <c r="A68" s="1"/>
      <c r="B68" s="1"/>
      <c r="C68" s="1"/>
      <c r="D68" s="1"/>
      <c r="E68" s="1"/>
      <c r="F68" s="1"/>
      <c r="G68" s="1"/>
      <c r="H68" s="26"/>
      <c r="I68" s="85"/>
    </row>
    <row r="69" spans="1:9" ht="14.25" customHeight="1" x14ac:dyDescent="0.2">
      <c r="A69" s="1"/>
      <c r="B69" s="1"/>
      <c r="C69" s="1"/>
      <c r="D69" s="1"/>
      <c r="E69" s="1"/>
      <c r="F69" s="1"/>
      <c r="G69" s="1"/>
      <c r="H69" s="26"/>
      <c r="I69" s="85"/>
    </row>
    <row r="70" spans="1:9" ht="14.25" customHeight="1" x14ac:dyDescent="0.2">
      <c r="A70" s="1"/>
      <c r="B70" s="1"/>
      <c r="C70" s="1"/>
      <c r="D70" s="1"/>
      <c r="E70" s="1"/>
      <c r="F70" s="1"/>
      <c r="G70" s="1"/>
      <c r="H70" s="26"/>
      <c r="I70" s="85"/>
    </row>
    <row r="71" spans="1:9" ht="14.25" customHeight="1" x14ac:dyDescent="0.2">
      <c r="A71" s="1"/>
      <c r="B71" s="1"/>
      <c r="C71" s="1"/>
      <c r="D71" s="1"/>
      <c r="E71" s="1"/>
      <c r="F71" s="1"/>
      <c r="G71" s="1"/>
      <c r="H71" s="26"/>
      <c r="I71" s="85"/>
    </row>
    <row r="72" spans="1:9" ht="14.25" customHeight="1" x14ac:dyDescent="0.2">
      <c r="A72" s="1"/>
      <c r="B72" s="1"/>
      <c r="C72" s="1"/>
      <c r="D72" s="1"/>
      <c r="E72" s="1"/>
      <c r="F72" s="1"/>
      <c r="G72" s="1"/>
      <c r="H72" s="26"/>
      <c r="I72" s="85"/>
    </row>
    <row r="73" spans="1:9" ht="14.25" customHeight="1" x14ac:dyDescent="0.2">
      <c r="A73" s="1"/>
      <c r="B73" s="1"/>
      <c r="C73" s="1"/>
      <c r="D73" s="1"/>
      <c r="E73" s="1"/>
      <c r="F73" s="1"/>
      <c r="G73" s="1"/>
      <c r="H73" s="26"/>
      <c r="I73" s="85"/>
    </row>
    <row r="74" spans="1:9" ht="14.25" customHeight="1" x14ac:dyDescent="0.2">
      <c r="A74" s="1"/>
      <c r="B74" s="1"/>
      <c r="C74" s="1"/>
      <c r="D74" s="1"/>
      <c r="E74" s="1"/>
      <c r="F74" s="1"/>
      <c r="G74" s="1"/>
      <c r="H74" s="26"/>
      <c r="I74" s="85"/>
    </row>
    <row r="75" spans="1:9" ht="14.25" customHeight="1" x14ac:dyDescent="0.2">
      <c r="A75" s="1"/>
      <c r="B75" s="1"/>
      <c r="C75" s="1"/>
      <c r="D75" s="1"/>
      <c r="E75" s="1"/>
      <c r="F75" s="1"/>
      <c r="G75" s="1"/>
      <c r="H75" s="26"/>
      <c r="I75" s="85"/>
    </row>
    <row r="76" spans="1:9" ht="14.25" customHeight="1" x14ac:dyDescent="0.2">
      <c r="A76" s="1"/>
      <c r="B76" s="1"/>
      <c r="C76" s="1"/>
      <c r="D76" s="1"/>
      <c r="E76" s="1"/>
      <c r="F76" s="1"/>
      <c r="G76" s="1"/>
      <c r="H76" s="26"/>
      <c r="I76" s="85"/>
    </row>
    <row r="77" spans="1:9" ht="14.25" customHeight="1" x14ac:dyDescent="0.2">
      <c r="A77" s="1"/>
      <c r="B77" s="1"/>
      <c r="C77" s="1"/>
      <c r="D77" s="1"/>
      <c r="E77" s="1"/>
      <c r="F77" s="1"/>
      <c r="G77" s="1"/>
      <c r="H77" s="26"/>
      <c r="I77" s="85"/>
    </row>
    <row r="78" spans="1:9" ht="14.25" customHeight="1" x14ac:dyDescent="0.2">
      <c r="A78" s="1"/>
      <c r="B78" s="1"/>
      <c r="C78" s="1"/>
      <c r="D78" s="1"/>
      <c r="E78" s="1"/>
      <c r="F78" s="1"/>
      <c r="G78" s="1"/>
      <c r="H78" s="26"/>
      <c r="I78" s="85"/>
    </row>
    <row r="79" spans="1:9" ht="14.25" customHeight="1" x14ac:dyDescent="0.2">
      <c r="A79" s="1"/>
      <c r="B79" s="1"/>
      <c r="C79" s="1"/>
      <c r="D79" s="1"/>
      <c r="E79" s="1"/>
      <c r="F79" s="1"/>
      <c r="G79" s="1"/>
      <c r="H79" s="26"/>
      <c r="I79" s="85"/>
    </row>
    <row r="80" spans="1:9" ht="14.25" customHeight="1" x14ac:dyDescent="0.2">
      <c r="A80" s="1"/>
      <c r="B80" s="1"/>
      <c r="C80" s="1"/>
      <c r="D80" s="1"/>
      <c r="E80" s="1"/>
      <c r="F80" s="1"/>
      <c r="G80" s="1"/>
      <c r="H80" s="26"/>
      <c r="I80" s="85"/>
    </row>
    <row r="81" spans="1:9" ht="14.25" customHeight="1" x14ac:dyDescent="0.2">
      <c r="A81" s="1"/>
      <c r="B81" s="1"/>
      <c r="C81" s="1"/>
      <c r="D81" s="1"/>
      <c r="E81" s="1"/>
      <c r="F81" s="1"/>
      <c r="G81" s="1"/>
      <c r="H81" s="26"/>
      <c r="I81" s="85"/>
    </row>
    <row r="82" spans="1:9" ht="14.25" customHeight="1" x14ac:dyDescent="0.2">
      <c r="A82" s="1"/>
      <c r="B82" s="1"/>
      <c r="C82" s="1"/>
      <c r="D82" s="1"/>
      <c r="E82" s="1"/>
      <c r="F82" s="1"/>
      <c r="G82" s="1"/>
      <c r="H82" s="26"/>
      <c r="I82" s="85"/>
    </row>
    <row r="83" spans="1:9" ht="14.25" customHeight="1" x14ac:dyDescent="0.2">
      <c r="A83" s="1"/>
      <c r="B83" s="1"/>
      <c r="C83" s="1"/>
      <c r="D83" s="1"/>
      <c r="E83" s="1"/>
      <c r="F83" s="1"/>
      <c r="G83" s="1"/>
      <c r="H83" s="26"/>
      <c r="I83" s="85"/>
    </row>
    <row r="84" spans="1:9" ht="14.25" customHeight="1" x14ac:dyDescent="0.2">
      <c r="A84" s="1"/>
      <c r="B84" s="1"/>
      <c r="C84" s="1"/>
      <c r="D84" s="1"/>
      <c r="E84" s="1"/>
      <c r="F84" s="1"/>
      <c r="G84" s="1"/>
      <c r="H84" s="26"/>
      <c r="I84" s="85"/>
    </row>
    <row r="85" spans="1:9" ht="14.25" customHeight="1" x14ac:dyDescent="0.2">
      <c r="A85" s="1"/>
      <c r="B85" s="1"/>
      <c r="C85" s="1"/>
      <c r="D85" s="1"/>
      <c r="E85" s="1"/>
      <c r="F85" s="1"/>
      <c r="G85" s="1"/>
      <c r="H85" s="26"/>
      <c r="I85" s="85"/>
    </row>
    <row r="86" spans="1:9" ht="14.25" customHeight="1" x14ac:dyDescent="0.2">
      <c r="A86" s="1"/>
      <c r="B86" s="1"/>
      <c r="C86" s="1"/>
      <c r="D86" s="1"/>
      <c r="E86" s="1"/>
      <c r="F86" s="1"/>
      <c r="G86" s="1"/>
      <c r="H86" s="26"/>
      <c r="I86" s="85"/>
    </row>
    <row r="87" spans="1:9" ht="14.25" customHeight="1" x14ac:dyDescent="0.2">
      <c r="A87" s="1"/>
      <c r="B87" s="1"/>
      <c r="C87" s="1"/>
      <c r="D87" s="1"/>
      <c r="E87" s="1"/>
      <c r="F87" s="1"/>
      <c r="G87" s="1"/>
      <c r="H87" s="26"/>
      <c r="I87" s="85"/>
    </row>
    <row r="88" spans="1:9" ht="14.25" customHeight="1" x14ac:dyDescent="0.2">
      <c r="A88" s="1"/>
      <c r="B88" s="1"/>
      <c r="C88" s="1"/>
      <c r="D88" s="1"/>
      <c r="E88" s="1"/>
      <c r="F88" s="1"/>
      <c r="G88" s="1"/>
      <c r="H88" s="26"/>
      <c r="I88" s="85"/>
    </row>
    <row r="89" spans="1:9" ht="14.25" customHeight="1" x14ac:dyDescent="0.2">
      <c r="A89" s="1"/>
      <c r="B89" s="1"/>
      <c r="C89" s="1"/>
      <c r="D89" s="1"/>
      <c r="E89" s="1"/>
      <c r="F89" s="1"/>
      <c r="G89" s="1"/>
      <c r="H89" s="26"/>
      <c r="I89" s="85"/>
    </row>
    <row r="90" spans="1:9" ht="14.25" customHeight="1" x14ac:dyDescent="0.2">
      <c r="A90" s="1"/>
      <c r="B90" s="1"/>
      <c r="C90" s="1"/>
      <c r="D90" s="1"/>
      <c r="E90" s="1"/>
      <c r="F90" s="1"/>
      <c r="G90" s="1"/>
      <c r="H90" s="26"/>
      <c r="I90" s="85"/>
    </row>
    <row r="91" spans="1:9" ht="14.25" customHeight="1" x14ac:dyDescent="0.2">
      <c r="A91" s="1"/>
      <c r="B91" s="1"/>
      <c r="C91" s="1"/>
      <c r="D91" s="1"/>
      <c r="E91" s="1"/>
      <c r="F91" s="1"/>
      <c r="G91" s="1"/>
      <c r="H91" s="26"/>
      <c r="I91" s="85"/>
    </row>
    <row r="92" spans="1:9" ht="14.25" customHeight="1" x14ac:dyDescent="0.2">
      <c r="A92" s="1"/>
      <c r="B92" s="1"/>
      <c r="C92" s="1"/>
      <c r="D92" s="1"/>
      <c r="E92" s="1"/>
      <c r="F92" s="1"/>
      <c r="G92" s="1"/>
      <c r="H92" s="26"/>
      <c r="I92" s="85"/>
    </row>
    <row r="93" spans="1:9" ht="14.25" customHeight="1" x14ac:dyDescent="0.2">
      <c r="A93" s="1"/>
      <c r="B93" s="1"/>
      <c r="C93" s="1"/>
      <c r="D93" s="1"/>
      <c r="E93" s="1"/>
      <c r="F93" s="1"/>
      <c r="G93" s="1"/>
      <c r="H93" s="26"/>
      <c r="I93" s="85"/>
    </row>
    <row r="94" spans="1:9" ht="14.25" customHeight="1" x14ac:dyDescent="0.2">
      <c r="A94" s="1"/>
      <c r="B94" s="1"/>
      <c r="C94" s="1"/>
      <c r="D94" s="1"/>
      <c r="E94" s="1"/>
      <c r="F94" s="1"/>
      <c r="G94" s="1"/>
      <c r="H94" s="26"/>
      <c r="I94" s="85"/>
    </row>
    <row r="95" spans="1:9" ht="14.25" customHeight="1" x14ac:dyDescent="0.2">
      <c r="A95" s="1"/>
      <c r="B95" s="1"/>
      <c r="C95" s="1"/>
      <c r="D95" s="1"/>
      <c r="E95" s="1"/>
      <c r="F95" s="1"/>
      <c r="G95" s="1"/>
      <c r="H95" s="26"/>
      <c r="I95" s="85"/>
    </row>
    <row r="96" spans="1:9" ht="14.25" customHeight="1" x14ac:dyDescent="0.2">
      <c r="A96" s="1"/>
      <c r="B96" s="1"/>
      <c r="C96" s="1"/>
      <c r="D96" s="1"/>
      <c r="E96" s="1"/>
      <c r="F96" s="1"/>
      <c r="G96" s="1"/>
      <c r="H96" s="26"/>
      <c r="I96" s="85"/>
    </row>
    <row r="97" spans="1:9" ht="14.25" customHeight="1" x14ac:dyDescent="0.2">
      <c r="A97" s="1"/>
      <c r="B97" s="1"/>
      <c r="C97" s="1"/>
      <c r="D97" s="1"/>
      <c r="E97" s="1"/>
      <c r="F97" s="1"/>
      <c r="G97" s="1"/>
      <c r="H97" s="26"/>
      <c r="I97" s="85"/>
    </row>
    <row r="98" spans="1:9" ht="14.25" customHeight="1" x14ac:dyDescent="0.2">
      <c r="A98" s="1"/>
      <c r="B98" s="1"/>
      <c r="C98" s="1"/>
      <c r="D98" s="1"/>
      <c r="E98" s="1"/>
      <c r="F98" s="1"/>
      <c r="G98" s="1"/>
      <c r="H98" s="26"/>
      <c r="I98" s="85"/>
    </row>
    <row r="99" spans="1:9" ht="14.25" customHeight="1" x14ac:dyDescent="0.2">
      <c r="A99" s="1"/>
      <c r="B99" s="1"/>
      <c r="C99" s="1"/>
      <c r="D99" s="1"/>
      <c r="E99" s="1"/>
      <c r="F99" s="1"/>
      <c r="G99" s="1"/>
      <c r="H99" s="26"/>
      <c r="I99" s="85"/>
    </row>
    <row r="100" spans="1:9" ht="14.25" customHeight="1" x14ac:dyDescent="0.2">
      <c r="A100" s="1"/>
      <c r="B100" s="1"/>
      <c r="C100" s="1"/>
      <c r="D100" s="1"/>
      <c r="E100" s="1"/>
      <c r="F100" s="1"/>
      <c r="G100" s="1"/>
      <c r="H100" s="26"/>
      <c r="I100" s="85"/>
    </row>
    <row r="101" spans="1:9" ht="14.25" customHeight="1" x14ac:dyDescent="0.2">
      <c r="A101" s="1"/>
      <c r="B101" s="1"/>
      <c r="C101" s="1"/>
      <c r="D101" s="1"/>
      <c r="E101" s="1"/>
      <c r="F101" s="1"/>
      <c r="G101" s="1"/>
      <c r="H101" s="26"/>
      <c r="I101" s="85"/>
    </row>
    <row r="102" spans="1:9" ht="14.25" customHeight="1" x14ac:dyDescent="0.2">
      <c r="A102" s="1"/>
      <c r="B102" s="1"/>
      <c r="C102" s="1"/>
      <c r="D102" s="1"/>
      <c r="E102" s="1"/>
      <c r="F102" s="1"/>
      <c r="G102" s="1"/>
      <c r="H102" s="26"/>
      <c r="I102" s="85"/>
    </row>
    <row r="103" spans="1:9" ht="14.25" customHeight="1" x14ac:dyDescent="0.2">
      <c r="A103" s="1"/>
      <c r="B103" s="1"/>
      <c r="C103" s="1"/>
      <c r="D103" s="1"/>
      <c r="E103" s="1"/>
      <c r="F103" s="1"/>
      <c r="G103" s="1"/>
      <c r="H103" s="26"/>
      <c r="I103" s="85"/>
    </row>
    <row r="104" spans="1:9" ht="14.25" customHeight="1" x14ac:dyDescent="0.2">
      <c r="A104" s="1"/>
      <c r="B104" s="1"/>
      <c r="C104" s="1"/>
      <c r="D104" s="1"/>
      <c r="E104" s="1"/>
      <c r="F104" s="1"/>
      <c r="G104" s="1"/>
      <c r="H104" s="26"/>
      <c r="I104" s="85"/>
    </row>
    <row r="105" spans="1:9" ht="14.25" customHeight="1" x14ac:dyDescent="0.2">
      <c r="A105" s="1"/>
      <c r="B105" s="1"/>
      <c r="C105" s="1"/>
      <c r="D105" s="1"/>
      <c r="E105" s="1"/>
      <c r="F105" s="1"/>
      <c r="G105" s="1"/>
      <c r="H105" s="26"/>
      <c r="I105" s="85"/>
    </row>
    <row r="106" spans="1:9" ht="14.25" customHeight="1" x14ac:dyDescent="0.2">
      <c r="A106" s="1"/>
      <c r="B106" s="1"/>
      <c r="C106" s="1"/>
      <c r="D106" s="1"/>
      <c r="E106" s="1"/>
      <c r="F106" s="1"/>
      <c r="G106" s="1"/>
      <c r="H106" s="26"/>
      <c r="I106" s="85"/>
    </row>
    <row r="107" spans="1:9" ht="14.25" customHeight="1" x14ac:dyDescent="0.2">
      <c r="A107" s="1"/>
      <c r="B107" s="1"/>
      <c r="C107" s="1"/>
      <c r="D107" s="1"/>
      <c r="E107" s="1"/>
      <c r="F107" s="1"/>
      <c r="G107" s="1"/>
      <c r="H107" s="26"/>
      <c r="I107" s="85"/>
    </row>
    <row r="108" spans="1:9" ht="14.25" customHeight="1" x14ac:dyDescent="0.2">
      <c r="A108" s="1"/>
      <c r="B108" s="1"/>
      <c r="C108" s="1"/>
      <c r="D108" s="1"/>
      <c r="E108" s="1"/>
      <c r="F108" s="1"/>
      <c r="G108" s="1"/>
      <c r="H108" s="26"/>
      <c r="I108" s="85"/>
    </row>
    <row r="109" spans="1:9" ht="14.25" customHeight="1" x14ac:dyDescent="0.2">
      <c r="A109" s="1"/>
      <c r="B109" s="1"/>
      <c r="C109" s="1"/>
      <c r="D109" s="1"/>
      <c r="E109" s="1"/>
      <c r="F109" s="1"/>
      <c r="G109" s="1"/>
      <c r="H109" s="26"/>
      <c r="I109" s="85"/>
    </row>
    <row r="110" spans="1:9" ht="14.25" customHeight="1" x14ac:dyDescent="0.2">
      <c r="A110" s="1"/>
      <c r="B110" s="1"/>
      <c r="C110" s="1"/>
      <c r="D110" s="1"/>
      <c r="E110" s="1"/>
      <c r="F110" s="1"/>
      <c r="G110" s="1"/>
      <c r="H110" s="26"/>
      <c r="I110" s="85"/>
    </row>
    <row r="111" spans="1:9" ht="14.25" customHeight="1" x14ac:dyDescent="0.2">
      <c r="A111" s="1"/>
      <c r="B111" s="1"/>
      <c r="C111" s="1"/>
      <c r="D111" s="1"/>
      <c r="E111" s="1"/>
      <c r="F111" s="1"/>
      <c r="G111" s="1"/>
      <c r="H111" s="26"/>
      <c r="I111" s="85"/>
    </row>
    <row r="112" spans="1:9" ht="14.25" customHeight="1" x14ac:dyDescent="0.2">
      <c r="A112" s="1"/>
      <c r="B112" s="1"/>
      <c r="C112" s="1"/>
      <c r="D112" s="1"/>
      <c r="E112" s="1"/>
      <c r="F112" s="1"/>
      <c r="G112" s="1"/>
      <c r="H112" s="26"/>
      <c r="I112" s="85"/>
    </row>
    <row r="113" spans="1:9" ht="14.25" customHeight="1" x14ac:dyDescent="0.2">
      <c r="A113" s="1"/>
      <c r="B113" s="1"/>
      <c r="C113" s="1"/>
      <c r="D113" s="1"/>
      <c r="E113" s="1"/>
      <c r="F113" s="1"/>
      <c r="G113" s="1"/>
      <c r="H113" s="26"/>
      <c r="I113" s="85"/>
    </row>
    <row r="114" spans="1:9" ht="14.25" customHeight="1" x14ac:dyDescent="0.2">
      <c r="A114" s="1"/>
      <c r="B114" s="1"/>
      <c r="C114" s="1"/>
      <c r="D114" s="1"/>
      <c r="E114" s="1"/>
      <c r="F114" s="1"/>
      <c r="G114" s="1"/>
      <c r="H114" s="26"/>
      <c r="I114" s="85"/>
    </row>
    <row r="115" spans="1:9" ht="14.25" customHeight="1" x14ac:dyDescent="0.2">
      <c r="A115" s="1"/>
      <c r="B115" s="1"/>
      <c r="C115" s="1"/>
      <c r="D115" s="1"/>
      <c r="E115" s="1"/>
      <c r="F115" s="1"/>
      <c r="G115" s="1"/>
      <c r="H115" s="26"/>
      <c r="I115" s="85"/>
    </row>
    <row r="116" spans="1:9" ht="14.25" customHeight="1" x14ac:dyDescent="0.2">
      <c r="A116" s="1"/>
      <c r="B116" s="1"/>
      <c r="C116" s="1"/>
      <c r="D116" s="1"/>
      <c r="E116" s="1"/>
      <c r="F116" s="1"/>
      <c r="G116" s="1"/>
      <c r="H116" s="26"/>
      <c r="I116" s="85"/>
    </row>
    <row r="117" spans="1:9" ht="14.25" customHeight="1" x14ac:dyDescent="0.2">
      <c r="A117" s="1"/>
      <c r="B117" s="1"/>
      <c r="C117" s="1"/>
      <c r="D117" s="1"/>
      <c r="E117" s="1"/>
      <c r="F117" s="1"/>
      <c r="G117" s="1"/>
      <c r="H117" s="26"/>
      <c r="I117" s="85"/>
    </row>
    <row r="118" spans="1:9" ht="14.25" customHeight="1" x14ac:dyDescent="0.2">
      <c r="A118" s="1"/>
      <c r="B118" s="1"/>
      <c r="C118" s="1"/>
      <c r="D118" s="1"/>
      <c r="E118" s="1"/>
      <c r="F118" s="1"/>
      <c r="G118" s="1"/>
      <c r="H118" s="26"/>
      <c r="I118" s="85"/>
    </row>
    <row r="119" spans="1:9" ht="14.25" customHeight="1" x14ac:dyDescent="0.2">
      <c r="A119" s="1"/>
      <c r="B119" s="1"/>
      <c r="C119" s="1"/>
      <c r="D119" s="1"/>
      <c r="E119" s="1"/>
      <c r="F119" s="1"/>
      <c r="G119" s="1"/>
      <c r="H119" s="26"/>
      <c r="I119" s="85"/>
    </row>
    <row r="120" spans="1:9" ht="14.25" customHeight="1" x14ac:dyDescent="0.2">
      <c r="A120" s="1"/>
      <c r="B120" s="1"/>
      <c r="C120" s="1"/>
      <c r="D120" s="1"/>
      <c r="E120" s="1"/>
      <c r="F120" s="1"/>
      <c r="G120" s="1"/>
      <c r="H120" s="26"/>
      <c r="I120" s="85"/>
    </row>
    <row r="121" spans="1:9" ht="14.25" customHeight="1" x14ac:dyDescent="0.2">
      <c r="A121" s="1"/>
      <c r="B121" s="1"/>
      <c r="C121" s="1"/>
      <c r="D121" s="1"/>
      <c r="E121" s="1"/>
      <c r="F121" s="1"/>
      <c r="G121" s="1"/>
      <c r="H121" s="26"/>
      <c r="I121" s="85"/>
    </row>
    <row r="122" spans="1:9" ht="14.25" customHeight="1" x14ac:dyDescent="0.2">
      <c r="A122" s="1"/>
      <c r="B122" s="1"/>
      <c r="C122" s="1"/>
      <c r="D122" s="1"/>
      <c r="E122" s="1"/>
      <c r="F122" s="1"/>
      <c r="G122" s="1"/>
      <c r="H122" s="26"/>
      <c r="I122" s="85"/>
    </row>
    <row r="123" spans="1:9" ht="14.25" customHeight="1" x14ac:dyDescent="0.2">
      <c r="A123" s="1"/>
      <c r="B123" s="1"/>
      <c r="C123" s="1"/>
      <c r="D123" s="1"/>
      <c r="E123" s="1"/>
      <c r="F123" s="1"/>
      <c r="G123" s="1"/>
      <c r="H123" s="26"/>
      <c r="I123" s="85"/>
    </row>
    <row r="124" spans="1:9" ht="14.25" customHeight="1" x14ac:dyDescent="0.2">
      <c r="A124" s="1"/>
      <c r="B124" s="1"/>
      <c r="C124" s="1"/>
      <c r="D124" s="1"/>
      <c r="E124" s="1"/>
      <c r="F124" s="1"/>
      <c r="G124" s="1"/>
      <c r="H124" s="26"/>
      <c r="I124" s="85"/>
    </row>
    <row r="125" spans="1:9" ht="14.25" customHeight="1" x14ac:dyDescent="0.2">
      <c r="A125" s="1"/>
      <c r="B125" s="1"/>
      <c r="C125" s="1"/>
      <c r="D125" s="1"/>
      <c r="E125" s="1"/>
      <c r="F125" s="1"/>
      <c r="G125" s="1"/>
      <c r="H125" s="26"/>
      <c r="I125" s="85"/>
    </row>
    <row r="126" spans="1:9" ht="14.25" customHeight="1" x14ac:dyDescent="0.2">
      <c r="A126" s="1"/>
      <c r="B126" s="1"/>
      <c r="C126" s="1"/>
      <c r="D126" s="1"/>
      <c r="E126" s="1"/>
      <c r="F126" s="1"/>
      <c r="G126" s="1"/>
      <c r="H126" s="26"/>
      <c r="I126" s="85"/>
    </row>
    <row r="127" spans="1:9" ht="14.25" customHeight="1" x14ac:dyDescent="0.2">
      <c r="A127" s="1"/>
      <c r="B127" s="1"/>
      <c r="C127" s="1"/>
      <c r="D127" s="1"/>
      <c r="E127" s="1"/>
      <c r="F127" s="1"/>
      <c r="G127" s="1"/>
      <c r="H127" s="26"/>
      <c r="I127" s="85"/>
    </row>
    <row r="128" spans="1:9" ht="14.25" customHeight="1" x14ac:dyDescent="0.2">
      <c r="A128" s="1"/>
      <c r="B128" s="1"/>
      <c r="C128" s="1"/>
      <c r="D128" s="1"/>
      <c r="E128" s="1"/>
      <c r="F128" s="1"/>
      <c r="G128" s="1"/>
      <c r="H128" s="26"/>
      <c r="I128" s="85"/>
    </row>
    <row r="129" spans="1:9" ht="14.25" customHeight="1" x14ac:dyDescent="0.2">
      <c r="A129" s="1"/>
      <c r="B129" s="1"/>
      <c r="C129" s="1"/>
      <c r="D129" s="1"/>
      <c r="E129" s="1"/>
      <c r="F129" s="1"/>
      <c r="G129" s="1"/>
      <c r="H129" s="26"/>
      <c r="I129" s="85"/>
    </row>
    <row r="130" spans="1:9" ht="14.25" customHeight="1" x14ac:dyDescent="0.2">
      <c r="A130" s="1"/>
      <c r="B130" s="1"/>
      <c r="C130" s="1"/>
      <c r="D130" s="1"/>
      <c r="E130" s="1"/>
      <c r="F130" s="1"/>
      <c r="G130" s="1"/>
      <c r="H130" s="26"/>
      <c r="I130" s="85"/>
    </row>
    <row r="131" spans="1:9" ht="14.25" customHeight="1" x14ac:dyDescent="0.2">
      <c r="A131" s="1"/>
      <c r="B131" s="1"/>
      <c r="C131" s="1"/>
      <c r="D131" s="1"/>
      <c r="E131" s="1"/>
      <c r="F131" s="1"/>
      <c r="G131" s="1"/>
      <c r="H131" s="26"/>
      <c r="I131" s="85"/>
    </row>
    <row r="132" spans="1:9" ht="14.25" customHeight="1" x14ac:dyDescent="0.2">
      <c r="A132" s="1"/>
      <c r="B132" s="1"/>
      <c r="C132" s="1"/>
      <c r="D132" s="1"/>
      <c r="E132" s="1"/>
      <c r="F132" s="1"/>
      <c r="G132" s="1"/>
      <c r="H132" s="26"/>
      <c r="I132" s="85"/>
    </row>
    <row r="133" spans="1:9" ht="14.25" customHeight="1" x14ac:dyDescent="0.2">
      <c r="A133" s="1"/>
      <c r="B133" s="1"/>
      <c r="C133" s="1"/>
      <c r="D133" s="1"/>
      <c r="E133" s="1"/>
      <c r="F133" s="1"/>
      <c r="G133" s="1"/>
      <c r="H133" s="26"/>
      <c r="I133" s="85"/>
    </row>
    <row r="134" spans="1:9" ht="14.25" customHeight="1" x14ac:dyDescent="0.2">
      <c r="A134" s="1"/>
      <c r="B134" s="1"/>
      <c r="C134" s="1"/>
      <c r="D134" s="1"/>
      <c r="E134" s="1"/>
      <c r="F134" s="1"/>
      <c r="G134" s="1"/>
      <c r="H134" s="26"/>
      <c r="I134" s="85"/>
    </row>
    <row r="135" spans="1:9" ht="14.25" customHeight="1" x14ac:dyDescent="0.2">
      <c r="A135" s="1"/>
      <c r="B135" s="1"/>
      <c r="C135" s="1"/>
      <c r="D135" s="1"/>
      <c r="E135" s="1"/>
      <c r="F135" s="1"/>
      <c r="G135" s="1"/>
      <c r="H135" s="26"/>
      <c r="I135" s="85"/>
    </row>
    <row r="136" spans="1:9" ht="14.25" customHeight="1" x14ac:dyDescent="0.2">
      <c r="A136" s="1"/>
      <c r="B136" s="1"/>
      <c r="C136" s="1"/>
      <c r="D136" s="1"/>
      <c r="E136" s="1"/>
      <c r="F136" s="1"/>
      <c r="G136" s="1"/>
      <c r="H136" s="26"/>
      <c r="I136" s="85"/>
    </row>
    <row r="137" spans="1:9" ht="14.25" customHeight="1" x14ac:dyDescent="0.2">
      <c r="A137" s="1"/>
      <c r="B137" s="1"/>
      <c r="C137" s="1"/>
      <c r="D137" s="1"/>
      <c r="E137" s="1"/>
      <c r="F137" s="1"/>
      <c r="G137" s="1"/>
      <c r="H137" s="26"/>
      <c r="I137" s="85"/>
    </row>
    <row r="138" spans="1:9" ht="14.25" customHeight="1" x14ac:dyDescent="0.2">
      <c r="A138" s="1"/>
      <c r="B138" s="1"/>
      <c r="C138" s="1"/>
      <c r="D138" s="1"/>
      <c r="E138" s="1"/>
      <c r="F138" s="1"/>
      <c r="G138" s="1"/>
      <c r="H138" s="26"/>
      <c r="I138" s="85"/>
    </row>
    <row r="139" spans="1:9" ht="14.25" customHeight="1" x14ac:dyDescent="0.2">
      <c r="A139" s="1"/>
      <c r="B139" s="1"/>
      <c r="C139" s="1"/>
      <c r="D139" s="1"/>
      <c r="E139" s="1"/>
      <c r="F139" s="1"/>
      <c r="G139" s="1"/>
      <c r="H139" s="26"/>
      <c r="I139" s="85"/>
    </row>
    <row r="140" spans="1:9" ht="14.25" customHeight="1" x14ac:dyDescent="0.2">
      <c r="A140" s="1"/>
      <c r="B140" s="1"/>
      <c r="C140" s="1"/>
      <c r="D140" s="1"/>
      <c r="E140" s="1"/>
      <c r="F140" s="1"/>
      <c r="G140" s="1"/>
      <c r="H140" s="26"/>
      <c r="I140" s="85"/>
    </row>
    <row r="141" spans="1:9" ht="14.25" customHeight="1" x14ac:dyDescent="0.2">
      <c r="A141" s="1"/>
      <c r="B141" s="1"/>
      <c r="C141" s="1"/>
      <c r="D141" s="1"/>
      <c r="E141" s="1"/>
      <c r="F141" s="1"/>
      <c r="G141" s="1"/>
      <c r="H141" s="26"/>
      <c r="I141" s="85"/>
    </row>
    <row r="142" spans="1:9" ht="14.25" customHeight="1" x14ac:dyDescent="0.2">
      <c r="A142" s="1"/>
      <c r="B142" s="1"/>
      <c r="C142" s="1"/>
      <c r="D142" s="1"/>
      <c r="E142" s="1"/>
      <c r="F142" s="1"/>
      <c r="G142" s="1"/>
      <c r="H142" s="26"/>
      <c r="I142" s="85"/>
    </row>
    <row r="143" spans="1:9" ht="14.25" customHeight="1" x14ac:dyDescent="0.2">
      <c r="A143" s="1"/>
      <c r="B143" s="1"/>
      <c r="C143" s="1"/>
      <c r="D143" s="1"/>
      <c r="E143" s="1"/>
      <c r="F143" s="1"/>
      <c r="G143" s="1"/>
      <c r="H143" s="26"/>
      <c r="I143" s="85"/>
    </row>
    <row r="144" spans="1:9" ht="14.25" customHeight="1" x14ac:dyDescent="0.2">
      <c r="A144" s="1"/>
      <c r="B144" s="1"/>
      <c r="C144" s="1"/>
      <c r="D144" s="1"/>
      <c r="E144" s="1"/>
      <c r="F144" s="1"/>
      <c r="G144" s="1"/>
      <c r="H144" s="26"/>
      <c r="I144" s="85"/>
    </row>
    <row r="145" spans="1:9" ht="14.25" customHeight="1" x14ac:dyDescent="0.2">
      <c r="A145" s="1"/>
      <c r="B145" s="1"/>
      <c r="C145" s="1"/>
      <c r="D145" s="1"/>
      <c r="E145" s="1"/>
      <c r="F145" s="1"/>
      <c r="G145" s="1"/>
      <c r="H145" s="26"/>
      <c r="I145" s="85"/>
    </row>
    <row r="146" spans="1:9" ht="14.25" customHeight="1" x14ac:dyDescent="0.2">
      <c r="A146" s="1"/>
      <c r="B146" s="1"/>
      <c r="C146" s="1"/>
      <c r="D146" s="1"/>
      <c r="E146" s="1"/>
      <c r="F146" s="1"/>
      <c r="G146" s="1"/>
      <c r="H146" s="26"/>
      <c r="I146" s="85"/>
    </row>
    <row r="147" spans="1:9" ht="14.25" customHeight="1" x14ac:dyDescent="0.2">
      <c r="A147" s="1"/>
      <c r="B147" s="1"/>
      <c r="C147" s="1"/>
      <c r="D147" s="1"/>
      <c r="E147" s="1"/>
      <c r="F147" s="1"/>
      <c r="G147" s="1"/>
      <c r="H147" s="26"/>
      <c r="I147" s="85"/>
    </row>
    <row r="148" spans="1:9" ht="14.25" customHeight="1" x14ac:dyDescent="0.2">
      <c r="A148" s="1"/>
      <c r="B148" s="1"/>
      <c r="C148" s="1"/>
      <c r="D148" s="1"/>
      <c r="E148" s="1"/>
      <c r="F148" s="1"/>
      <c r="G148" s="1"/>
      <c r="H148" s="26"/>
      <c r="I148" s="85"/>
    </row>
    <row r="149" spans="1:9" ht="14.25" customHeight="1" x14ac:dyDescent="0.2">
      <c r="A149" s="1"/>
      <c r="B149" s="1"/>
      <c r="C149" s="1"/>
      <c r="D149" s="1"/>
      <c r="E149" s="1"/>
      <c r="F149" s="1"/>
      <c r="G149" s="1"/>
      <c r="H149" s="26"/>
      <c r="I149" s="85"/>
    </row>
    <row r="150" spans="1:9" ht="14.25" customHeight="1" x14ac:dyDescent="0.2">
      <c r="A150" s="1"/>
      <c r="B150" s="1"/>
      <c r="C150" s="1"/>
      <c r="D150" s="1"/>
      <c r="E150" s="1"/>
      <c r="F150" s="1"/>
      <c r="G150" s="1"/>
      <c r="H150" s="26"/>
      <c r="I150" s="85"/>
    </row>
    <row r="151" spans="1:9" ht="14.25" customHeight="1" x14ac:dyDescent="0.2">
      <c r="A151" s="1"/>
      <c r="B151" s="1"/>
      <c r="C151" s="1"/>
      <c r="D151" s="1"/>
      <c r="E151" s="1"/>
      <c r="F151" s="1"/>
      <c r="G151" s="1"/>
      <c r="H151" s="26"/>
      <c r="I151" s="85"/>
    </row>
    <row r="152" spans="1:9" ht="14.25" customHeight="1" x14ac:dyDescent="0.2">
      <c r="A152" s="1"/>
      <c r="B152" s="1"/>
      <c r="C152" s="1"/>
      <c r="D152" s="1"/>
      <c r="E152" s="1"/>
      <c r="F152" s="1"/>
      <c r="G152" s="1"/>
      <c r="H152" s="26"/>
      <c r="I152" s="85"/>
    </row>
    <row r="153" spans="1:9" ht="14.25" customHeight="1" x14ac:dyDescent="0.2">
      <c r="A153" s="1"/>
      <c r="B153" s="1"/>
      <c r="C153" s="1"/>
      <c r="D153" s="1"/>
      <c r="E153" s="1"/>
      <c r="F153" s="1"/>
      <c r="G153" s="1"/>
      <c r="H153" s="26"/>
      <c r="I153" s="85"/>
    </row>
    <row r="154" spans="1:9" ht="14.25" customHeight="1" x14ac:dyDescent="0.2">
      <c r="A154" s="1"/>
      <c r="B154" s="1"/>
      <c r="C154" s="1"/>
      <c r="D154" s="1"/>
      <c r="E154" s="1"/>
      <c r="F154" s="1"/>
      <c r="G154" s="1"/>
      <c r="H154" s="26"/>
      <c r="I154" s="85"/>
    </row>
    <row r="155" spans="1:9" ht="14.25" customHeight="1" x14ac:dyDescent="0.2">
      <c r="A155" s="1"/>
      <c r="B155" s="1"/>
      <c r="C155" s="1"/>
      <c r="D155" s="1"/>
      <c r="E155" s="1"/>
      <c r="F155" s="1"/>
      <c r="G155" s="1"/>
      <c r="H155" s="26"/>
      <c r="I155" s="85"/>
    </row>
    <row r="156" spans="1:9" ht="14.25" customHeight="1" x14ac:dyDescent="0.2">
      <c r="A156" s="1"/>
      <c r="B156" s="1"/>
      <c r="C156" s="1"/>
      <c r="D156" s="1"/>
      <c r="E156" s="1"/>
      <c r="F156" s="1"/>
      <c r="G156" s="1"/>
      <c r="H156" s="26"/>
      <c r="I156" s="85"/>
    </row>
    <row r="157" spans="1:9" ht="14.25" customHeight="1" x14ac:dyDescent="0.2">
      <c r="A157" s="1"/>
      <c r="B157" s="1"/>
      <c r="C157" s="1"/>
      <c r="D157" s="1"/>
      <c r="E157" s="1"/>
      <c r="F157" s="1"/>
      <c r="G157" s="1"/>
      <c r="H157" s="26"/>
      <c r="I157" s="85"/>
    </row>
    <row r="158" spans="1:9" ht="14.25" customHeight="1" x14ac:dyDescent="0.2">
      <c r="A158" s="1"/>
      <c r="B158" s="1"/>
      <c r="C158" s="1"/>
      <c r="D158" s="1"/>
      <c r="E158" s="1"/>
      <c r="F158" s="1"/>
      <c r="G158" s="1"/>
      <c r="H158" s="26"/>
      <c r="I158" s="85"/>
    </row>
    <row r="159" spans="1:9" ht="14.25" customHeight="1" x14ac:dyDescent="0.2">
      <c r="A159" s="1"/>
      <c r="B159" s="1"/>
      <c r="C159" s="1"/>
      <c r="D159" s="1"/>
      <c r="E159" s="1"/>
      <c r="F159" s="1"/>
      <c r="G159" s="1"/>
      <c r="H159" s="26"/>
      <c r="I159" s="85"/>
    </row>
    <row r="160" spans="1:9" ht="14.25" customHeight="1" x14ac:dyDescent="0.2">
      <c r="A160" s="1"/>
      <c r="B160" s="1"/>
      <c r="C160" s="1"/>
      <c r="D160" s="1"/>
      <c r="E160" s="1"/>
      <c r="F160" s="1"/>
      <c r="G160" s="1"/>
      <c r="H160" s="26"/>
      <c r="I160" s="85"/>
    </row>
    <row r="161" spans="1:9" ht="14.25" customHeight="1" x14ac:dyDescent="0.2">
      <c r="A161" s="1"/>
      <c r="B161" s="1"/>
      <c r="C161" s="1"/>
      <c r="D161" s="1"/>
      <c r="E161" s="1"/>
      <c r="F161" s="1"/>
      <c r="G161" s="1"/>
      <c r="H161" s="26"/>
      <c r="I161" s="85"/>
    </row>
    <row r="162" spans="1:9" ht="14.25" customHeight="1" x14ac:dyDescent="0.2">
      <c r="A162" s="1"/>
      <c r="B162" s="1"/>
      <c r="C162" s="1"/>
      <c r="D162" s="1"/>
      <c r="E162" s="1"/>
      <c r="F162" s="1"/>
      <c r="G162" s="1"/>
      <c r="H162" s="26"/>
      <c r="I162" s="85"/>
    </row>
    <row r="163" spans="1:9" ht="14.25" customHeight="1" x14ac:dyDescent="0.2">
      <c r="A163" s="1"/>
      <c r="B163" s="1"/>
      <c r="C163" s="1"/>
      <c r="D163" s="1"/>
      <c r="E163" s="1"/>
      <c r="F163" s="1"/>
      <c r="G163" s="1"/>
      <c r="H163" s="26"/>
      <c r="I163" s="85"/>
    </row>
    <row r="164" spans="1:9" ht="14.25" customHeight="1" x14ac:dyDescent="0.2">
      <c r="A164" s="1"/>
      <c r="B164" s="1"/>
      <c r="C164" s="1"/>
      <c r="D164" s="1"/>
      <c r="E164" s="1"/>
      <c r="F164" s="1"/>
      <c r="G164" s="1"/>
      <c r="H164" s="26"/>
      <c r="I164" s="85"/>
    </row>
    <row r="165" spans="1:9" ht="14.25" customHeight="1" x14ac:dyDescent="0.2">
      <c r="A165" s="1"/>
      <c r="B165" s="1"/>
      <c r="C165" s="1"/>
      <c r="D165" s="1"/>
      <c r="E165" s="1"/>
      <c r="F165" s="1"/>
      <c r="G165" s="1"/>
      <c r="H165" s="26"/>
      <c r="I165" s="85"/>
    </row>
    <row r="166" spans="1:9" ht="14.25" customHeight="1" x14ac:dyDescent="0.2">
      <c r="A166" s="1"/>
      <c r="B166" s="1"/>
      <c r="C166" s="1"/>
      <c r="D166" s="1"/>
      <c r="E166" s="1"/>
      <c r="F166" s="1"/>
      <c r="G166" s="1"/>
      <c r="H166" s="26"/>
      <c r="I166" s="85"/>
    </row>
    <row r="167" spans="1:9" ht="14.25" customHeight="1" x14ac:dyDescent="0.2">
      <c r="A167" s="1"/>
      <c r="B167" s="1"/>
      <c r="C167" s="1"/>
      <c r="D167" s="1"/>
      <c r="E167" s="1"/>
      <c r="F167" s="1"/>
      <c r="G167" s="1"/>
      <c r="H167" s="26"/>
      <c r="I167" s="85"/>
    </row>
    <row r="168" spans="1:9" ht="14.25" customHeight="1" x14ac:dyDescent="0.2">
      <c r="A168" s="1"/>
      <c r="B168" s="1"/>
      <c r="C168" s="1"/>
      <c r="D168" s="1"/>
      <c r="E168" s="1"/>
      <c r="F168" s="1"/>
      <c r="G168" s="1"/>
      <c r="H168" s="26"/>
      <c r="I168" s="85"/>
    </row>
    <row r="169" spans="1:9" ht="14.25" customHeight="1" x14ac:dyDescent="0.2">
      <c r="A169" s="1"/>
      <c r="B169" s="1"/>
      <c r="C169" s="1"/>
      <c r="D169" s="1"/>
      <c r="E169" s="1"/>
      <c r="F169" s="1"/>
      <c r="G169" s="1"/>
      <c r="H169" s="26"/>
      <c r="I169" s="85"/>
    </row>
    <row r="170" spans="1:9" ht="14.25" customHeight="1" x14ac:dyDescent="0.2">
      <c r="A170" s="1"/>
      <c r="B170" s="1"/>
      <c r="C170" s="1"/>
      <c r="D170" s="1"/>
      <c r="E170" s="1"/>
      <c r="F170" s="1"/>
      <c r="G170" s="1"/>
      <c r="H170" s="26"/>
      <c r="I170" s="85"/>
    </row>
    <row r="171" spans="1:9" ht="14.25" customHeight="1" x14ac:dyDescent="0.2">
      <c r="A171" s="1"/>
      <c r="B171" s="1"/>
      <c r="C171" s="1"/>
      <c r="D171" s="1"/>
      <c r="E171" s="1"/>
      <c r="F171" s="1"/>
      <c r="G171" s="1"/>
      <c r="H171" s="26"/>
      <c r="I171" s="85"/>
    </row>
    <row r="172" spans="1:9" ht="14.25" customHeight="1" x14ac:dyDescent="0.2">
      <c r="A172" s="1"/>
      <c r="B172" s="1"/>
      <c r="C172" s="1"/>
      <c r="D172" s="1"/>
      <c r="E172" s="1"/>
      <c r="F172" s="1"/>
      <c r="G172" s="1"/>
      <c r="H172" s="26"/>
      <c r="I172" s="85"/>
    </row>
    <row r="173" spans="1:9" ht="14.25" customHeight="1" x14ac:dyDescent="0.2">
      <c r="A173" s="1"/>
      <c r="B173" s="1"/>
      <c r="C173" s="1"/>
      <c r="D173" s="1"/>
      <c r="E173" s="1"/>
      <c r="F173" s="1"/>
      <c r="G173" s="1"/>
      <c r="H173" s="26"/>
      <c r="I173" s="85"/>
    </row>
    <row r="174" spans="1:9" ht="14.25" customHeight="1" x14ac:dyDescent="0.2">
      <c r="A174" s="1"/>
      <c r="B174" s="1"/>
      <c r="C174" s="1"/>
      <c r="D174" s="1"/>
      <c r="E174" s="1"/>
      <c r="F174" s="1"/>
      <c r="G174" s="1"/>
      <c r="H174" s="26"/>
      <c r="I174" s="85"/>
    </row>
    <row r="175" spans="1:9" ht="14.25" customHeight="1" x14ac:dyDescent="0.2">
      <c r="A175" s="1"/>
      <c r="B175" s="1"/>
      <c r="C175" s="1"/>
      <c r="D175" s="1"/>
      <c r="E175" s="1"/>
      <c r="F175" s="1"/>
      <c r="G175" s="1"/>
      <c r="H175" s="26"/>
      <c r="I175" s="85"/>
    </row>
    <row r="176" spans="1:9" ht="14.25" customHeight="1" x14ac:dyDescent="0.2">
      <c r="A176" s="1"/>
      <c r="B176" s="1"/>
      <c r="C176" s="1"/>
      <c r="D176" s="1"/>
      <c r="E176" s="1"/>
      <c r="F176" s="1"/>
      <c r="G176" s="1"/>
      <c r="H176" s="26"/>
      <c r="I176" s="85"/>
    </row>
    <row r="177" spans="1:9" ht="14.25" customHeight="1" x14ac:dyDescent="0.2">
      <c r="A177" s="1"/>
      <c r="B177" s="1"/>
      <c r="C177" s="1"/>
      <c r="D177" s="1"/>
      <c r="E177" s="1"/>
      <c r="F177" s="1"/>
      <c r="G177" s="1"/>
      <c r="H177" s="26"/>
      <c r="I177" s="85"/>
    </row>
    <row r="178" spans="1:9" ht="14.25" customHeight="1" x14ac:dyDescent="0.2">
      <c r="A178" s="1"/>
      <c r="B178" s="1"/>
      <c r="C178" s="1"/>
      <c r="D178" s="1"/>
      <c r="E178" s="1"/>
      <c r="F178" s="1"/>
      <c r="G178" s="1"/>
      <c r="H178" s="26"/>
      <c r="I178" s="85"/>
    </row>
    <row r="179" spans="1:9" ht="14.25" customHeight="1" x14ac:dyDescent="0.2">
      <c r="A179" s="1"/>
      <c r="B179" s="1"/>
      <c r="C179" s="1"/>
      <c r="D179" s="1"/>
      <c r="E179" s="1"/>
      <c r="F179" s="1"/>
      <c r="G179" s="1"/>
      <c r="H179" s="26"/>
      <c r="I179" s="85"/>
    </row>
    <row r="180" spans="1:9" ht="14.25" customHeight="1" x14ac:dyDescent="0.2">
      <c r="A180" s="1"/>
      <c r="B180" s="1"/>
      <c r="C180" s="1"/>
      <c r="D180" s="1"/>
      <c r="E180" s="1"/>
      <c r="F180" s="1"/>
      <c r="G180" s="1"/>
      <c r="H180" s="26"/>
      <c r="I180" s="85"/>
    </row>
    <row r="181" spans="1:9" ht="14.25" customHeight="1" x14ac:dyDescent="0.2">
      <c r="A181" s="1"/>
      <c r="B181" s="1"/>
      <c r="C181" s="1"/>
      <c r="D181" s="1"/>
      <c r="E181" s="1"/>
      <c r="F181" s="1"/>
      <c r="G181" s="1"/>
      <c r="H181" s="26"/>
      <c r="I181" s="85"/>
    </row>
    <row r="182" spans="1:9" ht="14.25" customHeight="1" x14ac:dyDescent="0.2">
      <c r="A182" s="1"/>
      <c r="B182" s="1"/>
      <c r="C182" s="1"/>
      <c r="D182" s="1"/>
      <c r="E182" s="1"/>
      <c r="F182" s="1"/>
      <c r="G182" s="1"/>
      <c r="H182" s="26"/>
      <c r="I182" s="85"/>
    </row>
    <row r="183" spans="1:9" ht="14.25" customHeight="1" x14ac:dyDescent="0.2">
      <c r="A183" s="1"/>
      <c r="B183" s="1"/>
      <c r="C183" s="1"/>
      <c r="D183" s="1"/>
      <c r="E183" s="1"/>
      <c r="F183" s="1"/>
      <c r="G183" s="1"/>
      <c r="H183" s="26"/>
      <c r="I183" s="85"/>
    </row>
    <row r="184" spans="1:9" ht="14.25" customHeight="1" x14ac:dyDescent="0.2">
      <c r="A184" s="1"/>
      <c r="B184" s="1"/>
      <c r="C184" s="1"/>
      <c r="D184" s="1"/>
      <c r="E184" s="1"/>
      <c r="F184" s="1"/>
      <c r="G184" s="1"/>
      <c r="H184" s="26"/>
      <c r="I184" s="85"/>
    </row>
    <row r="185" spans="1:9" ht="14.25" customHeight="1" x14ac:dyDescent="0.2">
      <c r="A185" s="1"/>
      <c r="B185" s="1"/>
      <c r="C185" s="1"/>
      <c r="D185" s="1"/>
      <c r="E185" s="1"/>
      <c r="F185" s="1"/>
      <c r="G185" s="1"/>
      <c r="H185" s="26"/>
      <c r="I185" s="85"/>
    </row>
    <row r="186" spans="1:9" ht="14.25" customHeight="1" x14ac:dyDescent="0.2">
      <c r="A186" s="1"/>
      <c r="B186" s="1"/>
      <c r="C186" s="1"/>
      <c r="D186" s="1"/>
      <c r="E186" s="1"/>
      <c r="F186" s="1"/>
      <c r="G186" s="1"/>
      <c r="H186" s="26"/>
      <c r="I186" s="85"/>
    </row>
    <row r="187" spans="1:9" ht="14.25" customHeight="1" x14ac:dyDescent="0.2">
      <c r="A187" s="1"/>
      <c r="B187" s="1"/>
      <c r="C187" s="1"/>
      <c r="D187" s="1"/>
      <c r="E187" s="1"/>
      <c r="F187" s="1"/>
      <c r="G187" s="1"/>
      <c r="H187" s="26"/>
      <c r="I187" s="85"/>
    </row>
    <row r="188" spans="1:9" ht="14.25" customHeight="1" x14ac:dyDescent="0.2">
      <c r="A188" s="1"/>
      <c r="B188" s="1"/>
      <c r="C188" s="1"/>
      <c r="D188" s="1"/>
      <c r="E188" s="1"/>
      <c r="F188" s="1"/>
      <c r="G188" s="1"/>
      <c r="H188" s="26"/>
      <c r="I188" s="85"/>
    </row>
    <row r="189" spans="1:9" ht="14.25" customHeight="1" x14ac:dyDescent="0.2">
      <c r="A189" s="1"/>
      <c r="B189" s="1"/>
      <c r="C189" s="1"/>
      <c r="D189" s="1"/>
      <c r="E189" s="1"/>
      <c r="F189" s="1"/>
      <c r="G189" s="1"/>
      <c r="H189" s="26"/>
      <c r="I189" s="85"/>
    </row>
    <row r="190" spans="1:9" ht="14.25" customHeight="1" x14ac:dyDescent="0.2">
      <c r="A190" s="1"/>
      <c r="B190" s="1"/>
      <c r="C190" s="1"/>
      <c r="D190" s="1"/>
      <c r="E190" s="1"/>
      <c r="F190" s="1"/>
      <c r="G190" s="1"/>
      <c r="H190" s="26"/>
      <c r="I190" s="85"/>
    </row>
    <row r="191" spans="1:9" ht="14.25" customHeight="1" x14ac:dyDescent="0.2">
      <c r="A191" s="1"/>
      <c r="B191" s="1"/>
      <c r="C191" s="1"/>
      <c r="D191" s="1"/>
      <c r="E191" s="1"/>
      <c r="F191" s="1"/>
      <c r="G191" s="1"/>
      <c r="H191" s="26"/>
      <c r="I191" s="85"/>
    </row>
    <row r="192" spans="1:9" ht="14.25" customHeight="1" x14ac:dyDescent="0.2">
      <c r="A192" s="1"/>
      <c r="B192" s="1"/>
      <c r="C192" s="1"/>
      <c r="D192" s="1"/>
      <c r="E192" s="1"/>
      <c r="F192" s="1"/>
      <c r="G192" s="1"/>
      <c r="H192" s="26"/>
      <c r="I192" s="85"/>
    </row>
    <row r="193" spans="1:9" ht="14.25" customHeight="1" x14ac:dyDescent="0.2">
      <c r="A193" s="1"/>
      <c r="B193" s="1"/>
      <c r="C193" s="1"/>
      <c r="D193" s="1"/>
      <c r="E193" s="1"/>
      <c r="F193" s="1"/>
      <c r="G193" s="1"/>
      <c r="H193" s="26"/>
      <c r="I193" s="85"/>
    </row>
    <row r="194" spans="1:9" ht="14.25" customHeight="1" x14ac:dyDescent="0.2">
      <c r="A194" s="1"/>
      <c r="B194" s="1"/>
      <c r="C194" s="1"/>
      <c r="D194" s="1"/>
      <c r="E194" s="1"/>
      <c r="F194" s="1"/>
      <c r="G194" s="1"/>
      <c r="H194" s="26"/>
      <c r="I194" s="85"/>
    </row>
    <row r="195" spans="1:9" ht="14.25" customHeight="1" x14ac:dyDescent="0.2">
      <c r="A195" s="1"/>
      <c r="B195" s="1"/>
      <c r="C195" s="1"/>
      <c r="D195" s="1"/>
      <c r="E195" s="1"/>
      <c r="F195" s="1"/>
      <c r="G195" s="1"/>
      <c r="H195" s="26"/>
      <c r="I195" s="85"/>
    </row>
    <row r="196" spans="1:9" ht="14.25" customHeight="1" x14ac:dyDescent="0.2">
      <c r="A196" s="1"/>
      <c r="B196" s="1"/>
      <c r="C196" s="1"/>
      <c r="D196" s="1"/>
      <c r="E196" s="1"/>
      <c r="F196" s="1"/>
      <c r="G196" s="1"/>
      <c r="H196" s="26"/>
      <c r="I196" s="85"/>
    </row>
    <row r="197" spans="1:9" ht="14.25" customHeight="1" x14ac:dyDescent="0.2">
      <c r="A197" s="1"/>
      <c r="B197" s="1"/>
      <c r="C197" s="1"/>
      <c r="D197" s="1"/>
      <c r="E197" s="1"/>
      <c r="F197" s="1"/>
      <c r="G197" s="1"/>
      <c r="H197" s="26"/>
      <c r="I197" s="85"/>
    </row>
    <row r="198" spans="1:9" ht="14.25" customHeight="1" x14ac:dyDescent="0.2">
      <c r="A198" s="1"/>
      <c r="B198" s="1"/>
      <c r="C198" s="1"/>
      <c r="D198" s="1"/>
      <c r="E198" s="1"/>
      <c r="F198" s="1"/>
      <c r="G198" s="1"/>
      <c r="H198" s="26"/>
      <c r="I198" s="85"/>
    </row>
    <row r="199" spans="1:9" ht="14.25" customHeight="1" x14ac:dyDescent="0.2">
      <c r="A199" s="1"/>
      <c r="B199" s="1"/>
      <c r="C199" s="1"/>
      <c r="D199" s="1"/>
      <c r="E199" s="1"/>
      <c r="F199" s="1"/>
      <c r="G199" s="1"/>
      <c r="H199" s="26"/>
      <c r="I199" s="85"/>
    </row>
    <row r="200" spans="1:9" ht="14.25" customHeight="1" x14ac:dyDescent="0.2">
      <c r="A200" s="1"/>
      <c r="B200" s="1"/>
      <c r="C200" s="1"/>
      <c r="D200" s="1"/>
      <c r="E200" s="1"/>
      <c r="F200" s="1"/>
      <c r="G200" s="1"/>
      <c r="H200" s="26"/>
      <c r="I200" s="85"/>
    </row>
    <row r="201" spans="1:9" ht="14.25" customHeight="1" x14ac:dyDescent="0.2">
      <c r="A201" s="1"/>
      <c r="B201" s="1"/>
      <c r="C201" s="1"/>
      <c r="D201" s="1"/>
      <c r="E201" s="1"/>
      <c r="F201" s="1"/>
      <c r="G201" s="1"/>
      <c r="H201" s="26"/>
      <c r="I201" s="85"/>
    </row>
    <row r="202" spans="1:9" ht="14.25" customHeight="1" x14ac:dyDescent="0.2">
      <c r="A202" s="1"/>
      <c r="B202" s="1"/>
      <c r="C202" s="1"/>
      <c r="D202" s="1"/>
      <c r="E202" s="1"/>
      <c r="F202" s="1"/>
      <c r="G202" s="1"/>
      <c r="H202" s="26"/>
      <c r="I202" s="85"/>
    </row>
    <row r="203" spans="1:9" ht="14.25" customHeight="1" x14ac:dyDescent="0.2">
      <c r="A203" s="1"/>
      <c r="B203" s="1"/>
      <c r="C203" s="1"/>
      <c r="D203" s="1"/>
      <c r="E203" s="1"/>
      <c r="F203" s="1"/>
      <c r="G203" s="1"/>
      <c r="H203" s="26"/>
      <c r="I203" s="85"/>
    </row>
    <row r="204" spans="1:9" ht="14.25" customHeight="1" x14ac:dyDescent="0.2">
      <c r="A204" s="1"/>
      <c r="B204" s="1"/>
      <c r="C204" s="1"/>
      <c r="D204" s="1"/>
      <c r="E204" s="1"/>
      <c r="F204" s="1"/>
      <c r="G204" s="1"/>
      <c r="H204" s="26"/>
      <c r="I204" s="85"/>
    </row>
    <row r="205" spans="1:9" ht="14.25" customHeight="1" x14ac:dyDescent="0.2">
      <c r="A205" s="1"/>
      <c r="B205" s="1"/>
      <c r="C205" s="1"/>
      <c r="D205" s="1"/>
      <c r="E205" s="1"/>
      <c r="F205" s="1"/>
      <c r="G205" s="1"/>
      <c r="H205" s="26"/>
      <c r="I205" s="85"/>
    </row>
    <row r="206" spans="1:9" ht="14.25" customHeight="1" x14ac:dyDescent="0.2">
      <c r="A206" s="1"/>
      <c r="B206" s="1"/>
      <c r="C206" s="1"/>
      <c r="D206" s="1"/>
      <c r="E206" s="1"/>
      <c r="F206" s="1"/>
      <c r="G206" s="1"/>
      <c r="H206" s="26"/>
      <c r="I206" s="85"/>
    </row>
    <row r="207" spans="1:9" ht="14.25" customHeight="1" x14ac:dyDescent="0.2">
      <c r="A207" s="1"/>
      <c r="B207" s="1"/>
      <c r="C207" s="1"/>
      <c r="D207" s="1"/>
      <c r="E207" s="1"/>
      <c r="F207" s="1"/>
      <c r="G207" s="1"/>
      <c r="H207" s="26"/>
      <c r="I207" s="85"/>
    </row>
    <row r="208" spans="1:9" ht="14.25" customHeight="1" x14ac:dyDescent="0.2">
      <c r="A208" s="1"/>
      <c r="B208" s="1"/>
      <c r="C208" s="1"/>
      <c r="D208" s="1"/>
      <c r="E208" s="1"/>
      <c r="F208" s="1"/>
      <c r="G208" s="1"/>
      <c r="H208" s="26"/>
      <c r="I208" s="85"/>
    </row>
    <row r="209" spans="1:9" ht="14.25" customHeight="1" x14ac:dyDescent="0.2">
      <c r="A209" s="1"/>
      <c r="B209" s="1"/>
      <c r="C209" s="1"/>
      <c r="D209" s="1"/>
      <c r="E209" s="1"/>
      <c r="F209" s="1"/>
      <c r="G209" s="1"/>
      <c r="H209" s="26"/>
      <c r="I209" s="85"/>
    </row>
    <row r="210" spans="1:9" ht="14.25" customHeight="1" x14ac:dyDescent="0.2">
      <c r="A210" s="1"/>
      <c r="B210" s="1"/>
      <c r="C210" s="1"/>
      <c r="D210" s="1"/>
      <c r="E210" s="1"/>
      <c r="F210" s="1"/>
      <c r="G210" s="1"/>
      <c r="H210" s="26"/>
      <c r="I210" s="85"/>
    </row>
    <row r="211" spans="1:9" ht="14.25" customHeight="1" x14ac:dyDescent="0.2">
      <c r="A211" s="1"/>
      <c r="B211" s="1"/>
      <c r="C211" s="1"/>
      <c r="D211" s="1"/>
      <c r="E211" s="1"/>
      <c r="F211" s="1"/>
      <c r="G211" s="1"/>
      <c r="H211" s="26"/>
      <c r="I211" s="85"/>
    </row>
    <row r="212" spans="1:9" ht="14.25" customHeight="1" x14ac:dyDescent="0.2">
      <c r="A212" s="1"/>
      <c r="B212" s="1"/>
      <c r="C212" s="1"/>
      <c r="D212" s="1"/>
      <c r="E212" s="1"/>
      <c r="F212" s="1"/>
      <c r="G212" s="1"/>
      <c r="H212" s="26"/>
      <c r="I212" s="85"/>
    </row>
    <row r="213" spans="1:9" ht="14.25" customHeight="1" x14ac:dyDescent="0.2">
      <c r="A213" s="1"/>
      <c r="B213" s="1"/>
      <c r="C213" s="1"/>
      <c r="D213" s="1"/>
      <c r="E213" s="1"/>
      <c r="F213" s="1"/>
      <c r="G213" s="1"/>
      <c r="H213" s="26"/>
      <c r="I213" s="85"/>
    </row>
    <row r="214" spans="1:9" ht="14.25" customHeight="1" x14ac:dyDescent="0.2">
      <c r="A214" s="1"/>
      <c r="B214" s="1"/>
      <c r="C214" s="1"/>
      <c r="D214" s="1"/>
      <c r="E214" s="1"/>
      <c r="F214" s="1"/>
      <c r="G214" s="1"/>
      <c r="H214" s="26"/>
      <c r="I214" s="85"/>
    </row>
    <row r="215" spans="1:9" ht="14.25" customHeight="1" x14ac:dyDescent="0.2">
      <c r="A215" s="1"/>
      <c r="B215" s="1"/>
      <c r="C215" s="1"/>
      <c r="D215" s="1"/>
      <c r="E215" s="1"/>
      <c r="F215" s="1"/>
      <c r="G215" s="1"/>
      <c r="H215" s="26"/>
      <c r="I215" s="85"/>
    </row>
    <row r="216" spans="1:9" ht="14.25" customHeight="1" x14ac:dyDescent="0.2">
      <c r="A216" s="1"/>
      <c r="B216" s="1"/>
      <c r="C216" s="1"/>
      <c r="D216" s="1"/>
      <c r="E216" s="1"/>
      <c r="F216" s="1"/>
      <c r="G216" s="1"/>
      <c r="H216" s="26"/>
      <c r="I216" s="85"/>
    </row>
    <row r="217" spans="1:9" ht="14.25" customHeight="1" x14ac:dyDescent="0.2">
      <c r="A217" s="1"/>
      <c r="B217" s="1"/>
      <c r="C217" s="1"/>
      <c r="D217" s="1"/>
      <c r="E217" s="1"/>
      <c r="F217" s="1"/>
      <c r="G217" s="1"/>
      <c r="H217" s="26"/>
      <c r="I217" s="85"/>
    </row>
    <row r="218" spans="1:9" ht="14.25" customHeight="1" x14ac:dyDescent="0.2">
      <c r="A218" s="1"/>
      <c r="B218" s="1"/>
      <c r="C218" s="1"/>
      <c r="D218" s="1"/>
      <c r="E218" s="1"/>
      <c r="F218" s="1"/>
      <c r="G218" s="1"/>
      <c r="H218" s="26"/>
      <c r="I218" s="85"/>
    </row>
    <row r="219" spans="1:9" ht="14.25" customHeight="1" x14ac:dyDescent="0.2">
      <c r="A219" s="1"/>
      <c r="B219" s="1"/>
      <c r="C219" s="1"/>
      <c r="D219" s="1"/>
      <c r="E219" s="1"/>
      <c r="F219" s="1"/>
      <c r="G219" s="1"/>
      <c r="H219" s="26"/>
      <c r="I219" s="85"/>
    </row>
    <row r="220" spans="1:9" ht="14.25" customHeight="1" x14ac:dyDescent="0.2">
      <c r="A220" s="1"/>
      <c r="B220" s="1"/>
      <c r="C220" s="1"/>
      <c r="D220" s="1"/>
      <c r="E220" s="1"/>
      <c r="F220" s="1"/>
      <c r="G220" s="1"/>
      <c r="H220" s="26"/>
      <c r="I220" s="85"/>
    </row>
    <row r="221" spans="1:9" ht="14.25" customHeight="1" x14ac:dyDescent="0.2">
      <c r="A221" s="1"/>
      <c r="B221" s="1"/>
      <c r="C221" s="1"/>
      <c r="D221" s="1"/>
      <c r="E221" s="1"/>
      <c r="F221" s="1"/>
      <c r="G221" s="1"/>
      <c r="H221" s="26"/>
      <c r="I221" s="85"/>
    </row>
    <row r="222" spans="1:9" ht="14.25" customHeight="1" x14ac:dyDescent="0.2">
      <c r="A222" s="1"/>
      <c r="B222" s="1"/>
      <c r="C222" s="1"/>
      <c r="D222" s="1"/>
      <c r="E222" s="1"/>
      <c r="F222" s="1"/>
      <c r="G222" s="1"/>
      <c r="H222" s="26"/>
      <c r="I222" s="85"/>
    </row>
    <row r="223" spans="1:9" ht="14.25" customHeight="1" x14ac:dyDescent="0.2">
      <c r="A223" s="1"/>
      <c r="B223" s="1"/>
      <c r="C223" s="1"/>
      <c r="D223" s="1"/>
      <c r="E223" s="1"/>
      <c r="F223" s="1"/>
      <c r="G223" s="1"/>
      <c r="H223" s="26"/>
      <c r="I223" s="85"/>
    </row>
    <row r="224" spans="1:9" ht="14.25" customHeight="1" x14ac:dyDescent="0.2">
      <c r="A224" s="1"/>
      <c r="B224" s="1"/>
      <c r="C224" s="1"/>
      <c r="D224" s="1"/>
      <c r="E224" s="1"/>
      <c r="F224" s="1"/>
      <c r="G224" s="1"/>
      <c r="H224" s="26"/>
      <c r="I224" s="85"/>
    </row>
    <row r="225" spans="1:9" ht="14.25" customHeight="1" x14ac:dyDescent="0.2">
      <c r="A225" s="1"/>
      <c r="B225" s="1"/>
      <c r="C225" s="1"/>
      <c r="D225" s="1"/>
      <c r="E225" s="1"/>
      <c r="F225" s="1"/>
      <c r="G225" s="1"/>
      <c r="H225" s="26"/>
      <c r="I225" s="85"/>
    </row>
    <row r="226" spans="1:9" ht="14.25" customHeight="1" x14ac:dyDescent="0.2">
      <c r="A226" s="1"/>
      <c r="B226" s="1"/>
      <c r="C226" s="1"/>
      <c r="D226" s="1"/>
      <c r="E226" s="1"/>
      <c r="F226" s="1"/>
      <c r="G226" s="1"/>
      <c r="H226" s="26"/>
      <c r="I226" s="85"/>
    </row>
    <row r="227" spans="1:9" ht="14.25" customHeight="1" x14ac:dyDescent="0.2">
      <c r="A227" s="1"/>
      <c r="B227" s="1"/>
      <c r="C227" s="1"/>
      <c r="D227" s="1"/>
      <c r="E227" s="1"/>
      <c r="F227" s="1"/>
      <c r="G227" s="1"/>
      <c r="H227" s="26"/>
      <c r="I227" s="85"/>
    </row>
    <row r="228" spans="1:9" ht="14.25" customHeight="1" x14ac:dyDescent="0.2">
      <c r="A228" s="1"/>
      <c r="B228" s="1"/>
      <c r="C228" s="1"/>
      <c r="D228" s="1"/>
      <c r="E228" s="1"/>
      <c r="F228" s="1"/>
      <c r="G228" s="1"/>
      <c r="H228" s="26"/>
      <c r="I228" s="85"/>
    </row>
    <row r="229" spans="1:9" ht="14.25" customHeight="1" x14ac:dyDescent="0.2">
      <c r="A229" s="1"/>
      <c r="B229" s="1"/>
      <c r="C229" s="1"/>
      <c r="D229" s="1"/>
      <c r="E229" s="1"/>
      <c r="F229" s="1"/>
      <c r="G229" s="1"/>
      <c r="H229" s="26"/>
      <c r="I229" s="85"/>
    </row>
    <row r="230" spans="1:9" ht="14.25" customHeight="1" x14ac:dyDescent="0.2">
      <c r="A230" s="1"/>
      <c r="B230" s="1"/>
      <c r="C230" s="1"/>
      <c r="D230" s="1"/>
      <c r="E230" s="1"/>
      <c r="F230" s="1"/>
      <c r="G230" s="1"/>
      <c r="H230" s="26"/>
      <c r="I230" s="85"/>
    </row>
    <row r="231" spans="1:9" ht="14.25" customHeight="1" x14ac:dyDescent="0.2">
      <c r="A231" s="1"/>
      <c r="B231" s="1"/>
      <c r="C231" s="1"/>
      <c r="D231" s="1"/>
      <c r="E231" s="1"/>
      <c r="F231" s="1"/>
      <c r="G231" s="1"/>
      <c r="H231" s="26"/>
      <c r="I231" s="85"/>
    </row>
    <row r="232" spans="1:9" ht="14.25" customHeight="1" x14ac:dyDescent="0.2">
      <c r="A232" s="1"/>
      <c r="B232" s="1"/>
      <c r="C232" s="1"/>
      <c r="D232" s="1"/>
      <c r="E232" s="1"/>
      <c r="F232" s="1"/>
      <c r="G232" s="1"/>
      <c r="H232" s="26"/>
      <c r="I232" s="85"/>
    </row>
    <row r="233" spans="1:9" ht="14.25" customHeight="1" x14ac:dyDescent="0.2">
      <c r="A233" s="1"/>
      <c r="B233" s="1"/>
      <c r="C233" s="1"/>
      <c r="D233" s="1"/>
      <c r="E233" s="1"/>
      <c r="F233" s="1"/>
      <c r="G233" s="1"/>
      <c r="H233" s="26"/>
      <c r="I233" s="85"/>
    </row>
    <row r="234" spans="1:9" ht="14.25" customHeight="1" x14ac:dyDescent="0.2">
      <c r="A234" s="1"/>
      <c r="B234" s="1"/>
      <c r="C234" s="1"/>
      <c r="D234" s="1"/>
      <c r="E234" s="1"/>
      <c r="F234" s="1"/>
      <c r="G234" s="1"/>
      <c r="H234" s="26"/>
      <c r="I234" s="85"/>
    </row>
    <row r="235" spans="1:9" ht="14.25" customHeight="1" x14ac:dyDescent="0.2">
      <c r="A235" s="1"/>
      <c r="B235" s="1"/>
      <c r="C235" s="1"/>
      <c r="D235" s="1"/>
      <c r="E235" s="1"/>
      <c r="F235" s="1"/>
      <c r="G235" s="1"/>
      <c r="H235" s="26"/>
      <c r="I235" s="85"/>
    </row>
    <row r="236" spans="1:9" ht="14.25" customHeight="1" x14ac:dyDescent="0.2">
      <c r="A236" s="1"/>
      <c r="B236" s="1"/>
      <c r="C236" s="1"/>
      <c r="D236" s="1"/>
      <c r="E236" s="1"/>
      <c r="F236" s="1"/>
      <c r="G236" s="1"/>
      <c r="H236" s="26"/>
      <c r="I236" s="85"/>
    </row>
    <row r="237" spans="1:9" ht="14.25" customHeight="1" x14ac:dyDescent="0.2">
      <c r="A237" s="1"/>
      <c r="B237" s="1"/>
      <c r="C237" s="1"/>
      <c r="D237" s="1"/>
      <c r="E237" s="1"/>
      <c r="F237" s="1"/>
      <c r="G237" s="1"/>
      <c r="H237" s="26"/>
      <c r="I237" s="85"/>
    </row>
    <row r="238" spans="1:9" ht="14.25" customHeight="1" x14ac:dyDescent="0.2">
      <c r="A238" s="1"/>
      <c r="B238" s="1"/>
      <c r="C238" s="1"/>
      <c r="D238" s="1"/>
      <c r="E238" s="1"/>
      <c r="F238" s="1"/>
      <c r="G238" s="1"/>
      <c r="H238" s="26"/>
      <c r="I238" s="85"/>
    </row>
    <row r="239" spans="1:9" ht="14.25" customHeight="1" x14ac:dyDescent="0.2">
      <c r="A239" s="1"/>
      <c r="B239" s="1"/>
      <c r="C239" s="1"/>
      <c r="D239" s="1"/>
      <c r="E239" s="1"/>
      <c r="F239" s="1"/>
      <c r="G239" s="1"/>
      <c r="H239" s="26"/>
      <c r="I239" s="85"/>
    </row>
    <row r="240" spans="1:9" ht="14.25" customHeight="1" x14ac:dyDescent="0.2">
      <c r="A240" s="1"/>
      <c r="B240" s="1"/>
      <c r="C240" s="1"/>
      <c r="D240" s="1"/>
      <c r="E240" s="1"/>
      <c r="F240" s="1"/>
      <c r="G240" s="1"/>
      <c r="H240" s="26"/>
      <c r="I240" s="85"/>
    </row>
    <row r="241" spans="1:9" ht="14.25" customHeight="1" x14ac:dyDescent="0.2">
      <c r="A241" s="1"/>
      <c r="B241" s="1"/>
      <c r="C241" s="1"/>
      <c r="D241" s="1"/>
      <c r="E241" s="1"/>
      <c r="F241" s="1"/>
      <c r="G241" s="1"/>
      <c r="H241" s="26"/>
      <c r="I241" s="85"/>
    </row>
    <row r="242" spans="1:9" ht="14.25" customHeight="1" x14ac:dyDescent="0.2">
      <c r="A242" s="1"/>
      <c r="B242" s="1"/>
      <c r="C242" s="1"/>
      <c r="D242" s="1"/>
      <c r="E242" s="1"/>
      <c r="F242" s="1"/>
      <c r="G242" s="1"/>
      <c r="H242" s="26"/>
      <c r="I242" s="85"/>
    </row>
    <row r="243" spans="1:9" ht="14.25" customHeight="1" x14ac:dyDescent="0.2">
      <c r="A243" s="1"/>
      <c r="B243" s="1"/>
      <c r="C243" s="1"/>
      <c r="D243" s="1"/>
      <c r="E243" s="1"/>
      <c r="F243" s="1"/>
      <c r="G243" s="1"/>
      <c r="H243" s="26"/>
      <c r="I243" s="85"/>
    </row>
    <row r="244" spans="1:9" ht="14.25" customHeight="1" x14ac:dyDescent="0.2">
      <c r="A244" s="1"/>
      <c r="B244" s="1"/>
      <c r="C244" s="1"/>
      <c r="D244" s="1"/>
      <c r="E244" s="1"/>
      <c r="F244" s="1"/>
      <c r="G244" s="1"/>
      <c r="H244" s="26"/>
      <c r="I244" s="85"/>
    </row>
    <row r="245" spans="1:9" ht="14.25" customHeight="1" x14ac:dyDescent="0.2">
      <c r="A245" s="1"/>
      <c r="B245" s="1"/>
      <c r="C245" s="1"/>
      <c r="D245" s="1"/>
      <c r="E245" s="1"/>
      <c r="F245" s="1"/>
      <c r="G245" s="1"/>
      <c r="H245" s="26"/>
      <c r="I245" s="85"/>
    </row>
    <row r="246" spans="1:9" ht="14.25" customHeight="1" x14ac:dyDescent="0.2">
      <c r="A246" s="1"/>
      <c r="B246" s="1"/>
      <c r="C246" s="1"/>
      <c r="D246" s="1"/>
      <c r="E246" s="1"/>
      <c r="F246" s="1"/>
      <c r="G246" s="1"/>
      <c r="H246" s="26"/>
      <c r="I246" s="85"/>
    </row>
    <row r="247" spans="1:9" ht="14.25" customHeight="1" x14ac:dyDescent="0.2">
      <c r="A247" s="1"/>
      <c r="B247" s="1"/>
      <c r="C247" s="1"/>
      <c r="D247" s="1"/>
      <c r="E247" s="1"/>
      <c r="F247" s="1"/>
      <c r="G247" s="1"/>
      <c r="H247" s="26"/>
      <c r="I247" s="85"/>
    </row>
    <row r="248" spans="1:9" ht="14.25" customHeight="1" x14ac:dyDescent="0.2">
      <c r="A248" s="1"/>
      <c r="B248" s="1"/>
      <c r="C248" s="1"/>
      <c r="D248" s="1"/>
      <c r="E248" s="1"/>
      <c r="F248" s="1"/>
      <c r="G248" s="1"/>
      <c r="H248" s="26"/>
      <c r="I248" s="85"/>
    </row>
    <row r="249" spans="1:9" ht="14.25" customHeight="1" x14ac:dyDescent="0.2">
      <c r="A249" s="1"/>
      <c r="B249" s="1"/>
      <c r="C249" s="1"/>
      <c r="D249" s="1"/>
      <c r="E249" s="1"/>
      <c r="F249" s="1"/>
      <c r="G249" s="1"/>
      <c r="H249" s="26"/>
      <c r="I249" s="85"/>
    </row>
    <row r="250" spans="1:9" ht="14.25" customHeight="1" x14ac:dyDescent="0.2">
      <c r="A250" s="1"/>
      <c r="B250" s="1"/>
      <c r="C250" s="1"/>
      <c r="D250" s="1"/>
      <c r="E250" s="1"/>
      <c r="F250" s="1"/>
      <c r="G250" s="1"/>
      <c r="H250" s="26"/>
      <c r="I250" s="85"/>
    </row>
    <row r="251" spans="1:9" ht="14.25" customHeight="1" x14ac:dyDescent="0.2">
      <c r="A251" s="1"/>
      <c r="B251" s="1"/>
      <c r="C251" s="1"/>
      <c r="D251" s="1"/>
      <c r="E251" s="1"/>
      <c r="F251" s="1"/>
      <c r="G251" s="1"/>
      <c r="H251" s="26"/>
      <c r="I251" s="85"/>
    </row>
    <row r="252" spans="1:9" ht="14.25" customHeight="1" x14ac:dyDescent="0.2">
      <c r="A252" s="1"/>
      <c r="B252" s="1"/>
      <c r="C252" s="1"/>
      <c r="D252" s="1"/>
      <c r="E252" s="1"/>
      <c r="F252" s="1"/>
      <c r="G252" s="1"/>
      <c r="H252" s="26"/>
      <c r="I252" s="85"/>
    </row>
    <row r="253" spans="1:9" ht="14.25" customHeight="1" x14ac:dyDescent="0.2">
      <c r="A253" s="1"/>
      <c r="B253" s="1"/>
      <c r="C253" s="1"/>
      <c r="D253" s="1"/>
      <c r="E253" s="1"/>
      <c r="F253" s="1"/>
      <c r="G253" s="1"/>
      <c r="H253" s="26"/>
      <c r="I253" s="85"/>
    </row>
    <row r="254" spans="1:9" ht="14.25" customHeight="1" x14ac:dyDescent="0.2">
      <c r="A254" s="1"/>
      <c r="B254" s="1"/>
      <c r="C254" s="1"/>
      <c r="D254" s="1"/>
      <c r="E254" s="1"/>
      <c r="F254" s="1"/>
      <c r="G254" s="1"/>
      <c r="H254" s="26"/>
      <c r="I254" s="85"/>
    </row>
    <row r="255" spans="1:9" ht="14.25" customHeight="1" x14ac:dyDescent="0.2">
      <c r="A255" s="1"/>
      <c r="B255" s="1"/>
      <c r="C255" s="1"/>
      <c r="D255" s="1"/>
      <c r="E255" s="1"/>
      <c r="F255" s="1"/>
      <c r="G255" s="1"/>
      <c r="H255" s="26"/>
      <c r="I255" s="85"/>
    </row>
    <row r="256" spans="1:9" ht="14.25" customHeight="1" x14ac:dyDescent="0.2">
      <c r="A256" s="1"/>
      <c r="B256" s="1"/>
      <c r="C256" s="1"/>
      <c r="D256" s="1"/>
      <c r="E256" s="1"/>
      <c r="F256" s="1"/>
      <c r="G256" s="1"/>
      <c r="H256" s="26"/>
      <c r="I256" s="85"/>
    </row>
    <row r="257" spans="1:9" ht="14.25" customHeight="1" x14ac:dyDescent="0.2">
      <c r="A257" s="1"/>
      <c r="B257" s="1"/>
      <c r="C257" s="1"/>
      <c r="D257" s="1"/>
      <c r="E257" s="1"/>
      <c r="F257" s="1"/>
      <c r="G257" s="1"/>
      <c r="H257" s="26"/>
      <c r="I257" s="85"/>
    </row>
    <row r="258" spans="1:9" ht="14.25" customHeight="1" x14ac:dyDescent="0.2">
      <c r="A258" s="1"/>
      <c r="B258" s="1"/>
      <c r="C258" s="1"/>
      <c r="D258" s="1"/>
      <c r="E258" s="1"/>
      <c r="F258" s="1"/>
      <c r="G258" s="1"/>
      <c r="H258" s="26"/>
      <c r="I258" s="85"/>
    </row>
    <row r="259" spans="1:9" ht="14.25" customHeight="1" x14ac:dyDescent="0.2">
      <c r="A259" s="1"/>
      <c r="B259" s="1"/>
      <c r="C259" s="1"/>
      <c r="D259" s="1"/>
      <c r="E259" s="1"/>
      <c r="F259" s="1"/>
      <c r="G259" s="1"/>
      <c r="H259" s="26"/>
      <c r="I259" s="85"/>
    </row>
    <row r="260" spans="1:9" ht="14.25" customHeight="1" x14ac:dyDescent="0.2">
      <c r="A260" s="1"/>
      <c r="B260" s="1"/>
      <c r="C260" s="1"/>
      <c r="D260" s="1"/>
      <c r="E260" s="1"/>
      <c r="F260" s="1"/>
      <c r="G260" s="1"/>
      <c r="H260" s="26"/>
      <c r="I260" s="85"/>
    </row>
    <row r="261" spans="1:9" ht="14.25" customHeight="1" x14ac:dyDescent="0.2">
      <c r="A261" s="1"/>
      <c r="B261" s="1"/>
      <c r="C261" s="1"/>
      <c r="D261" s="1"/>
      <c r="E261" s="1"/>
      <c r="F261" s="1"/>
      <c r="G261" s="1"/>
      <c r="H261" s="26"/>
      <c r="I261" s="85"/>
    </row>
    <row r="262" spans="1:9" ht="14.25" customHeight="1" x14ac:dyDescent="0.2">
      <c r="A262" s="1"/>
      <c r="B262" s="1"/>
      <c r="C262" s="1"/>
      <c r="D262" s="1"/>
      <c r="E262" s="1"/>
      <c r="F262" s="1"/>
      <c r="G262" s="1"/>
      <c r="H262" s="26"/>
      <c r="I262" s="85"/>
    </row>
    <row r="263" spans="1:9" ht="14.25" customHeight="1" x14ac:dyDescent="0.2">
      <c r="A263" s="1"/>
      <c r="B263" s="1"/>
      <c r="C263" s="1"/>
      <c r="D263" s="1"/>
      <c r="E263" s="1"/>
      <c r="F263" s="1"/>
      <c r="G263" s="1"/>
      <c r="H263" s="26"/>
      <c r="I263" s="85"/>
    </row>
    <row r="264" spans="1:9" ht="14.25" customHeight="1" x14ac:dyDescent="0.2">
      <c r="A264" s="1"/>
      <c r="B264" s="1"/>
      <c r="C264" s="1"/>
      <c r="D264" s="1"/>
      <c r="E264" s="1"/>
      <c r="F264" s="1"/>
      <c r="G264" s="1"/>
      <c r="H264" s="26"/>
      <c r="I264" s="85"/>
    </row>
    <row r="265" spans="1:9" ht="14.25" customHeight="1" x14ac:dyDescent="0.2">
      <c r="A265" s="1"/>
      <c r="B265" s="1"/>
      <c r="C265" s="1"/>
      <c r="D265" s="1"/>
      <c r="E265" s="1"/>
      <c r="F265" s="1"/>
      <c r="G265" s="1"/>
      <c r="H265" s="26"/>
      <c r="I265" s="85"/>
    </row>
    <row r="266" spans="1:9" ht="14.25" customHeight="1" x14ac:dyDescent="0.2">
      <c r="A266" s="1"/>
      <c r="B266" s="1"/>
      <c r="C266" s="1"/>
      <c r="D266" s="1"/>
      <c r="E266" s="1"/>
      <c r="F266" s="1"/>
      <c r="G266" s="1"/>
      <c r="H266" s="26"/>
      <c r="I266" s="85"/>
    </row>
    <row r="267" spans="1:9" ht="14.25" customHeight="1" x14ac:dyDescent="0.2">
      <c r="A267" s="1"/>
      <c r="B267" s="1"/>
      <c r="C267" s="1"/>
      <c r="D267" s="1"/>
      <c r="E267" s="1"/>
      <c r="F267" s="1"/>
      <c r="G267" s="1"/>
      <c r="H267" s="26"/>
      <c r="I267" s="85"/>
    </row>
    <row r="268" spans="1:9" ht="14.25" customHeight="1" x14ac:dyDescent="0.2">
      <c r="A268" s="1"/>
      <c r="B268" s="1"/>
      <c r="C268" s="1"/>
      <c r="D268" s="1"/>
      <c r="E268" s="1"/>
      <c r="F268" s="1"/>
      <c r="G268" s="1"/>
      <c r="H268" s="26"/>
      <c r="I268" s="85"/>
    </row>
    <row r="269" spans="1:9" ht="14.25" customHeight="1" x14ac:dyDescent="0.2">
      <c r="A269" s="1"/>
      <c r="B269" s="1"/>
      <c r="C269" s="1"/>
      <c r="D269" s="1"/>
      <c r="E269" s="1"/>
      <c r="F269" s="1"/>
      <c r="G269" s="1"/>
      <c r="H269" s="26"/>
      <c r="I269" s="85"/>
    </row>
    <row r="270" spans="1:9" ht="14.25" customHeight="1" x14ac:dyDescent="0.2">
      <c r="A270" s="1"/>
      <c r="B270" s="1"/>
      <c r="C270" s="1"/>
      <c r="D270" s="1"/>
      <c r="E270" s="1"/>
      <c r="F270" s="1"/>
      <c r="G270" s="1"/>
      <c r="H270" s="26"/>
      <c r="I270" s="85"/>
    </row>
    <row r="271" spans="1:9" ht="14.25" customHeight="1" x14ac:dyDescent="0.2">
      <c r="A271" s="1"/>
      <c r="B271" s="1"/>
      <c r="C271" s="1"/>
      <c r="D271" s="1"/>
      <c r="E271" s="1"/>
      <c r="F271" s="1"/>
      <c r="G271" s="1"/>
      <c r="H271" s="26"/>
      <c r="I271" s="85"/>
    </row>
    <row r="272" spans="1:9" ht="14.25" customHeight="1" x14ac:dyDescent="0.2">
      <c r="A272" s="1"/>
      <c r="B272" s="1"/>
      <c r="C272" s="1"/>
      <c r="D272" s="1"/>
      <c r="E272" s="1"/>
      <c r="F272" s="1"/>
      <c r="G272" s="1"/>
      <c r="H272" s="26"/>
      <c r="I272" s="85"/>
    </row>
    <row r="273" spans="1:9" ht="14.25" customHeight="1" x14ac:dyDescent="0.2">
      <c r="A273" s="1"/>
      <c r="B273" s="1"/>
      <c r="C273" s="1"/>
      <c r="D273" s="1"/>
      <c r="E273" s="1"/>
      <c r="F273" s="1"/>
      <c r="G273" s="1"/>
      <c r="H273" s="26"/>
      <c r="I273" s="85"/>
    </row>
    <row r="274" spans="1:9" ht="14.25" customHeight="1" x14ac:dyDescent="0.2">
      <c r="A274" s="1"/>
      <c r="B274" s="1"/>
      <c r="C274" s="1"/>
      <c r="D274" s="1"/>
      <c r="E274" s="1"/>
      <c r="F274" s="1"/>
      <c r="G274" s="1"/>
      <c r="H274" s="26"/>
      <c r="I274" s="85"/>
    </row>
    <row r="275" spans="1:9" ht="14.25" customHeight="1" x14ac:dyDescent="0.2">
      <c r="A275" s="1"/>
      <c r="B275" s="1"/>
      <c r="C275" s="1"/>
      <c r="D275" s="1"/>
      <c r="E275" s="1"/>
      <c r="F275" s="1"/>
      <c r="G275" s="1"/>
      <c r="H275" s="26"/>
      <c r="I275" s="85"/>
    </row>
    <row r="276" spans="1:9" ht="14.25" customHeight="1" x14ac:dyDescent="0.2">
      <c r="A276" s="1"/>
      <c r="B276" s="1"/>
      <c r="C276" s="1"/>
      <c r="D276" s="1"/>
      <c r="E276" s="1"/>
      <c r="F276" s="1"/>
      <c r="G276" s="1"/>
      <c r="H276" s="26"/>
      <c r="I276" s="85"/>
    </row>
    <row r="277" spans="1:9" ht="14.25" customHeight="1" x14ac:dyDescent="0.2">
      <c r="A277" s="1"/>
      <c r="B277" s="1"/>
      <c r="C277" s="1"/>
      <c r="D277" s="1"/>
      <c r="E277" s="1"/>
      <c r="F277" s="1"/>
      <c r="G277" s="1"/>
      <c r="H277" s="26"/>
      <c r="I277" s="85"/>
    </row>
    <row r="278" spans="1:9" ht="14.25" customHeight="1" x14ac:dyDescent="0.2">
      <c r="A278" s="1"/>
      <c r="B278" s="1"/>
      <c r="C278" s="1"/>
      <c r="D278" s="1"/>
      <c r="E278" s="1"/>
      <c r="F278" s="1"/>
      <c r="G278" s="1"/>
      <c r="H278" s="26"/>
      <c r="I278" s="85"/>
    </row>
    <row r="279" spans="1:9" ht="14.25" customHeight="1" x14ac:dyDescent="0.2">
      <c r="A279" s="1"/>
      <c r="B279" s="1"/>
      <c r="C279" s="1"/>
      <c r="D279" s="1"/>
      <c r="E279" s="1"/>
      <c r="F279" s="1"/>
      <c r="G279" s="1"/>
      <c r="H279" s="26"/>
      <c r="I279" s="85"/>
    </row>
    <row r="280" spans="1:9" ht="14.25" customHeight="1" x14ac:dyDescent="0.2">
      <c r="A280" s="1"/>
      <c r="B280" s="1"/>
      <c r="C280" s="1"/>
      <c r="D280" s="1"/>
      <c r="E280" s="1"/>
      <c r="F280" s="1"/>
      <c r="G280" s="1"/>
      <c r="H280" s="26"/>
      <c r="I280" s="85"/>
    </row>
    <row r="281" spans="1:9" ht="14.25" customHeight="1" x14ac:dyDescent="0.2">
      <c r="A281" s="1"/>
      <c r="B281" s="1"/>
      <c r="C281" s="1"/>
      <c r="D281" s="1"/>
      <c r="E281" s="1"/>
      <c r="F281" s="1"/>
      <c r="G281" s="1"/>
      <c r="H281" s="26"/>
      <c r="I281" s="85"/>
    </row>
    <row r="282" spans="1:9" ht="14.25" customHeight="1" x14ac:dyDescent="0.2">
      <c r="A282" s="1"/>
      <c r="B282" s="1"/>
      <c r="C282" s="1"/>
      <c r="D282" s="1"/>
      <c r="E282" s="1"/>
      <c r="F282" s="1"/>
      <c r="G282" s="1"/>
      <c r="H282" s="26"/>
      <c r="I282" s="85"/>
    </row>
    <row r="283" spans="1:9" ht="14.25" customHeight="1" x14ac:dyDescent="0.2">
      <c r="A283" s="1"/>
      <c r="B283" s="1"/>
      <c r="C283" s="1"/>
      <c r="D283" s="1"/>
      <c r="E283" s="1"/>
      <c r="F283" s="1"/>
      <c r="G283" s="1"/>
      <c r="H283" s="26"/>
      <c r="I283" s="85"/>
    </row>
    <row r="284" spans="1:9" ht="14.25" customHeight="1" x14ac:dyDescent="0.2">
      <c r="A284" s="1"/>
      <c r="B284" s="1"/>
      <c r="C284" s="1"/>
      <c r="D284" s="1"/>
      <c r="E284" s="1"/>
      <c r="F284" s="1"/>
      <c r="G284" s="1"/>
      <c r="H284" s="26"/>
      <c r="I284" s="85"/>
    </row>
    <row r="285" spans="1:9" ht="14.25" customHeight="1" x14ac:dyDescent="0.2">
      <c r="A285" s="1"/>
      <c r="B285" s="1"/>
      <c r="C285" s="1"/>
      <c r="D285" s="1"/>
      <c r="E285" s="1"/>
      <c r="F285" s="1"/>
      <c r="G285" s="1"/>
      <c r="H285" s="26"/>
      <c r="I285" s="85"/>
    </row>
    <row r="286" spans="1:9" ht="14.25" customHeight="1" x14ac:dyDescent="0.2">
      <c r="A286" s="1"/>
      <c r="B286" s="1"/>
      <c r="C286" s="1"/>
      <c r="D286" s="1"/>
      <c r="E286" s="1"/>
      <c r="F286" s="1"/>
      <c r="G286" s="1"/>
      <c r="H286" s="26"/>
      <c r="I286" s="85"/>
    </row>
    <row r="287" spans="1:9" ht="14.25" customHeight="1" x14ac:dyDescent="0.2">
      <c r="A287" s="1"/>
      <c r="B287" s="1"/>
      <c r="C287" s="1"/>
      <c r="D287" s="1"/>
      <c r="E287" s="1"/>
      <c r="F287" s="1"/>
      <c r="G287" s="1"/>
      <c r="H287" s="26"/>
      <c r="I287" s="85"/>
    </row>
    <row r="288" spans="1:9" ht="14.25" customHeight="1" x14ac:dyDescent="0.2">
      <c r="A288" s="1"/>
      <c r="B288" s="1"/>
      <c r="C288" s="1"/>
      <c r="D288" s="1"/>
      <c r="E288" s="1"/>
      <c r="F288" s="1"/>
      <c r="G288" s="1"/>
      <c r="H288" s="26"/>
      <c r="I288" s="85"/>
    </row>
    <row r="289" spans="1:9" ht="14.25" customHeight="1" x14ac:dyDescent="0.2">
      <c r="A289" s="1"/>
      <c r="B289" s="1"/>
      <c r="C289" s="1"/>
      <c r="D289" s="1"/>
      <c r="E289" s="1"/>
      <c r="F289" s="1"/>
      <c r="G289" s="1"/>
      <c r="H289" s="26"/>
      <c r="I289" s="85"/>
    </row>
    <row r="290" spans="1:9" ht="14.25" customHeight="1" x14ac:dyDescent="0.2">
      <c r="A290" s="1"/>
      <c r="B290" s="1"/>
      <c r="C290" s="1"/>
      <c r="D290" s="1"/>
      <c r="E290" s="1"/>
      <c r="F290" s="1"/>
      <c r="G290" s="1"/>
      <c r="H290" s="26"/>
      <c r="I290" s="85"/>
    </row>
    <row r="291" spans="1:9" ht="14.25" customHeight="1" x14ac:dyDescent="0.2">
      <c r="A291" s="1"/>
      <c r="B291" s="1"/>
      <c r="C291" s="1"/>
      <c r="D291" s="1"/>
      <c r="E291" s="1"/>
      <c r="F291" s="1"/>
      <c r="G291" s="1"/>
      <c r="H291" s="26"/>
      <c r="I291" s="85"/>
    </row>
    <row r="292" spans="1:9" ht="14.25" customHeight="1" x14ac:dyDescent="0.2">
      <c r="A292" s="1"/>
      <c r="B292" s="1"/>
      <c r="C292" s="1"/>
      <c r="D292" s="1"/>
      <c r="E292" s="1"/>
      <c r="F292" s="1"/>
      <c r="G292" s="1"/>
      <c r="H292" s="26"/>
      <c r="I292" s="85"/>
    </row>
    <row r="293" spans="1:9" ht="14.25" customHeight="1" x14ac:dyDescent="0.2">
      <c r="A293" s="1"/>
      <c r="B293" s="1"/>
      <c r="C293" s="1"/>
      <c r="D293" s="1"/>
      <c r="E293" s="1"/>
      <c r="F293" s="1"/>
      <c r="G293" s="1"/>
      <c r="H293" s="26"/>
      <c r="I293" s="85"/>
    </row>
    <row r="294" spans="1:9" ht="14.25" customHeight="1" x14ac:dyDescent="0.2">
      <c r="A294" s="1"/>
      <c r="B294" s="1"/>
      <c r="C294" s="1"/>
      <c r="D294" s="1"/>
      <c r="E294" s="1"/>
      <c r="F294" s="1"/>
      <c r="G294" s="1"/>
      <c r="H294" s="26"/>
      <c r="I294" s="85"/>
    </row>
    <row r="295" spans="1:9" ht="14.25" customHeight="1" x14ac:dyDescent="0.2">
      <c r="A295" s="1"/>
      <c r="B295" s="1"/>
      <c r="C295" s="1"/>
      <c r="D295" s="1"/>
      <c r="E295" s="1"/>
      <c r="F295" s="1"/>
      <c r="G295" s="1"/>
      <c r="H295" s="26"/>
      <c r="I295" s="85"/>
    </row>
    <row r="296" spans="1:9" ht="14.25" customHeight="1" x14ac:dyDescent="0.2">
      <c r="A296" s="1"/>
      <c r="B296" s="1"/>
      <c r="C296" s="1"/>
      <c r="D296" s="1"/>
      <c r="E296" s="1"/>
      <c r="F296" s="1"/>
      <c r="G296" s="1"/>
      <c r="H296" s="26"/>
      <c r="I296" s="85"/>
    </row>
    <row r="297" spans="1:9" ht="14.25" customHeight="1" x14ac:dyDescent="0.2">
      <c r="A297" s="1"/>
      <c r="B297" s="1"/>
      <c r="C297" s="1"/>
      <c r="D297" s="1"/>
      <c r="E297" s="1"/>
      <c r="F297" s="1"/>
      <c r="G297" s="1"/>
      <c r="H297" s="26"/>
      <c r="I297" s="85"/>
    </row>
    <row r="298" spans="1:9" ht="14.25" customHeight="1" x14ac:dyDescent="0.2">
      <c r="A298" s="1"/>
      <c r="B298" s="1"/>
      <c r="C298" s="1"/>
      <c r="D298" s="1"/>
      <c r="E298" s="1"/>
      <c r="F298" s="1"/>
      <c r="G298" s="1"/>
      <c r="H298" s="26"/>
      <c r="I298" s="85"/>
    </row>
    <row r="299" spans="1:9" ht="14.25" customHeight="1" x14ac:dyDescent="0.2">
      <c r="A299" s="1"/>
      <c r="B299" s="1"/>
      <c r="C299" s="1"/>
      <c r="D299" s="1"/>
      <c r="E299" s="1"/>
      <c r="F299" s="1"/>
      <c r="G299" s="1"/>
      <c r="H299" s="26"/>
      <c r="I299" s="85"/>
    </row>
    <row r="300" spans="1:9" ht="14.25" customHeight="1" x14ac:dyDescent="0.2">
      <c r="A300" s="1"/>
      <c r="B300" s="1"/>
      <c r="C300" s="1"/>
      <c r="D300" s="1"/>
      <c r="E300" s="1"/>
      <c r="F300" s="1"/>
      <c r="G300" s="1"/>
      <c r="H300" s="26"/>
      <c r="I300" s="85"/>
    </row>
    <row r="301" spans="1:9" ht="14.25" customHeight="1" x14ac:dyDescent="0.2">
      <c r="A301" s="1"/>
      <c r="B301" s="1"/>
      <c r="C301" s="1"/>
      <c r="D301" s="1"/>
      <c r="E301" s="1"/>
      <c r="F301" s="1"/>
      <c r="G301" s="1"/>
      <c r="H301" s="26"/>
      <c r="I301" s="85"/>
    </row>
    <row r="302" spans="1:9" ht="14.25" customHeight="1" x14ac:dyDescent="0.2">
      <c r="A302" s="1"/>
      <c r="B302" s="1"/>
      <c r="C302" s="1"/>
      <c r="D302" s="1"/>
      <c r="E302" s="1"/>
      <c r="F302" s="1"/>
      <c r="G302" s="1"/>
      <c r="H302" s="26"/>
      <c r="I302" s="85"/>
    </row>
    <row r="303" spans="1:9" ht="14.25" customHeight="1" x14ac:dyDescent="0.2">
      <c r="A303" s="1"/>
      <c r="B303" s="1"/>
      <c r="C303" s="1"/>
      <c r="D303" s="1"/>
      <c r="E303" s="1"/>
      <c r="F303" s="1"/>
      <c r="G303" s="1"/>
      <c r="H303" s="26"/>
      <c r="I303" s="85"/>
    </row>
    <row r="304" spans="1:9" ht="14.25" customHeight="1" x14ac:dyDescent="0.2">
      <c r="A304" s="1"/>
      <c r="B304" s="1"/>
      <c r="C304" s="1"/>
      <c r="D304" s="1"/>
      <c r="E304" s="1"/>
      <c r="F304" s="1"/>
      <c r="G304" s="1"/>
      <c r="H304" s="26"/>
      <c r="I304" s="85"/>
    </row>
    <row r="305" spans="1:9" ht="14.25" customHeight="1" x14ac:dyDescent="0.2">
      <c r="A305" s="1"/>
      <c r="B305" s="1"/>
      <c r="C305" s="1"/>
      <c r="D305" s="1"/>
      <c r="E305" s="1"/>
      <c r="F305" s="1"/>
      <c r="G305" s="1"/>
      <c r="H305" s="26"/>
      <c r="I305" s="85"/>
    </row>
    <row r="306" spans="1:9" ht="14.25" customHeight="1" x14ac:dyDescent="0.2">
      <c r="A306" s="1"/>
      <c r="B306" s="1"/>
      <c r="C306" s="1"/>
      <c r="D306" s="1"/>
      <c r="E306" s="1"/>
      <c r="F306" s="1"/>
      <c r="G306" s="1"/>
      <c r="H306" s="26"/>
      <c r="I306" s="85"/>
    </row>
    <row r="307" spans="1:9" ht="14.25" customHeight="1" x14ac:dyDescent="0.2">
      <c r="A307" s="1"/>
      <c r="B307" s="1"/>
      <c r="C307" s="1"/>
      <c r="D307" s="1"/>
      <c r="E307" s="1"/>
      <c r="F307" s="1"/>
      <c r="G307" s="1"/>
      <c r="H307" s="26"/>
      <c r="I307" s="85"/>
    </row>
    <row r="308" spans="1:9" ht="14.25" customHeight="1" x14ac:dyDescent="0.2">
      <c r="A308" s="1"/>
      <c r="B308" s="1"/>
      <c r="C308" s="1"/>
      <c r="D308" s="1"/>
      <c r="E308" s="1"/>
      <c r="F308" s="1"/>
      <c r="G308" s="1"/>
      <c r="H308" s="26"/>
      <c r="I308" s="85"/>
    </row>
    <row r="309" spans="1:9" ht="14.25" customHeight="1" x14ac:dyDescent="0.2">
      <c r="A309" s="1"/>
      <c r="B309" s="1"/>
      <c r="C309" s="1"/>
      <c r="D309" s="1"/>
      <c r="E309" s="1"/>
      <c r="F309" s="1"/>
      <c r="G309" s="1"/>
      <c r="H309" s="26"/>
      <c r="I309" s="85"/>
    </row>
    <row r="310" spans="1:9" ht="14.25" customHeight="1" x14ac:dyDescent="0.2">
      <c r="A310" s="1"/>
      <c r="B310" s="1"/>
      <c r="C310" s="1"/>
      <c r="D310" s="1"/>
      <c r="E310" s="1"/>
      <c r="F310" s="1"/>
      <c r="G310" s="1"/>
      <c r="H310" s="26"/>
      <c r="I310" s="85"/>
    </row>
    <row r="311" spans="1:9" ht="14.25" customHeight="1" x14ac:dyDescent="0.2">
      <c r="A311" s="1"/>
      <c r="B311" s="1"/>
      <c r="C311" s="1"/>
      <c r="D311" s="1"/>
      <c r="E311" s="1"/>
      <c r="F311" s="1"/>
      <c r="G311" s="1"/>
      <c r="H311" s="26"/>
      <c r="I311" s="85"/>
    </row>
    <row r="312" spans="1:9" ht="14.25" customHeight="1" x14ac:dyDescent="0.2">
      <c r="A312" s="1"/>
      <c r="B312" s="1"/>
      <c r="C312" s="1"/>
      <c r="D312" s="1"/>
      <c r="E312" s="1"/>
      <c r="F312" s="1"/>
      <c r="G312" s="1"/>
      <c r="H312" s="26"/>
      <c r="I312" s="85"/>
    </row>
    <row r="313" spans="1:9" ht="14.25" customHeight="1" x14ac:dyDescent="0.2">
      <c r="A313" s="1"/>
      <c r="B313" s="1"/>
      <c r="C313" s="1"/>
      <c r="D313" s="1"/>
      <c r="E313" s="1"/>
      <c r="F313" s="1"/>
      <c r="G313" s="1"/>
      <c r="H313" s="26"/>
      <c r="I313" s="85"/>
    </row>
    <row r="314" spans="1:9" ht="14.25" customHeight="1" x14ac:dyDescent="0.2">
      <c r="A314" s="1"/>
      <c r="B314" s="1"/>
      <c r="C314" s="1"/>
      <c r="D314" s="1"/>
      <c r="E314" s="1"/>
      <c r="F314" s="1"/>
      <c r="G314" s="1"/>
      <c r="H314" s="26"/>
      <c r="I314" s="85"/>
    </row>
    <row r="315" spans="1:9" ht="14.25" customHeight="1" x14ac:dyDescent="0.2">
      <c r="A315" s="1"/>
      <c r="B315" s="1"/>
      <c r="C315" s="1"/>
      <c r="D315" s="1"/>
      <c r="E315" s="1"/>
      <c r="F315" s="1"/>
      <c r="G315" s="1"/>
      <c r="H315" s="26"/>
      <c r="I315" s="85"/>
    </row>
    <row r="316" spans="1:9" ht="14.25" customHeight="1" x14ac:dyDescent="0.2">
      <c r="A316" s="1"/>
      <c r="B316" s="1"/>
      <c r="C316" s="1"/>
      <c r="D316" s="1"/>
      <c r="E316" s="1"/>
      <c r="F316" s="1"/>
      <c r="G316" s="1"/>
      <c r="H316" s="26"/>
      <c r="I316" s="85"/>
    </row>
    <row r="317" spans="1:9" ht="14.25" customHeight="1" x14ac:dyDescent="0.2">
      <c r="A317" s="1"/>
      <c r="B317" s="1"/>
      <c r="C317" s="1"/>
      <c r="D317" s="1"/>
      <c r="E317" s="1"/>
      <c r="F317" s="1"/>
      <c r="G317" s="1"/>
      <c r="H317" s="26"/>
      <c r="I317" s="85"/>
    </row>
    <row r="318" spans="1:9" ht="14.25" customHeight="1" x14ac:dyDescent="0.2">
      <c r="A318" s="1"/>
      <c r="B318" s="1"/>
      <c r="C318" s="1"/>
      <c r="D318" s="1"/>
      <c r="E318" s="1"/>
      <c r="F318" s="1"/>
      <c r="G318" s="1"/>
      <c r="H318" s="26"/>
      <c r="I318" s="85"/>
    </row>
    <row r="319" spans="1:9" ht="14.25" customHeight="1" x14ac:dyDescent="0.2">
      <c r="A319" s="1"/>
      <c r="B319" s="1"/>
      <c r="C319" s="1"/>
      <c r="D319" s="1"/>
      <c r="E319" s="1"/>
      <c r="F319" s="1"/>
      <c r="G319" s="1"/>
      <c r="H319" s="26"/>
      <c r="I319" s="85"/>
    </row>
    <row r="320" spans="1:9" ht="14.25" customHeight="1" x14ac:dyDescent="0.2">
      <c r="A320" s="1"/>
      <c r="B320" s="1"/>
      <c r="C320" s="1"/>
      <c r="D320" s="1"/>
      <c r="E320" s="1"/>
      <c r="F320" s="1"/>
      <c r="G320" s="1"/>
      <c r="H320" s="26"/>
      <c r="I320" s="85"/>
    </row>
    <row r="321" spans="1:9" ht="14.25" customHeight="1" x14ac:dyDescent="0.2">
      <c r="A321" s="1"/>
      <c r="B321" s="1"/>
      <c r="C321" s="1"/>
      <c r="D321" s="1"/>
      <c r="E321" s="1"/>
      <c r="F321" s="1"/>
      <c r="G321" s="1"/>
      <c r="H321" s="26"/>
      <c r="I321" s="85"/>
    </row>
    <row r="322" spans="1:9" ht="14.25" customHeight="1" x14ac:dyDescent="0.2">
      <c r="A322" s="1"/>
      <c r="B322" s="1"/>
      <c r="C322" s="1"/>
      <c r="D322" s="1"/>
      <c r="E322" s="1"/>
      <c r="F322" s="1"/>
      <c r="G322" s="1"/>
      <c r="H322" s="26"/>
      <c r="I322" s="85"/>
    </row>
    <row r="323" spans="1:9" ht="14.25" customHeight="1" x14ac:dyDescent="0.2">
      <c r="A323" s="1"/>
      <c r="B323" s="1"/>
      <c r="C323" s="1"/>
      <c r="D323" s="1"/>
      <c r="E323" s="1"/>
      <c r="F323" s="1"/>
      <c r="G323" s="1"/>
      <c r="H323" s="26"/>
      <c r="I323" s="85"/>
    </row>
    <row r="324" spans="1:9" ht="14.25" customHeight="1" x14ac:dyDescent="0.2">
      <c r="A324" s="1"/>
      <c r="B324" s="1"/>
      <c r="C324" s="1"/>
      <c r="D324" s="1"/>
      <c r="E324" s="1"/>
      <c r="F324" s="1"/>
      <c r="G324" s="1"/>
      <c r="H324" s="26"/>
      <c r="I324" s="85"/>
    </row>
    <row r="325" spans="1:9" ht="14.25" customHeight="1" x14ac:dyDescent="0.2">
      <c r="A325" s="1"/>
      <c r="B325" s="1"/>
      <c r="C325" s="1"/>
      <c r="D325" s="1"/>
      <c r="E325" s="1"/>
      <c r="F325" s="1"/>
      <c r="G325" s="1"/>
      <c r="H325" s="26"/>
      <c r="I325" s="85"/>
    </row>
    <row r="326" spans="1:9" ht="14.25" customHeight="1" x14ac:dyDescent="0.2">
      <c r="A326" s="1"/>
      <c r="B326" s="1"/>
      <c r="C326" s="1"/>
      <c r="D326" s="1"/>
      <c r="E326" s="1"/>
      <c r="F326" s="1"/>
      <c r="G326" s="1"/>
      <c r="H326" s="26"/>
      <c r="I326" s="85"/>
    </row>
    <row r="327" spans="1:9" ht="14.25" customHeight="1" x14ac:dyDescent="0.2">
      <c r="A327" s="1"/>
      <c r="B327" s="1"/>
      <c r="C327" s="1"/>
      <c r="D327" s="1"/>
      <c r="E327" s="1"/>
      <c r="F327" s="1"/>
      <c r="G327" s="1"/>
      <c r="H327" s="26"/>
      <c r="I327" s="85"/>
    </row>
    <row r="328" spans="1:9" ht="14.25" customHeight="1" x14ac:dyDescent="0.2">
      <c r="A328" s="1"/>
      <c r="B328" s="1"/>
      <c r="C328" s="1"/>
      <c r="D328" s="1"/>
      <c r="E328" s="1"/>
      <c r="F328" s="1"/>
      <c r="G328" s="1"/>
      <c r="H328" s="26"/>
      <c r="I328" s="85"/>
    </row>
    <row r="329" spans="1:9" ht="14.25" customHeight="1" x14ac:dyDescent="0.2">
      <c r="A329" s="1"/>
      <c r="B329" s="1"/>
      <c r="C329" s="1"/>
      <c r="D329" s="1"/>
      <c r="E329" s="1"/>
      <c r="F329" s="1"/>
      <c r="G329" s="1"/>
      <c r="H329" s="26"/>
      <c r="I329" s="85"/>
    </row>
    <row r="330" spans="1:9" ht="14.25" customHeight="1" x14ac:dyDescent="0.2">
      <c r="A330" s="1"/>
      <c r="B330" s="1"/>
      <c r="C330" s="1"/>
      <c r="D330" s="1"/>
      <c r="E330" s="1"/>
      <c r="F330" s="1"/>
      <c r="G330" s="1"/>
      <c r="H330" s="26"/>
      <c r="I330" s="85"/>
    </row>
    <row r="331" spans="1:9" ht="14.25" customHeight="1" x14ac:dyDescent="0.2">
      <c r="A331" s="1"/>
      <c r="B331" s="1"/>
      <c r="C331" s="1"/>
      <c r="D331" s="1"/>
      <c r="E331" s="1"/>
      <c r="F331" s="1"/>
      <c r="G331" s="1"/>
      <c r="H331" s="26"/>
      <c r="I331" s="85"/>
    </row>
    <row r="332" spans="1:9" ht="14.25" customHeight="1" x14ac:dyDescent="0.2">
      <c r="A332" s="1"/>
      <c r="B332" s="1"/>
      <c r="C332" s="1"/>
      <c r="D332" s="1"/>
      <c r="E332" s="1"/>
      <c r="F332" s="1"/>
      <c r="G332" s="1"/>
      <c r="H332" s="26"/>
      <c r="I332" s="85"/>
    </row>
    <row r="333" spans="1:9" ht="14.25" customHeight="1" x14ac:dyDescent="0.2">
      <c r="A333" s="1"/>
      <c r="B333" s="1"/>
      <c r="C333" s="1"/>
      <c r="D333" s="1"/>
      <c r="E333" s="1"/>
      <c r="F333" s="1"/>
      <c r="G333" s="1"/>
      <c r="H333" s="26"/>
      <c r="I333" s="85"/>
    </row>
    <row r="334" spans="1:9" ht="14.25" customHeight="1" x14ac:dyDescent="0.2">
      <c r="A334" s="1"/>
      <c r="B334" s="1"/>
      <c r="C334" s="1"/>
      <c r="D334" s="1"/>
      <c r="E334" s="1"/>
      <c r="F334" s="1"/>
      <c r="G334" s="1"/>
      <c r="H334" s="26"/>
      <c r="I334" s="85"/>
    </row>
    <row r="335" spans="1:9" ht="14.25" customHeight="1" x14ac:dyDescent="0.2">
      <c r="A335" s="1"/>
      <c r="B335" s="1"/>
      <c r="C335" s="1"/>
      <c r="D335" s="1"/>
      <c r="E335" s="1"/>
      <c r="F335" s="1"/>
      <c r="G335" s="1"/>
      <c r="H335" s="26"/>
      <c r="I335" s="85"/>
    </row>
    <row r="336" spans="1:9" ht="14.25" customHeight="1" x14ac:dyDescent="0.2">
      <c r="A336" s="1"/>
      <c r="B336" s="1"/>
      <c r="C336" s="1"/>
      <c r="D336" s="1"/>
      <c r="E336" s="1"/>
      <c r="F336" s="1"/>
      <c r="G336" s="1"/>
      <c r="H336" s="26"/>
      <c r="I336" s="85"/>
    </row>
    <row r="337" spans="1:9" ht="14.25" customHeight="1" x14ac:dyDescent="0.2">
      <c r="A337" s="1"/>
      <c r="B337" s="1"/>
      <c r="C337" s="1"/>
      <c r="D337" s="1"/>
      <c r="E337" s="1"/>
      <c r="F337" s="1"/>
      <c r="G337" s="1"/>
      <c r="H337" s="26"/>
      <c r="I337" s="85"/>
    </row>
    <row r="338" spans="1:9" ht="14.25" customHeight="1" x14ac:dyDescent="0.2">
      <c r="A338" s="1"/>
      <c r="B338" s="1"/>
      <c r="C338" s="1"/>
      <c r="D338" s="1"/>
      <c r="E338" s="1"/>
      <c r="F338" s="1"/>
      <c r="G338" s="1"/>
      <c r="H338" s="26"/>
      <c r="I338" s="85"/>
    </row>
    <row r="339" spans="1:9" ht="14.25" customHeight="1" x14ac:dyDescent="0.2">
      <c r="A339" s="1"/>
      <c r="B339" s="1"/>
      <c r="C339" s="1"/>
      <c r="D339" s="1"/>
      <c r="E339" s="1"/>
      <c r="F339" s="1"/>
      <c r="G339" s="1"/>
      <c r="H339" s="26"/>
      <c r="I339" s="85"/>
    </row>
    <row r="340" spans="1:9" ht="14.25" customHeight="1" x14ac:dyDescent="0.2">
      <c r="A340" s="1"/>
      <c r="B340" s="1"/>
      <c r="C340" s="1"/>
      <c r="D340" s="1"/>
      <c r="E340" s="1"/>
      <c r="F340" s="1"/>
      <c r="G340" s="1"/>
      <c r="H340" s="26"/>
      <c r="I340" s="85"/>
    </row>
    <row r="341" spans="1:9" ht="14.25" customHeight="1" x14ac:dyDescent="0.2">
      <c r="A341" s="1"/>
      <c r="B341" s="1"/>
      <c r="C341" s="1"/>
      <c r="D341" s="1"/>
      <c r="E341" s="1"/>
      <c r="F341" s="1"/>
      <c r="G341" s="1"/>
      <c r="H341" s="26"/>
      <c r="I341" s="85"/>
    </row>
    <row r="342" spans="1:9" ht="14.25" customHeight="1" x14ac:dyDescent="0.2">
      <c r="A342" s="1"/>
      <c r="B342" s="1"/>
      <c r="C342" s="1"/>
      <c r="D342" s="1"/>
      <c r="E342" s="1"/>
      <c r="F342" s="1"/>
      <c r="G342" s="1"/>
      <c r="H342" s="26"/>
      <c r="I342" s="85"/>
    </row>
    <row r="343" spans="1:9" ht="14.25" customHeight="1" x14ac:dyDescent="0.2">
      <c r="A343" s="1"/>
      <c r="B343" s="1"/>
      <c r="C343" s="1"/>
      <c r="D343" s="1"/>
      <c r="E343" s="1"/>
      <c r="F343" s="1"/>
      <c r="G343" s="1"/>
      <c r="H343" s="26"/>
      <c r="I343" s="85"/>
    </row>
    <row r="344" spans="1:9" ht="14.25" customHeight="1" x14ac:dyDescent="0.2">
      <c r="A344" s="1"/>
      <c r="B344" s="1"/>
      <c r="C344" s="1"/>
      <c r="D344" s="1"/>
      <c r="E344" s="1"/>
      <c r="F344" s="1"/>
      <c r="G344" s="1"/>
      <c r="H344" s="26"/>
      <c r="I344" s="85"/>
    </row>
    <row r="345" spans="1:9" ht="14.25" customHeight="1" x14ac:dyDescent="0.2">
      <c r="A345" s="1"/>
      <c r="B345" s="1"/>
      <c r="C345" s="1"/>
      <c r="D345" s="1"/>
      <c r="E345" s="1"/>
      <c r="F345" s="1"/>
      <c r="G345" s="1"/>
      <c r="H345" s="26"/>
      <c r="I345" s="85"/>
    </row>
    <row r="346" spans="1:9" ht="14.25" customHeight="1" x14ac:dyDescent="0.2">
      <c r="A346" s="1"/>
      <c r="B346" s="1"/>
      <c r="C346" s="1"/>
      <c r="D346" s="1"/>
      <c r="E346" s="1"/>
      <c r="F346" s="1"/>
      <c r="G346" s="1"/>
      <c r="H346" s="26"/>
      <c r="I346" s="85"/>
    </row>
    <row r="347" spans="1:9" ht="14.25" customHeight="1" x14ac:dyDescent="0.2">
      <c r="A347" s="1"/>
      <c r="B347" s="1"/>
      <c r="C347" s="1"/>
      <c r="D347" s="1"/>
      <c r="E347" s="1"/>
      <c r="F347" s="1"/>
      <c r="G347" s="1"/>
      <c r="H347" s="26"/>
      <c r="I347" s="85"/>
    </row>
    <row r="348" spans="1:9" ht="14.25" customHeight="1" x14ac:dyDescent="0.2">
      <c r="A348" s="1"/>
      <c r="B348" s="1"/>
      <c r="C348" s="1"/>
      <c r="D348" s="1"/>
      <c r="E348" s="1"/>
      <c r="F348" s="1"/>
      <c r="G348" s="1"/>
      <c r="H348" s="26"/>
      <c r="I348" s="85"/>
    </row>
    <row r="349" spans="1:9" ht="14.25" customHeight="1" x14ac:dyDescent="0.2">
      <c r="A349" s="1"/>
      <c r="B349" s="1"/>
      <c r="C349" s="1"/>
      <c r="D349" s="1"/>
      <c r="E349" s="1"/>
      <c r="F349" s="1"/>
      <c r="G349" s="1"/>
      <c r="H349" s="26"/>
      <c r="I349" s="85"/>
    </row>
    <row r="350" spans="1:9" ht="14.25" customHeight="1" x14ac:dyDescent="0.2">
      <c r="A350" s="1"/>
      <c r="B350" s="1"/>
      <c r="C350" s="1"/>
      <c r="D350" s="1"/>
      <c r="E350" s="1"/>
      <c r="F350" s="1"/>
      <c r="G350" s="1"/>
      <c r="H350" s="26"/>
      <c r="I350" s="85"/>
    </row>
    <row r="351" spans="1:9" ht="14.25" customHeight="1" x14ac:dyDescent="0.2">
      <c r="A351" s="1"/>
      <c r="B351" s="1"/>
      <c r="C351" s="1"/>
      <c r="D351" s="1"/>
      <c r="E351" s="1"/>
      <c r="F351" s="1"/>
      <c r="G351" s="1"/>
      <c r="H351" s="26"/>
      <c r="I351" s="85"/>
    </row>
    <row r="352" spans="1:9" ht="14.25" customHeight="1" x14ac:dyDescent="0.2">
      <c r="A352" s="1"/>
      <c r="B352" s="1"/>
      <c r="C352" s="1"/>
      <c r="D352" s="1"/>
      <c r="E352" s="1"/>
      <c r="F352" s="1"/>
      <c r="G352" s="1"/>
      <c r="H352" s="26"/>
      <c r="I352" s="85"/>
    </row>
    <row r="353" spans="1:9" ht="14.25" customHeight="1" x14ac:dyDescent="0.2">
      <c r="A353" s="1"/>
      <c r="B353" s="1"/>
      <c r="C353" s="1"/>
      <c r="D353" s="1"/>
      <c r="E353" s="1"/>
      <c r="F353" s="1"/>
      <c r="G353" s="1"/>
      <c r="H353" s="26"/>
      <c r="I353" s="85"/>
    </row>
    <row r="354" spans="1:9" ht="14.25" customHeight="1" x14ac:dyDescent="0.2">
      <c r="A354" s="1"/>
      <c r="B354" s="1"/>
      <c r="C354" s="1"/>
      <c r="D354" s="1"/>
      <c r="E354" s="1"/>
      <c r="F354" s="1"/>
      <c r="G354" s="1"/>
      <c r="H354" s="26"/>
      <c r="I354" s="85"/>
    </row>
    <row r="355" spans="1:9" ht="14.25" customHeight="1" x14ac:dyDescent="0.2">
      <c r="A355" s="1"/>
      <c r="B355" s="1"/>
      <c r="C355" s="1"/>
      <c r="D355" s="1"/>
      <c r="E355" s="1"/>
      <c r="F355" s="1"/>
      <c r="G355" s="1"/>
      <c r="H355" s="26"/>
      <c r="I355" s="85"/>
    </row>
    <row r="356" spans="1:9" ht="14.25" customHeight="1" x14ac:dyDescent="0.2">
      <c r="A356" s="1"/>
      <c r="B356" s="1"/>
      <c r="C356" s="1"/>
      <c r="D356" s="1"/>
      <c r="E356" s="1"/>
      <c r="F356" s="1"/>
      <c r="G356" s="1"/>
      <c r="H356" s="26"/>
      <c r="I356" s="85"/>
    </row>
    <row r="357" spans="1:9" ht="14.25" customHeight="1" x14ac:dyDescent="0.2">
      <c r="A357" s="1"/>
      <c r="B357" s="1"/>
      <c r="C357" s="1"/>
      <c r="D357" s="1"/>
      <c r="E357" s="1"/>
      <c r="F357" s="1"/>
      <c r="G357" s="1"/>
      <c r="H357" s="26"/>
      <c r="I357" s="85"/>
    </row>
    <row r="358" spans="1:9" ht="14.25" customHeight="1" x14ac:dyDescent="0.2">
      <c r="A358" s="1"/>
      <c r="B358" s="1"/>
      <c r="C358" s="1"/>
      <c r="D358" s="1"/>
      <c r="E358" s="1"/>
      <c r="F358" s="1"/>
      <c r="G358" s="1"/>
      <c r="H358" s="26"/>
      <c r="I358" s="85"/>
    </row>
    <row r="359" spans="1:9" ht="14.25" customHeight="1" x14ac:dyDescent="0.2">
      <c r="A359" s="1"/>
      <c r="B359" s="1"/>
      <c r="C359" s="1"/>
      <c r="D359" s="1"/>
      <c r="E359" s="1"/>
      <c r="F359" s="1"/>
      <c r="G359" s="1"/>
      <c r="H359" s="26"/>
      <c r="I359" s="85"/>
    </row>
    <row r="360" spans="1:9" ht="14.25" customHeight="1" x14ac:dyDescent="0.2">
      <c r="A360" s="1"/>
      <c r="B360" s="1"/>
      <c r="C360" s="1"/>
      <c r="D360" s="1"/>
      <c r="E360" s="1"/>
      <c r="F360" s="1"/>
      <c r="G360" s="1"/>
      <c r="H360" s="26"/>
      <c r="I360" s="85"/>
    </row>
    <row r="361" spans="1:9" ht="14.25" customHeight="1" x14ac:dyDescent="0.2">
      <c r="A361" s="1"/>
      <c r="B361" s="1"/>
      <c r="C361" s="1"/>
      <c r="D361" s="1"/>
      <c r="E361" s="1"/>
      <c r="F361" s="1"/>
      <c r="G361" s="1"/>
      <c r="H361" s="26"/>
      <c r="I361" s="85"/>
    </row>
    <row r="362" spans="1:9" ht="14.25" customHeight="1" x14ac:dyDescent="0.2">
      <c r="A362" s="1"/>
      <c r="B362" s="1"/>
      <c r="C362" s="1"/>
      <c r="D362" s="1"/>
      <c r="E362" s="1"/>
      <c r="F362" s="1"/>
      <c r="G362" s="1"/>
      <c r="H362" s="26"/>
      <c r="I362" s="85"/>
    </row>
    <row r="363" spans="1:9" ht="14.25" customHeight="1" x14ac:dyDescent="0.2">
      <c r="A363" s="1"/>
      <c r="B363" s="1"/>
      <c r="C363" s="1"/>
      <c r="D363" s="1"/>
      <c r="E363" s="1"/>
      <c r="F363" s="1"/>
      <c r="G363" s="1"/>
      <c r="H363" s="26"/>
      <c r="I363" s="85"/>
    </row>
    <row r="364" spans="1:9" ht="14.25" customHeight="1" x14ac:dyDescent="0.2">
      <c r="A364" s="1"/>
      <c r="B364" s="1"/>
      <c r="C364" s="1"/>
      <c r="D364" s="1"/>
      <c r="E364" s="1"/>
      <c r="F364" s="1"/>
      <c r="G364" s="1"/>
      <c r="H364" s="26"/>
      <c r="I364" s="85"/>
    </row>
    <row r="365" spans="1:9" ht="14.25" customHeight="1" x14ac:dyDescent="0.2">
      <c r="A365" s="1"/>
      <c r="B365" s="1"/>
      <c r="C365" s="1"/>
      <c r="D365" s="1"/>
      <c r="E365" s="1"/>
      <c r="F365" s="1"/>
      <c r="G365" s="1"/>
      <c r="H365" s="26"/>
      <c r="I365" s="85"/>
    </row>
    <row r="366" spans="1:9" ht="14.25" customHeight="1" x14ac:dyDescent="0.2">
      <c r="A366" s="1"/>
      <c r="B366" s="1"/>
      <c r="C366" s="1"/>
      <c r="D366" s="1"/>
      <c r="E366" s="1"/>
      <c r="F366" s="1"/>
      <c r="G366" s="1"/>
      <c r="H366" s="26"/>
      <c r="I366" s="85"/>
    </row>
    <row r="367" spans="1:9" ht="14.25" customHeight="1" x14ac:dyDescent="0.2">
      <c r="A367" s="1"/>
      <c r="B367" s="1"/>
      <c r="C367" s="1"/>
      <c r="D367" s="1"/>
      <c r="E367" s="1"/>
      <c r="F367" s="1"/>
      <c r="G367" s="1"/>
      <c r="H367" s="26"/>
      <c r="I367" s="85"/>
    </row>
    <row r="368" spans="1:9" ht="14.25" customHeight="1" x14ac:dyDescent="0.2">
      <c r="A368" s="1"/>
      <c r="B368" s="1"/>
      <c r="C368" s="1"/>
      <c r="D368" s="1"/>
      <c r="E368" s="1"/>
      <c r="F368" s="1"/>
      <c r="G368" s="1"/>
      <c r="H368" s="26"/>
      <c r="I368" s="85"/>
    </row>
    <row r="369" spans="1:9" ht="14.25" customHeight="1" x14ac:dyDescent="0.2">
      <c r="A369" s="1"/>
      <c r="B369" s="1"/>
      <c r="C369" s="1"/>
      <c r="D369" s="1"/>
      <c r="E369" s="1"/>
      <c r="F369" s="1"/>
      <c r="G369" s="1"/>
      <c r="H369" s="26"/>
      <c r="I369" s="85"/>
    </row>
    <row r="370" spans="1:9" ht="14.25" customHeight="1" x14ac:dyDescent="0.2">
      <c r="A370" s="1"/>
      <c r="B370" s="1"/>
      <c r="C370" s="1"/>
      <c r="D370" s="1"/>
      <c r="E370" s="1"/>
      <c r="F370" s="1"/>
      <c r="G370" s="1"/>
      <c r="H370" s="26"/>
      <c r="I370" s="85"/>
    </row>
    <row r="371" spans="1:9" ht="14.25" customHeight="1" x14ac:dyDescent="0.2">
      <c r="A371" s="1"/>
      <c r="B371" s="1"/>
      <c r="C371" s="1"/>
      <c r="D371" s="1"/>
      <c r="E371" s="1"/>
      <c r="F371" s="1"/>
      <c r="G371" s="1"/>
      <c r="H371" s="26"/>
      <c r="I371" s="85"/>
    </row>
    <row r="372" spans="1:9" ht="14.25" customHeight="1" x14ac:dyDescent="0.2">
      <c r="A372" s="1"/>
      <c r="B372" s="1"/>
      <c r="C372" s="1"/>
      <c r="D372" s="1"/>
      <c r="E372" s="1"/>
      <c r="F372" s="1"/>
      <c r="G372" s="1"/>
      <c r="H372" s="26"/>
      <c r="I372" s="85"/>
    </row>
    <row r="373" spans="1:9" ht="14.25" customHeight="1" x14ac:dyDescent="0.2">
      <c r="A373" s="1"/>
      <c r="B373" s="1"/>
      <c r="C373" s="1"/>
      <c r="D373" s="1"/>
      <c r="E373" s="1"/>
      <c r="F373" s="1"/>
      <c r="G373" s="1"/>
      <c r="H373" s="26"/>
      <c r="I373" s="85"/>
    </row>
    <row r="374" spans="1:9" ht="14.25" customHeight="1" x14ac:dyDescent="0.2">
      <c r="A374" s="1"/>
      <c r="B374" s="1"/>
      <c r="C374" s="1"/>
      <c r="D374" s="1"/>
      <c r="E374" s="1"/>
      <c r="F374" s="1"/>
      <c r="G374" s="1"/>
      <c r="H374" s="26"/>
      <c r="I374" s="85"/>
    </row>
    <row r="375" spans="1:9" ht="14.25" customHeight="1" x14ac:dyDescent="0.2">
      <c r="A375" s="1"/>
      <c r="B375" s="1"/>
      <c r="C375" s="1"/>
      <c r="D375" s="1"/>
      <c r="E375" s="1"/>
      <c r="F375" s="1"/>
      <c r="G375" s="1"/>
      <c r="H375" s="26"/>
      <c r="I375" s="85"/>
    </row>
    <row r="376" spans="1:9" ht="14.25" customHeight="1" x14ac:dyDescent="0.2">
      <c r="A376" s="1"/>
      <c r="B376" s="1"/>
      <c r="C376" s="1"/>
      <c r="D376" s="1"/>
      <c r="E376" s="1"/>
      <c r="F376" s="1"/>
      <c r="G376" s="1"/>
      <c r="H376" s="26"/>
      <c r="I376" s="85"/>
    </row>
    <row r="377" spans="1:9" ht="14.25" customHeight="1" x14ac:dyDescent="0.2">
      <c r="A377" s="1"/>
      <c r="B377" s="1"/>
      <c r="C377" s="1"/>
      <c r="D377" s="1"/>
      <c r="E377" s="1"/>
      <c r="F377" s="1"/>
      <c r="G377" s="1"/>
      <c r="H377" s="26"/>
      <c r="I377" s="85"/>
    </row>
    <row r="378" spans="1:9" ht="14.25" customHeight="1" x14ac:dyDescent="0.2">
      <c r="A378" s="1"/>
      <c r="B378" s="1"/>
      <c r="C378" s="1"/>
      <c r="D378" s="1"/>
      <c r="E378" s="1"/>
      <c r="F378" s="1"/>
      <c r="G378" s="1"/>
      <c r="H378" s="26"/>
      <c r="I378" s="85"/>
    </row>
    <row r="379" spans="1:9" ht="14.25" customHeight="1" x14ac:dyDescent="0.2">
      <c r="A379" s="1"/>
      <c r="B379" s="1"/>
      <c r="C379" s="1"/>
      <c r="D379" s="1"/>
      <c r="E379" s="1"/>
      <c r="F379" s="1"/>
      <c r="G379" s="1"/>
      <c r="H379" s="26"/>
      <c r="I379" s="85"/>
    </row>
    <row r="380" spans="1:9" ht="14.25" customHeight="1" x14ac:dyDescent="0.2">
      <c r="A380" s="1"/>
      <c r="B380" s="1"/>
      <c r="C380" s="1"/>
      <c r="D380" s="1"/>
      <c r="E380" s="1"/>
      <c r="F380" s="1"/>
      <c r="G380" s="1"/>
      <c r="H380" s="26"/>
      <c r="I380" s="85"/>
    </row>
    <row r="381" spans="1:9" ht="14.25" customHeight="1" x14ac:dyDescent="0.2">
      <c r="A381" s="1"/>
      <c r="B381" s="1"/>
      <c r="C381" s="1"/>
      <c r="D381" s="1"/>
      <c r="E381" s="1"/>
      <c r="F381" s="1"/>
      <c r="G381" s="1"/>
      <c r="H381" s="26"/>
      <c r="I381" s="85"/>
    </row>
    <row r="382" spans="1:9" ht="14.25" customHeight="1" x14ac:dyDescent="0.2">
      <c r="A382" s="1"/>
      <c r="B382" s="1"/>
      <c r="C382" s="1"/>
      <c r="D382" s="1"/>
      <c r="E382" s="1"/>
      <c r="F382" s="1"/>
      <c r="G382" s="1"/>
      <c r="H382" s="26"/>
      <c r="I382" s="85"/>
    </row>
    <row r="383" spans="1:9" ht="14.25" customHeight="1" x14ac:dyDescent="0.2">
      <c r="A383" s="1"/>
      <c r="B383" s="1"/>
      <c r="C383" s="1"/>
      <c r="D383" s="1"/>
      <c r="E383" s="1"/>
      <c r="F383" s="1"/>
      <c r="G383" s="1"/>
      <c r="H383" s="26"/>
      <c r="I383" s="85"/>
    </row>
    <row r="384" spans="1:9" ht="14.25" customHeight="1" x14ac:dyDescent="0.2">
      <c r="A384" s="1"/>
      <c r="B384" s="1"/>
      <c r="C384" s="1"/>
      <c r="D384" s="1"/>
      <c r="E384" s="1"/>
      <c r="F384" s="1"/>
      <c r="G384" s="1"/>
      <c r="H384" s="26"/>
      <c r="I384" s="85"/>
    </row>
    <row r="385" spans="1:9" ht="14.25" customHeight="1" x14ac:dyDescent="0.2">
      <c r="A385" s="1"/>
      <c r="B385" s="1"/>
      <c r="C385" s="1"/>
      <c r="D385" s="1"/>
      <c r="E385" s="1"/>
      <c r="F385" s="1"/>
      <c r="G385" s="1"/>
      <c r="H385" s="26"/>
      <c r="I385" s="85"/>
    </row>
    <row r="386" spans="1:9" ht="14.25" customHeight="1" x14ac:dyDescent="0.2">
      <c r="A386" s="1"/>
      <c r="B386" s="1"/>
      <c r="C386" s="1"/>
      <c r="D386" s="1"/>
      <c r="E386" s="1"/>
      <c r="F386" s="1"/>
      <c r="G386" s="1"/>
      <c r="H386" s="26"/>
      <c r="I386" s="85"/>
    </row>
    <row r="387" spans="1:9" ht="14.25" customHeight="1" x14ac:dyDescent="0.2">
      <c r="A387" s="1"/>
      <c r="B387" s="1"/>
      <c r="C387" s="1"/>
      <c r="D387" s="1"/>
      <c r="E387" s="1"/>
      <c r="F387" s="1"/>
      <c r="G387" s="1"/>
      <c r="H387" s="26"/>
      <c r="I387" s="85"/>
    </row>
    <row r="388" spans="1:9" ht="14.25" customHeight="1" x14ac:dyDescent="0.2">
      <c r="A388" s="1"/>
      <c r="B388" s="1"/>
      <c r="C388" s="1"/>
      <c r="D388" s="1"/>
      <c r="E388" s="1"/>
      <c r="F388" s="1"/>
      <c r="G388" s="1"/>
      <c r="H388" s="26"/>
      <c r="I388" s="85"/>
    </row>
    <row r="389" spans="1:9" ht="14.25" customHeight="1" x14ac:dyDescent="0.2">
      <c r="A389" s="1"/>
      <c r="B389" s="1"/>
      <c r="C389" s="1"/>
      <c r="D389" s="1"/>
      <c r="E389" s="1"/>
      <c r="F389" s="1"/>
      <c r="G389" s="1"/>
      <c r="H389" s="26"/>
      <c r="I389" s="85"/>
    </row>
    <row r="390" spans="1:9" ht="14.25" customHeight="1" x14ac:dyDescent="0.2">
      <c r="A390" s="1"/>
      <c r="B390" s="1"/>
      <c r="C390" s="1"/>
      <c r="D390" s="1"/>
      <c r="E390" s="1"/>
      <c r="F390" s="1"/>
      <c r="G390" s="1"/>
      <c r="H390" s="26"/>
      <c r="I390" s="85"/>
    </row>
    <row r="391" spans="1:9" ht="14.25" customHeight="1" x14ac:dyDescent="0.2">
      <c r="A391" s="1"/>
      <c r="B391" s="1"/>
      <c r="C391" s="1"/>
      <c r="D391" s="1"/>
      <c r="E391" s="1"/>
      <c r="F391" s="1"/>
      <c r="G391" s="1"/>
      <c r="H391" s="26"/>
      <c r="I391" s="85"/>
    </row>
    <row r="392" spans="1:9" ht="14.25" customHeight="1" x14ac:dyDescent="0.2">
      <c r="A392" s="1"/>
      <c r="B392" s="1"/>
      <c r="C392" s="1"/>
      <c r="D392" s="1"/>
      <c r="E392" s="1"/>
      <c r="F392" s="1"/>
      <c r="G392" s="1"/>
      <c r="H392" s="26"/>
      <c r="I392" s="85"/>
    </row>
    <row r="393" spans="1:9" ht="14.25" customHeight="1" x14ac:dyDescent="0.2">
      <c r="A393" s="1"/>
      <c r="B393" s="1"/>
      <c r="C393" s="1"/>
      <c r="D393" s="1"/>
      <c r="E393" s="1"/>
      <c r="F393" s="1"/>
      <c r="G393" s="1"/>
      <c r="H393" s="26"/>
      <c r="I393" s="85"/>
    </row>
    <row r="394" spans="1:9" ht="14.25" customHeight="1" x14ac:dyDescent="0.2">
      <c r="A394" s="1"/>
      <c r="B394" s="1"/>
      <c r="C394" s="1"/>
      <c r="D394" s="1"/>
      <c r="E394" s="1"/>
      <c r="F394" s="1"/>
      <c r="G394" s="1"/>
      <c r="H394" s="26"/>
      <c r="I394" s="85"/>
    </row>
    <row r="395" spans="1:9" ht="14.25" customHeight="1" x14ac:dyDescent="0.2">
      <c r="A395" s="1"/>
      <c r="B395" s="1"/>
      <c r="C395" s="1"/>
      <c r="D395" s="1"/>
      <c r="E395" s="1"/>
      <c r="F395" s="1"/>
      <c r="G395" s="1"/>
      <c r="H395" s="26"/>
      <c r="I395" s="85"/>
    </row>
    <row r="396" spans="1:9" ht="14.25" customHeight="1" x14ac:dyDescent="0.2">
      <c r="A396" s="1"/>
      <c r="B396" s="1"/>
      <c r="C396" s="1"/>
      <c r="D396" s="1"/>
      <c r="E396" s="1"/>
      <c r="F396" s="1"/>
      <c r="G396" s="1"/>
      <c r="H396" s="26"/>
      <c r="I396" s="85"/>
    </row>
    <row r="397" spans="1:9" ht="14.25" customHeight="1" x14ac:dyDescent="0.2">
      <c r="A397" s="1"/>
      <c r="B397" s="1"/>
      <c r="C397" s="1"/>
      <c r="D397" s="1"/>
      <c r="E397" s="1"/>
      <c r="F397" s="1"/>
      <c r="G397" s="1"/>
      <c r="H397" s="26"/>
      <c r="I397" s="85"/>
    </row>
    <row r="398" spans="1:9" ht="14.25" customHeight="1" x14ac:dyDescent="0.2">
      <c r="A398" s="1"/>
      <c r="B398" s="1"/>
      <c r="C398" s="1"/>
      <c r="D398" s="1"/>
      <c r="E398" s="1"/>
      <c r="F398" s="1"/>
      <c r="G398" s="1"/>
      <c r="H398" s="26"/>
      <c r="I398" s="85"/>
    </row>
    <row r="399" spans="1:9" ht="14.25" customHeight="1" x14ac:dyDescent="0.2">
      <c r="A399" s="1"/>
      <c r="B399" s="1"/>
      <c r="C399" s="1"/>
      <c r="D399" s="1"/>
      <c r="E399" s="1"/>
      <c r="F399" s="1"/>
      <c r="G399" s="1"/>
      <c r="H399" s="26"/>
      <c r="I399" s="85"/>
    </row>
    <row r="400" spans="1:9" ht="14.25" customHeight="1" x14ac:dyDescent="0.2">
      <c r="A400" s="1"/>
      <c r="B400" s="1"/>
      <c r="C400" s="1"/>
      <c r="D400" s="1"/>
      <c r="E400" s="1"/>
      <c r="F400" s="1"/>
      <c r="G400" s="1"/>
      <c r="H400" s="26"/>
      <c r="I400" s="85"/>
    </row>
    <row r="401" spans="1:9" ht="14.25" customHeight="1" x14ac:dyDescent="0.2">
      <c r="A401" s="1"/>
      <c r="B401" s="1"/>
      <c r="C401" s="1"/>
      <c r="D401" s="1"/>
      <c r="E401" s="1"/>
      <c r="F401" s="1"/>
      <c r="G401" s="1"/>
      <c r="H401" s="26"/>
      <c r="I401" s="85"/>
    </row>
    <row r="402" spans="1:9" ht="14.25" customHeight="1" x14ac:dyDescent="0.2">
      <c r="A402" s="1"/>
      <c r="B402" s="1"/>
      <c r="C402" s="1"/>
      <c r="D402" s="1"/>
      <c r="E402" s="1"/>
      <c r="F402" s="1"/>
      <c r="G402" s="1"/>
      <c r="H402" s="26"/>
      <c r="I402" s="85"/>
    </row>
    <row r="403" spans="1:9" ht="14.25" customHeight="1" x14ac:dyDescent="0.2">
      <c r="A403" s="1"/>
      <c r="B403" s="1"/>
      <c r="C403" s="1"/>
      <c r="D403" s="1"/>
      <c r="E403" s="1"/>
      <c r="F403" s="1"/>
      <c r="G403" s="1"/>
      <c r="H403" s="26"/>
      <c r="I403" s="85"/>
    </row>
    <row r="404" spans="1:9" ht="14.25" customHeight="1" x14ac:dyDescent="0.2">
      <c r="A404" s="1"/>
      <c r="B404" s="1"/>
      <c r="C404" s="1"/>
      <c r="D404" s="1"/>
      <c r="E404" s="1"/>
      <c r="F404" s="1"/>
      <c r="G404" s="1"/>
      <c r="H404" s="26"/>
      <c r="I404" s="85"/>
    </row>
    <row r="405" spans="1:9" ht="14.25" customHeight="1" x14ac:dyDescent="0.2">
      <c r="A405" s="1"/>
      <c r="B405" s="1"/>
      <c r="C405" s="1"/>
      <c r="D405" s="1"/>
      <c r="E405" s="1"/>
      <c r="F405" s="1"/>
      <c r="G405" s="1"/>
      <c r="H405" s="26"/>
      <c r="I405" s="85"/>
    </row>
    <row r="406" spans="1:9" ht="14.25" customHeight="1" x14ac:dyDescent="0.2">
      <c r="A406" s="1"/>
      <c r="B406" s="1"/>
      <c r="C406" s="1"/>
      <c r="D406" s="1"/>
      <c r="E406" s="1"/>
      <c r="F406" s="1"/>
      <c r="G406" s="1"/>
      <c r="H406" s="26"/>
      <c r="I406" s="85"/>
    </row>
    <row r="407" spans="1:9" ht="14.25" customHeight="1" x14ac:dyDescent="0.2">
      <c r="A407" s="1"/>
      <c r="B407" s="1"/>
      <c r="C407" s="1"/>
      <c r="D407" s="1"/>
      <c r="E407" s="1"/>
      <c r="F407" s="1"/>
      <c r="G407" s="1"/>
      <c r="H407" s="26"/>
      <c r="I407" s="85"/>
    </row>
    <row r="408" spans="1:9" ht="14.25" customHeight="1" x14ac:dyDescent="0.2">
      <c r="A408" s="1"/>
      <c r="B408" s="1"/>
      <c r="C408" s="1"/>
      <c r="D408" s="1"/>
      <c r="E408" s="1"/>
      <c r="F408" s="1"/>
      <c r="G408" s="1"/>
      <c r="H408" s="26"/>
      <c r="I408" s="85"/>
    </row>
    <row r="409" spans="1:9" ht="14.25" customHeight="1" x14ac:dyDescent="0.2">
      <c r="A409" s="1"/>
      <c r="B409" s="1"/>
      <c r="C409" s="1"/>
      <c r="D409" s="1"/>
      <c r="E409" s="1"/>
      <c r="F409" s="1"/>
      <c r="G409" s="1"/>
      <c r="H409" s="26"/>
      <c r="I409" s="85"/>
    </row>
    <row r="410" spans="1:9" ht="14.25" customHeight="1" x14ac:dyDescent="0.2">
      <c r="A410" s="1"/>
      <c r="B410" s="1"/>
      <c r="C410" s="1"/>
      <c r="D410" s="1"/>
      <c r="E410" s="1"/>
      <c r="F410" s="1"/>
      <c r="G410" s="1"/>
      <c r="H410" s="26"/>
      <c r="I410" s="85"/>
    </row>
    <row r="411" spans="1:9" ht="14.25" customHeight="1" x14ac:dyDescent="0.2">
      <c r="A411" s="1"/>
      <c r="B411" s="1"/>
      <c r="C411" s="1"/>
      <c r="D411" s="1"/>
      <c r="E411" s="1"/>
      <c r="F411" s="1"/>
      <c r="G411" s="1"/>
      <c r="H411" s="26"/>
      <c r="I411" s="85"/>
    </row>
    <row r="412" spans="1:9" ht="14.25" customHeight="1" x14ac:dyDescent="0.2">
      <c r="A412" s="1"/>
      <c r="B412" s="1"/>
      <c r="C412" s="1"/>
      <c r="D412" s="1"/>
      <c r="E412" s="1"/>
      <c r="F412" s="1"/>
      <c r="G412" s="1"/>
      <c r="H412" s="26"/>
      <c r="I412" s="85"/>
    </row>
    <row r="413" spans="1:9" ht="14.25" customHeight="1" x14ac:dyDescent="0.2">
      <c r="A413" s="1"/>
      <c r="B413" s="1"/>
      <c r="C413" s="1"/>
      <c r="D413" s="1"/>
      <c r="E413" s="1"/>
      <c r="F413" s="1"/>
      <c r="G413" s="1"/>
      <c r="H413" s="26"/>
      <c r="I413" s="85"/>
    </row>
    <row r="414" spans="1:9" ht="14.25" customHeight="1" x14ac:dyDescent="0.2">
      <c r="A414" s="1"/>
      <c r="B414" s="1"/>
      <c r="C414" s="1"/>
      <c r="D414" s="1"/>
      <c r="E414" s="1"/>
      <c r="F414" s="1"/>
      <c r="G414" s="1"/>
      <c r="H414" s="26"/>
      <c r="I414" s="85"/>
    </row>
    <row r="415" spans="1:9" ht="14.25" customHeight="1" x14ac:dyDescent="0.2">
      <c r="A415" s="1"/>
      <c r="B415" s="1"/>
      <c r="C415" s="1"/>
      <c r="D415" s="1"/>
      <c r="E415" s="1"/>
      <c r="F415" s="1"/>
      <c r="G415" s="1"/>
      <c r="H415" s="26"/>
      <c r="I415" s="85"/>
    </row>
    <row r="416" spans="1:9" ht="14.25" customHeight="1" x14ac:dyDescent="0.2">
      <c r="A416" s="1"/>
      <c r="B416" s="1"/>
      <c r="C416" s="1"/>
      <c r="D416" s="1"/>
      <c r="E416" s="1"/>
      <c r="F416" s="1"/>
      <c r="G416" s="1"/>
      <c r="H416" s="26"/>
      <c r="I416" s="85"/>
    </row>
    <row r="417" spans="1:9" ht="14.25" customHeight="1" x14ac:dyDescent="0.2">
      <c r="A417" s="1"/>
      <c r="B417" s="1"/>
      <c r="C417" s="1"/>
      <c r="D417" s="1"/>
      <c r="E417" s="1"/>
      <c r="F417" s="1"/>
      <c r="G417" s="1"/>
      <c r="H417" s="26"/>
      <c r="I417" s="85"/>
    </row>
    <row r="418" spans="1:9" ht="14.25" customHeight="1" x14ac:dyDescent="0.2">
      <c r="A418" s="1"/>
      <c r="B418" s="1"/>
      <c r="C418" s="1"/>
      <c r="D418" s="1"/>
      <c r="E418" s="1"/>
      <c r="F418" s="1"/>
      <c r="G418" s="1"/>
      <c r="H418" s="26"/>
      <c r="I418" s="85"/>
    </row>
    <row r="419" spans="1:9" ht="14.25" customHeight="1" x14ac:dyDescent="0.2">
      <c r="A419" s="1"/>
      <c r="B419" s="1"/>
      <c r="C419" s="1"/>
      <c r="D419" s="1"/>
      <c r="E419" s="1"/>
      <c r="F419" s="1"/>
      <c r="G419" s="1"/>
      <c r="H419" s="26"/>
      <c r="I419" s="85"/>
    </row>
    <row r="420" spans="1:9" ht="14.25" customHeight="1" x14ac:dyDescent="0.2">
      <c r="A420" s="1"/>
      <c r="B420" s="1"/>
      <c r="C420" s="1"/>
      <c r="D420" s="1"/>
      <c r="E420" s="1"/>
      <c r="F420" s="1"/>
      <c r="G420" s="1"/>
      <c r="H420" s="26"/>
      <c r="I420" s="85"/>
    </row>
    <row r="421" spans="1:9" ht="14.25" customHeight="1" x14ac:dyDescent="0.2">
      <c r="A421" s="1"/>
      <c r="B421" s="1"/>
      <c r="C421" s="1"/>
      <c r="D421" s="1"/>
      <c r="E421" s="1"/>
      <c r="F421" s="1"/>
      <c r="G421" s="1"/>
      <c r="H421" s="26"/>
      <c r="I421" s="85"/>
    </row>
    <row r="422" spans="1:9" ht="14.25" customHeight="1" x14ac:dyDescent="0.2">
      <c r="A422" s="1"/>
      <c r="B422" s="1"/>
      <c r="C422" s="1"/>
      <c r="D422" s="1"/>
      <c r="E422" s="1"/>
      <c r="F422" s="1"/>
      <c r="G422" s="1"/>
      <c r="H422" s="26"/>
      <c r="I422" s="85"/>
    </row>
    <row r="423" spans="1:9" ht="14.25" customHeight="1" x14ac:dyDescent="0.2">
      <c r="A423" s="1"/>
      <c r="B423" s="1"/>
      <c r="C423" s="1"/>
      <c r="D423" s="1"/>
      <c r="E423" s="1"/>
      <c r="F423" s="1"/>
      <c r="G423" s="1"/>
      <c r="H423" s="26"/>
      <c r="I423" s="85"/>
    </row>
    <row r="424" spans="1:9" ht="14.25" customHeight="1" x14ac:dyDescent="0.2">
      <c r="A424" s="1"/>
      <c r="B424" s="1"/>
      <c r="C424" s="1"/>
      <c r="D424" s="1"/>
      <c r="E424" s="1"/>
      <c r="F424" s="1"/>
      <c r="G424" s="1"/>
      <c r="H424" s="26"/>
      <c r="I424" s="85"/>
    </row>
    <row r="425" spans="1:9" ht="14.25" customHeight="1" x14ac:dyDescent="0.2">
      <c r="A425" s="1"/>
      <c r="B425" s="1"/>
      <c r="C425" s="1"/>
      <c r="D425" s="1"/>
      <c r="E425" s="1"/>
      <c r="F425" s="1"/>
      <c r="G425" s="1"/>
      <c r="H425" s="26"/>
      <c r="I425" s="85"/>
    </row>
    <row r="426" spans="1:9" ht="14.25" customHeight="1" x14ac:dyDescent="0.2">
      <c r="A426" s="1"/>
      <c r="B426" s="1"/>
      <c r="C426" s="1"/>
      <c r="D426" s="1"/>
      <c r="E426" s="1"/>
      <c r="F426" s="1"/>
      <c r="G426" s="1"/>
      <c r="H426" s="26"/>
      <c r="I426" s="85"/>
    </row>
    <row r="427" spans="1:9" ht="14.25" customHeight="1" x14ac:dyDescent="0.2">
      <c r="A427" s="1"/>
      <c r="B427" s="1"/>
      <c r="C427" s="1"/>
      <c r="D427" s="1"/>
      <c r="E427" s="1"/>
      <c r="F427" s="1"/>
      <c r="G427" s="1"/>
      <c r="H427" s="26"/>
      <c r="I427" s="85"/>
    </row>
    <row r="428" spans="1:9" ht="14.25" customHeight="1" x14ac:dyDescent="0.2">
      <c r="A428" s="1"/>
      <c r="B428" s="1"/>
      <c r="C428" s="1"/>
      <c r="D428" s="1"/>
      <c r="E428" s="1"/>
      <c r="F428" s="1"/>
      <c r="G428" s="1"/>
      <c r="H428" s="26"/>
      <c r="I428" s="85"/>
    </row>
    <row r="429" spans="1:9" ht="14.25" customHeight="1" x14ac:dyDescent="0.2">
      <c r="A429" s="1"/>
      <c r="B429" s="1"/>
      <c r="C429" s="1"/>
      <c r="D429" s="1"/>
      <c r="E429" s="1"/>
      <c r="F429" s="1"/>
      <c r="G429" s="1"/>
      <c r="H429" s="26"/>
      <c r="I429" s="85"/>
    </row>
    <row r="430" spans="1:9" ht="14.25" customHeight="1" x14ac:dyDescent="0.2">
      <c r="A430" s="1"/>
      <c r="B430" s="1"/>
      <c r="C430" s="1"/>
      <c r="D430" s="1"/>
      <c r="E430" s="1"/>
      <c r="F430" s="1"/>
      <c r="G430" s="1"/>
      <c r="H430" s="26"/>
      <c r="I430" s="85"/>
    </row>
    <row r="431" spans="1:9" ht="14.25" customHeight="1" x14ac:dyDescent="0.2">
      <c r="A431" s="1"/>
      <c r="B431" s="1"/>
      <c r="C431" s="1"/>
      <c r="D431" s="1"/>
      <c r="E431" s="1"/>
      <c r="F431" s="1"/>
      <c r="G431" s="1"/>
      <c r="H431" s="26"/>
      <c r="I431" s="85"/>
    </row>
    <row r="432" spans="1:9" ht="14.25" customHeight="1" x14ac:dyDescent="0.2">
      <c r="A432" s="1"/>
      <c r="B432" s="1"/>
      <c r="C432" s="1"/>
      <c r="D432" s="1"/>
      <c r="E432" s="1"/>
      <c r="F432" s="1"/>
      <c r="G432" s="1"/>
      <c r="H432" s="26"/>
      <c r="I432" s="85"/>
    </row>
    <row r="433" spans="1:9" ht="14.25" customHeight="1" x14ac:dyDescent="0.2">
      <c r="A433" s="1"/>
      <c r="B433" s="1"/>
      <c r="C433" s="1"/>
      <c r="D433" s="1"/>
      <c r="E433" s="1"/>
      <c r="F433" s="1"/>
      <c r="G433" s="1"/>
      <c r="H433" s="26"/>
      <c r="I433" s="85"/>
    </row>
    <row r="434" spans="1:9" ht="14.25" customHeight="1" x14ac:dyDescent="0.2">
      <c r="A434" s="1"/>
      <c r="B434" s="1"/>
      <c r="C434" s="1"/>
      <c r="D434" s="1"/>
      <c r="E434" s="1"/>
      <c r="F434" s="1"/>
      <c r="G434" s="1"/>
      <c r="H434" s="26"/>
      <c r="I434" s="85"/>
    </row>
    <row r="435" spans="1:9" ht="14.25" customHeight="1" x14ac:dyDescent="0.2">
      <c r="A435" s="1"/>
      <c r="B435" s="1"/>
      <c r="C435" s="1"/>
      <c r="D435" s="1"/>
      <c r="E435" s="1"/>
      <c r="F435" s="1"/>
      <c r="G435" s="1"/>
      <c r="H435" s="26"/>
      <c r="I435" s="85"/>
    </row>
    <row r="436" spans="1:9" ht="14.25" customHeight="1" x14ac:dyDescent="0.2">
      <c r="A436" s="1"/>
      <c r="B436" s="1"/>
      <c r="C436" s="1"/>
      <c r="D436" s="1"/>
      <c r="E436" s="1"/>
      <c r="F436" s="1"/>
      <c r="G436" s="1"/>
      <c r="H436" s="26"/>
      <c r="I436" s="85"/>
    </row>
    <row r="437" spans="1:9" ht="14.25" customHeight="1" x14ac:dyDescent="0.2">
      <c r="A437" s="1"/>
      <c r="B437" s="1"/>
      <c r="C437" s="1"/>
      <c r="D437" s="1"/>
      <c r="E437" s="1"/>
      <c r="F437" s="1"/>
      <c r="G437" s="1"/>
      <c r="H437" s="26"/>
      <c r="I437" s="85"/>
    </row>
    <row r="438" spans="1:9" ht="14.25" customHeight="1" x14ac:dyDescent="0.2">
      <c r="A438" s="1"/>
      <c r="B438" s="1"/>
      <c r="C438" s="1"/>
      <c r="D438" s="1"/>
      <c r="E438" s="1"/>
      <c r="F438" s="1"/>
      <c r="G438" s="1"/>
      <c r="H438" s="26"/>
      <c r="I438" s="85"/>
    </row>
    <row r="439" spans="1:9" ht="14.25" customHeight="1" x14ac:dyDescent="0.2">
      <c r="A439" s="1"/>
      <c r="B439" s="1"/>
      <c r="C439" s="1"/>
      <c r="D439" s="1"/>
      <c r="E439" s="1"/>
      <c r="F439" s="1"/>
      <c r="G439" s="1"/>
      <c r="H439" s="26"/>
      <c r="I439" s="85"/>
    </row>
    <row r="440" spans="1:9" ht="14.25" customHeight="1" x14ac:dyDescent="0.2">
      <c r="A440" s="1"/>
      <c r="B440" s="1"/>
      <c r="C440" s="1"/>
      <c r="D440" s="1"/>
      <c r="E440" s="1"/>
      <c r="F440" s="1"/>
      <c r="G440" s="1"/>
      <c r="H440" s="26"/>
      <c r="I440" s="85"/>
    </row>
    <row r="441" spans="1:9" ht="14.25" customHeight="1" x14ac:dyDescent="0.2">
      <c r="A441" s="1"/>
      <c r="B441" s="1"/>
      <c r="C441" s="1"/>
      <c r="D441" s="1"/>
      <c r="E441" s="1"/>
      <c r="F441" s="1"/>
      <c r="G441" s="1"/>
      <c r="H441" s="26"/>
      <c r="I441" s="85"/>
    </row>
    <row r="442" spans="1:9" ht="14.25" customHeight="1" x14ac:dyDescent="0.2">
      <c r="A442" s="1"/>
      <c r="B442" s="1"/>
      <c r="C442" s="1"/>
      <c r="D442" s="1"/>
      <c r="E442" s="1"/>
      <c r="F442" s="1"/>
      <c r="G442" s="1"/>
      <c r="H442" s="26"/>
      <c r="I442" s="85"/>
    </row>
    <row r="443" spans="1:9" ht="14.25" customHeight="1" x14ac:dyDescent="0.2">
      <c r="A443" s="1"/>
      <c r="B443" s="1"/>
      <c r="C443" s="1"/>
      <c r="D443" s="1"/>
      <c r="E443" s="1"/>
      <c r="F443" s="1"/>
      <c r="G443" s="1"/>
      <c r="H443" s="26"/>
      <c r="I443" s="85"/>
    </row>
    <row r="444" spans="1:9" ht="14.25" customHeight="1" x14ac:dyDescent="0.2">
      <c r="A444" s="1"/>
      <c r="B444" s="1"/>
      <c r="C444" s="1"/>
      <c r="D444" s="1"/>
      <c r="E444" s="1"/>
      <c r="F444" s="1"/>
      <c r="G444" s="1"/>
      <c r="H444" s="26"/>
      <c r="I444" s="85"/>
    </row>
    <row r="445" spans="1:9" ht="14.25" customHeight="1" x14ac:dyDescent="0.2">
      <c r="A445" s="1"/>
      <c r="B445" s="1"/>
      <c r="C445" s="1"/>
      <c r="D445" s="1"/>
      <c r="E445" s="1"/>
      <c r="F445" s="1"/>
      <c r="G445" s="1"/>
      <c r="H445" s="26"/>
      <c r="I445" s="85"/>
    </row>
    <row r="446" spans="1:9" ht="14.25" customHeight="1" x14ac:dyDescent="0.2">
      <c r="A446" s="1"/>
      <c r="B446" s="1"/>
      <c r="C446" s="1"/>
      <c r="D446" s="1"/>
      <c r="E446" s="1"/>
      <c r="F446" s="1"/>
      <c r="G446" s="1"/>
      <c r="H446" s="26"/>
      <c r="I446" s="85"/>
    </row>
    <row r="447" spans="1:9" ht="14.25" customHeight="1" x14ac:dyDescent="0.2">
      <c r="A447" s="1"/>
      <c r="B447" s="1"/>
      <c r="C447" s="1"/>
      <c r="D447" s="1"/>
      <c r="E447" s="1"/>
      <c r="F447" s="1"/>
      <c r="G447" s="1"/>
      <c r="H447" s="26"/>
      <c r="I447" s="85"/>
    </row>
    <row r="448" spans="1:9" ht="14.25" customHeight="1" x14ac:dyDescent="0.2">
      <c r="A448" s="1"/>
      <c r="B448" s="1"/>
      <c r="C448" s="1"/>
      <c r="D448" s="1"/>
      <c r="E448" s="1"/>
      <c r="F448" s="1"/>
      <c r="G448" s="1"/>
      <c r="H448" s="26"/>
      <c r="I448" s="85"/>
    </row>
    <row r="449" spans="1:9" ht="14.25" customHeight="1" x14ac:dyDescent="0.2">
      <c r="A449" s="1"/>
      <c r="B449" s="1"/>
      <c r="C449" s="1"/>
      <c r="D449" s="1"/>
      <c r="E449" s="1"/>
      <c r="F449" s="1"/>
      <c r="G449" s="1"/>
      <c r="H449" s="26"/>
      <c r="I449" s="85"/>
    </row>
    <row r="450" spans="1:9" ht="14.25" customHeight="1" x14ac:dyDescent="0.2">
      <c r="A450" s="1"/>
      <c r="B450" s="1"/>
      <c r="C450" s="1"/>
      <c r="D450" s="1"/>
      <c r="E450" s="1"/>
      <c r="F450" s="1"/>
      <c r="G450" s="1"/>
      <c r="H450" s="26"/>
      <c r="I450" s="85"/>
    </row>
    <row r="451" spans="1:9" ht="14.25" customHeight="1" x14ac:dyDescent="0.2">
      <c r="A451" s="1"/>
      <c r="B451" s="1"/>
      <c r="C451" s="1"/>
      <c r="D451" s="1"/>
      <c r="E451" s="1"/>
      <c r="F451" s="1"/>
      <c r="G451" s="1"/>
      <c r="H451" s="26"/>
      <c r="I451" s="85"/>
    </row>
    <row r="452" spans="1:9" ht="14.25" customHeight="1" x14ac:dyDescent="0.2">
      <c r="A452" s="1"/>
      <c r="B452" s="1"/>
      <c r="C452" s="1"/>
      <c r="D452" s="1"/>
      <c r="E452" s="1"/>
      <c r="F452" s="1"/>
      <c r="G452" s="1"/>
      <c r="H452" s="26"/>
      <c r="I452" s="85"/>
    </row>
    <row r="453" spans="1:9" ht="14.25" customHeight="1" x14ac:dyDescent="0.2">
      <c r="A453" s="1"/>
      <c r="B453" s="1"/>
      <c r="C453" s="1"/>
      <c r="D453" s="1"/>
      <c r="E453" s="1"/>
      <c r="F453" s="1"/>
      <c r="G453" s="1"/>
      <c r="H453" s="26"/>
      <c r="I453" s="85"/>
    </row>
    <row r="454" spans="1:9" ht="14.25" customHeight="1" x14ac:dyDescent="0.2">
      <c r="A454" s="1"/>
      <c r="B454" s="1"/>
      <c r="C454" s="1"/>
      <c r="D454" s="1"/>
      <c r="E454" s="1"/>
      <c r="F454" s="1"/>
      <c r="G454" s="1"/>
      <c r="H454" s="26"/>
      <c r="I454" s="85"/>
    </row>
    <row r="455" spans="1:9" ht="14.25" customHeight="1" x14ac:dyDescent="0.2">
      <c r="A455" s="1"/>
      <c r="B455" s="1"/>
      <c r="C455" s="1"/>
      <c r="D455" s="1"/>
      <c r="E455" s="1"/>
      <c r="F455" s="1"/>
      <c r="G455" s="1"/>
      <c r="H455" s="26"/>
      <c r="I455" s="85"/>
    </row>
    <row r="456" spans="1:9" ht="14.25" customHeight="1" x14ac:dyDescent="0.2">
      <c r="A456" s="1"/>
      <c r="B456" s="1"/>
      <c r="C456" s="1"/>
      <c r="D456" s="1"/>
      <c r="E456" s="1"/>
      <c r="F456" s="1"/>
      <c r="G456" s="1"/>
      <c r="H456" s="26"/>
      <c r="I456" s="85"/>
    </row>
    <row r="457" spans="1:9" ht="14.25" customHeight="1" x14ac:dyDescent="0.2">
      <c r="A457" s="1"/>
      <c r="B457" s="1"/>
      <c r="C457" s="1"/>
      <c r="D457" s="1"/>
      <c r="E457" s="1"/>
      <c r="F457" s="1"/>
      <c r="G457" s="1"/>
      <c r="H457" s="26"/>
      <c r="I457" s="85"/>
    </row>
    <row r="458" spans="1:9" ht="14.25" customHeight="1" x14ac:dyDescent="0.2">
      <c r="A458" s="1"/>
      <c r="B458" s="1"/>
      <c r="C458" s="1"/>
      <c r="D458" s="1"/>
      <c r="E458" s="1"/>
      <c r="F458" s="1"/>
      <c r="G458" s="1"/>
      <c r="H458" s="26"/>
      <c r="I458" s="85"/>
    </row>
    <row r="459" spans="1:9" ht="14.25" customHeight="1" x14ac:dyDescent="0.2">
      <c r="A459" s="1"/>
      <c r="B459" s="1"/>
      <c r="C459" s="1"/>
      <c r="D459" s="1"/>
      <c r="E459" s="1"/>
      <c r="F459" s="1"/>
      <c r="G459" s="1"/>
      <c r="H459" s="26"/>
      <c r="I459" s="85"/>
    </row>
    <row r="460" spans="1:9" ht="14.25" customHeight="1" x14ac:dyDescent="0.2">
      <c r="A460" s="1"/>
      <c r="B460" s="1"/>
      <c r="C460" s="1"/>
      <c r="D460" s="1"/>
      <c r="E460" s="1"/>
      <c r="F460" s="1"/>
      <c r="G460" s="1"/>
      <c r="H460" s="26"/>
      <c r="I460" s="85"/>
    </row>
    <row r="461" spans="1:9" ht="14.25" customHeight="1" x14ac:dyDescent="0.2">
      <c r="A461" s="1"/>
      <c r="B461" s="1"/>
      <c r="C461" s="1"/>
      <c r="D461" s="1"/>
      <c r="E461" s="1"/>
      <c r="F461" s="1"/>
      <c r="G461" s="1"/>
      <c r="H461" s="26"/>
      <c r="I461" s="85"/>
    </row>
    <row r="462" spans="1:9" ht="14.25" customHeight="1" x14ac:dyDescent="0.2">
      <c r="A462" s="1"/>
      <c r="B462" s="1"/>
      <c r="C462" s="1"/>
      <c r="D462" s="1"/>
      <c r="E462" s="1"/>
      <c r="F462" s="1"/>
      <c r="G462" s="1"/>
      <c r="H462" s="26"/>
      <c r="I462" s="85"/>
    </row>
    <row r="463" spans="1:9" ht="14.25" customHeight="1" x14ac:dyDescent="0.2">
      <c r="A463" s="1"/>
      <c r="B463" s="1"/>
      <c r="C463" s="1"/>
      <c r="D463" s="1"/>
      <c r="E463" s="1"/>
      <c r="F463" s="1"/>
      <c r="G463" s="1"/>
      <c r="H463" s="26"/>
      <c r="I463" s="85"/>
    </row>
    <row r="464" spans="1:9" ht="14.25" customHeight="1" x14ac:dyDescent="0.2">
      <c r="A464" s="1"/>
      <c r="B464" s="1"/>
      <c r="C464" s="1"/>
      <c r="D464" s="1"/>
      <c r="E464" s="1"/>
      <c r="F464" s="1"/>
      <c r="G464" s="1"/>
      <c r="H464" s="26"/>
      <c r="I464" s="85"/>
    </row>
    <row r="465" spans="1:9" ht="14.25" customHeight="1" x14ac:dyDescent="0.2">
      <c r="A465" s="1"/>
      <c r="B465" s="1"/>
      <c r="C465" s="1"/>
      <c r="D465" s="1"/>
      <c r="E465" s="1"/>
      <c r="F465" s="1"/>
      <c r="G465" s="1"/>
      <c r="H465" s="26"/>
      <c r="I465" s="85"/>
    </row>
    <row r="466" spans="1:9" ht="14.25" customHeight="1" x14ac:dyDescent="0.2">
      <c r="A466" s="1"/>
      <c r="B466" s="1"/>
      <c r="C466" s="1"/>
      <c r="D466" s="1"/>
      <c r="E466" s="1"/>
      <c r="F466" s="1"/>
      <c r="G466" s="1"/>
      <c r="H466" s="26"/>
      <c r="I466" s="85"/>
    </row>
    <row r="467" spans="1:9" ht="14.25" customHeight="1" x14ac:dyDescent="0.2">
      <c r="A467" s="1"/>
      <c r="B467" s="1"/>
      <c r="C467" s="1"/>
      <c r="D467" s="1"/>
      <c r="E467" s="1"/>
      <c r="F467" s="1"/>
      <c r="G467" s="1"/>
      <c r="H467" s="26"/>
      <c r="I467" s="85"/>
    </row>
    <row r="468" spans="1:9" ht="14.25" customHeight="1" x14ac:dyDescent="0.2">
      <c r="A468" s="1"/>
      <c r="B468" s="1"/>
      <c r="C468" s="1"/>
      <c r="D468" s="1"/>
      <c r="E468" s="1"/>
      <c r="F468" s="1"/>
      <c r="G468" s="1"/>
      <c r="H468" s="26"/>
      <c r="I468" s="85"/>
    </row>
    <row r="469" spans="1:9" ht="14.25" customHeight="1" x14ac:dyDescent="0.2">
      <c r="A469" s="1"/>
      <c r="B469" s="1"/>
      <c r="C469" s="1"/>
      <c r="D469" s="1"/>
      <c r="E469" s="1"/>
      <c r="F469" s="1"/>
      <c r="G469" s="1"/>
      <c r="H469" s="26"/>
      <c r="I469" s="85"/>
    </row>
    <row r="470" spans="1:9" ht="14.25" customHeight="1" x14ac:dyDescent="0.2">
      <c r="A470" s="1"/>
      <c r="B470" s="1"/>
      <c r="C470" s="1"/>
      <c r="D470" s="1"/>
      <c r="E470" s="1"/>
      <c r="F470" s="1"/>
      <c r="G470" s="1"/>
      <c r="H470" s="26"/>
      <c r="I470" s="85"/>
    </row>
    <row r="471" spans="1:9" ht="14.25" customHeight="1" x14ac:dyDescent="0.2">
      <c r="A471" s="1"/>
      <c r="B471" s="1"/>
      <c r="C471" s="1"/>
      <c r="D471" s="1"/>
      <c r="E471" s="1"/>
      <c r="F471" s="1"/>
      <c r="G471" s="1"/>
      <c r="H471" s="26"/>
      <c r="I471" s="85"/>
    </row>
    <row r="472" spans="1:9" ht="14.25" customHeight="1" x14ac:dyDescent="0.2">
      <c r="A472" s="1"/>
      <c r="B472" s="1"/>
      <c r="C472" s="1"/>
      <c r="D472" s="1"/>
      <c r="E472" s="1"/>
      <c r="F472" s="1"/>
      <c r="G472" s="1"/>
      <c r="H472" s="26"/>
      <c r="I472" s="85"/>
    </row>
    <row r="473" spans="1:9" ht="14.25" customHeight="1" x14ac:dyDescent="0.2">
      <c r="A473" s="1"/>
      <c r="B473" s="1"/>
      <c r="C473" s="1"/>
      <c r="D473" s="1"/>
      <c r="E473" s="1"/>
      <c r="F473" s="1"/>
      <c r="G473" s="1"/>
      <c r="H473" s="26"/>
      <c r="I473" s="85"/>
    </row>
    <row r="474" spans="1:9" ht="14.25" customHeight="1" x14ac:dyDescent="0.2">
      <c r="A474" s="1"/>
      <c r="B474" s="1"/>
      <c r="C474" s="1"/>
      <c r="D474" s="1"/>
      <c r="E474" s="1"/>
      <c r="F474" s="1"/>
      <c r="G474" s="1"/>
      <c r="H474" s="26"/>
      <c r="I474" s="85"/>
    </row>
    <row r="475" spans="1:9" ht="14.25" customHeight="1" x14ac:dyDescent="0.2">
      <c r="A475" s="1"/>
      <c r="B475" s="1"/>
      <c r="C475" s="1"/>
      <c r="D475" s="1"/>
      <c r="E475" s="1"/>
      <c r="F475" s="1"/>
      <c r="G475" s="1"/>
      <c r="H475" s="26"/>
      <c r="I475" s="85"/>
    </row>
    <row r="476" spans="1:9" ht="14.25" customHeight="1" x14ac:dyDescent="0.2">
      <c r="A476" s="1"/>
      <c r="B476" s="1"/>
      <c r="C476" s="1"/>
      <c r="D476" s="1"/>
      <c r="E476" s="1"/>
      <c r="F476" s="1"/>
      <c r="G476" s="1"/>
      <c r="H476" s="26"/>
      <c r="I476" s="85"/>
    </row>
    <row r="477" spans="1:9" ht="14.25" customHeight="1" x14ac:dyDescent="0.2">
      <c r="A477" s="1"/>
      <c r="B477" s="1"/>
      <c r="C477" s="1"/>
      <c r="D477" s="1"/>
      <c r="E477" s="1"/>
      <c r="F477" s="1"/>
      <c r="G477" s="1"/>
      <c r="H477" s="26"/>
      <c r="I477" s="85"/>
    </row>
    <row r="478" spans="1:9" ht="14.25" customHeight="1" x14ac:dyDescent="0.2">
      <c r="A478" s="1"/>
      <c r="B478" s="1"/>
      <c r="C478" s="1"/>
      <c r="D478" s="1"/>
      <c r="E478" s="1"/>
      <c r="F478" s="1"/>
      <c r="G478" s="1"/>
      <c r="H478" s="26"/>
      <c r="I478" s="85"/>
    </row>
    <row r="479" spans="1:9" ht="14.25" customHeight="1" x14ac:dyDescent="0.2">
      <c r="A479" s="1"/>
      <c r="B479" s="1"/>
      <c r="C479" s="1"/>
      <c r="D479" s="1"/>
      <c r="E479" s="1"/>
      <c r="F479" s="1"/>
      <c r="G479" s="1"/>
      <c r="H479" s="26"/>
      <c r="I479" s="85"/>
    </row>
    <row r="480" spans="1:9" ht="14.25" customHeight="1" x14ac:dyDescent="0.2">
      <c r="A480" s="1"/>
      <c r="B480" s="1"/>
      <c r="C480" s="1"/>
      <c r="D480" s="1"/>
      <c r="E480" s="1"/>
      <c r="F480" s="1"/>
      <c r="G480" s="1"/>
      <c r="H480" s="26"/>
      <c r="I480" s="85"/>
    </row>
    <row r="481" spans="1:9" ht="14.25" customHeight="1" x14ac:dyDescent="0.2">
      <c r="A481" s="1"/>
      <c r="B481" s="1"/>
      <c r="C481" s="1"/>
      <c r="D481" s="1"/>
      <c r="E481" s="1"/>
      <c r="F481" s="1"/>
      <c r="G481" s="1"/>
      <c r="H481" s="26"/>
      <c r="I481" s="85"/>
    </row>
    <row r="482" spans="1:9" ht="14.25" customHeight="1" x14ac:dyDescent="0.2">
      <c r="A482" s="1"/>
      <c r="B482" s="1"/>
      <c r="C482" s="1"/>
      <c r="D482" s="1"/>
      <c r="E482" s="1"/>
      <c r="F482" s="1"/>
      <c r="G482" s="1"/>
      <c r="H482" s="26"/>
      <c r="I482" s="85"/>
    </row>
    <row r="483" spans="1:9" ht="14.25" customHeight="1" x14ac:dyDescent="0.2">
      <c r="A483" s="1"/>
      <c r="B483" s="1"/>
      <c r="C483" s="1"/>
      <c r="D483" s="1"/>
      <c r="E483" s="1"/>
      <c r="F483" s="1"/>
      <c r="G483" s="1"/>
      <c r="H483" s="26"/>
      <c r="I483" s="85"/>
    </row>
    <row r="484" spans="1:9" ht="14.25" customHeight="1" x14ac:dyDescent="0.2">
      <c r="A484" s="1"/>
      <c r="B484" s="1"/>
      <c r="C484" s="1"/>
      <c r="D484" s="1"/>
      <c r="E484" s="1"/>
      <c r="F484" s="1"/>
      <c r="G484" s="1"/>
      <c r="H484" s="26"/>
      <c r="I484" s="85"/>
    </row>
    <row r="485" spans="1:9" ht="14.25" customHeight="1" x14ac:dyDescent="0.2">
      <c r="A485" s="1"/>
      <c r="B485" s="1"/>
      <c r="C485" s="1"/>
      <c r="D485" s="1"/>
      <c r="E485" s="1"/>
      <c r="F485" s="1"/>
      <c r="G485" s="1"/>
      <c r="H485" s="26"/>
      <c r="I485" s="85"/>
    </row>
    <row r="486" spans="1:9" ht="14.25" customHeight="1" x14ac:dyDescent="0.2">
      <c r="A486" s="1"/>
      <c r="B486" s="1"/>
      <c r="C486" s="1"/>
      <c r="D486" s="1"/>
      <c r="E486" s="1"/>
      <c r="F486" s="1"/>
      <c r="G486" s="1"/>
      <c r="H486" s="26"/>
      <c r="I486" s="85"/>
    </row>
    <row r="487" spans="1:9" ht="14.25" customHeight="1" x14ac:dyDescent="0.2">
      <c r="A487" s="1"/>
      <c r="B487" s="1"/>
      <c r="C487" s="1"/>
      <c r="D487" s="1"/>
      <c r="E487" s="1"/>
      <c r="F487" s="1"/>
      <c r="G487" s="1"/>
      <c r="H487" s="26"/>
      <c r="I487" s="85"/>
    </row>
    <row r="488" spans="1:9" ht="14.25" customHeight="1" x14ac:dyDescent="0.2">
      <c r="A488" s="1"/>
      <c r="B488" s="1"/>
      <c r="C488" s="1"/>
      <c r="D488" s="1"/>
      <c r="E488" s="1"/>
      <c r="F488" s="1"/>
      <c r="G488" s="1"/>
      <c r="H488" s="26"/>
      <c r="I488" s="85"/>
    </row>
    <row r="489" spans="1:9" ht="14.25" customHeight="1" x14ac:dyDescent="0.2">
      <c r="A489" s="1"/>
      <c r="B489" s="1"/>
      <c r="C489" s="1"/>
      <c r="D489" s="1"/>
      <c r="E489" s="1"/>
      <c r="F489" s="1"/>
      <c r="G489" s="1"/>
      <c r="H489" s="26"/>
      <c r="I489" s="85"/>
    </row>
    <row r="490" spans="1:9" ht="14.25" customHeight="1" x14ac:dyDescent="0.2">
      <c r="A490" s="1"/>
      <c r="B490" s="1"/>
      <c r="C490" s="1"/>
      <c r="D490" s="1"/>
      <c r="E490" s="1"/>
      <c r="F490" s="1"/>
      <c r="G490" s="1"/>
      <c r="H490" s="26"/>
      <c r="I490" s="85"/>
    </row>
    <row r="491" spans="1:9" ht="14.25" customHeight="1" x14ac:dyDescent="0.2">
      <c r="A491" s="1"/>
      <c r="B491" s="1"/>
      <c r="C491" s="1"/>
      <c r="D491" s="1"/>
      <c r="E491" s="1"/>
      <c r="F491" s="1"/>
      <c r="G491" s="1"/>
      <c r="H491" s="26"/>
      <c r="I491" s="85"/>
    </row>
    <row r="492" spans="1:9" ht="14.25" customHeight="1" x14ac:dyDescent="0.2">
      <c r="A492" s="1"/>
      <c r="B492" s="1"/>
      <c r="C492" s="1"/>
      <c r="D492" s="1"/>
      <c r="E492" s="1"/>
      <c r="F492" s="1"/>
      <c r="G492" s="1"/>
      <c r="H492" s="26"/>
      <c r="I492" s="85"/>
    </row>
    <row r="493" spans="1:9" ht="14.25" customHeight="1" x14ac:dyDescent="0.2">
      <c r="A493" s="1"/>
      <c r="B493" s="1"/>
      <c r="C493" s="1"/>
      <c r="D493" s="1"/>
      <c r="E493" s="1"/>
      <c r="F493" s="1"/>
      <c r="G493" s="1"/>
      <c r="H493" s="26"/>
      <c r="I493" s="85"/>
    </row>
    <row r="494" spans="1:9" ht="14.25" customHeight="1" x14ac:dyDescent="0.2">
      <c r="A494" s="1"/>
      <c r="B494" s="1"/>
      <c r="C494" s="1"/>
      <c r="D494" s="1"/>
      <c r="E494" s="1"/>
      <c r="F494" s="1"/>
      <c r="G494" s="1"/>
      <c r="H494" s="26"/>
      <c r="I494" s="85"/>
    </row>
    <row r="495" spans="1:9" ht="14.25" customHeight="1" x14ac:dyDescent="0.2">
      <c r="A495" s="1"/>
      <c r="B495" s="1"/>
      <c r="C495" s="1"/>
      <c r="D495" s="1"/>
      <c r="E495" s="1"/>
      <c r="F495" s="1"/>
      <c r="G495" s="1"/>
      <c r="H495" s="26"/>
      <c r="I495" s="85"/>
    </row>
    <row r="496" spans="1:9" ht="14.25" customHeight="1" x14ac:dyDescent="0.2">
      <c r="A496" s="1"/>
      <c r="B496" s="1"/>
      <c r="C496" s="1"/>
      <c r="D496" s="1"/>
      <c r="E496" s="1"/>
      <c r="F496" s="1"/>
      <c r="G496" s="1"/>
      <c r="H496" s="26"/>
      <c r="I496" s="85"/>
    </row>
    <row r="497" spans="1:9" ht="14.25" customHeight="1" x14ac:dyDescent="0.2">
      <c r="A497" s="1"/>
      <c r="B497" s="1"/>
      <c r="C497" s="1"/>
      <c r="D497" s="1"/>
      <c r="E497" s="1"/>
      <c r="F497" s="1"/>
      <c r="G497" s="1"/>
      <c r="H497" s="26"/>
      <c r="I497" s="85"/>
    </row>
    <row r="498" spans="1:9" ht="14.25" customHeight="1" x14ac:dyDescent="0.2">
      <c r="A498" s="1"/>
      <c r="B498" s="1"/>
      <c r="C498" s="1"/>
      <c r="D498" s="1"/>
      <c r="E498" s="1"/>
      <c r="F498" s="1"/>
      <c r="G498" s="1"/>
      <c r="H498" s="26"/>
      <c r="I498" s="85"/>
    </row>
    <row r="499" spans="1:9" ht="14.25" customHeight="1" x14ac:dyDescent="0.2">
      <c r="A499" s="1"/>
      <c r="B499" s="1"/>
      <c r="C499" s="1"/>
      <c r="D499" s="1"/>
      <c r="E499" s="1"/>
      <c r="F499" s="1"/>
      <c r="G499" s="1"/>
      <c r="H499" s="26"/>
      <c r="I499" s="85"/>
    </row>
    <row r="500" spans="1:9" ht="14.25" customHeight="1" x14ac:dyDescent="0.2">
      <c r="A500" s="1"/>
      <c r="B500" s="1"/>
      <c r="C500" s="1"/>
      <c r="D500" s="1"/>
      <c r="E500" s="1"/>
      <c r="F500" s="1"/>
      <c r="G500" s="1"/>
      <c r="H500" s="26"/>
      <c r="I500" s="85"/>
    </row>
    <row r="501" spans="1:9" ht="14.25" customHeight="1" x14ac:dyDescent="0.2">
      <c r="A501" s="1"/>
      <c r="B501" s="1"/>
      <c r="C501" s="1"/>
      <c r="D501" s="1"/>
      <c r="E501" s="1"/>
      <c r="F501" s="1"/>
      <c r="G501" s="1"/>
      <c r="H501" s="26"/>
      <c r="I501" s="85"/>
    </row>
    <row r="502" spans="1:9" ht="14.25" customHeight="1" x14ac:dyDescent="0.2">
      <c r="A502" s="1"/>
      <c r="B502" s="1"/>
      <c r="C502" s="1"/>
      <c r="D502" s="1"/>
      <c r="E502" s="1"/>
      <c r="F502" s="1"/>
      <c r="G502" s="1"/>
      <c r="H502" s="26"/>
      <c r="I502" s="85"/>
    </row>
    <row r="503" spans="1:9" ht="14.25" customHeight="1" x14ac:dyDescent="0.2">
      <c r="A503" s="1"/>
      <c r="B503" s="1"/>
      <c r="C503" s="1"/>
      <c r="D503" s="1"/>
      <c r="E503" s="1"/>
      <c r="F503" s="1"/>
      <c r="G503" s="1"/>
      <c r="H503" s="26"/>
      <c r="I503" s="85"/>
    </row>
    <row r="504" spans="1:9" ht="14.25" customHeight="1" x14ac:dyDescent="0.2">
      <c r="A504" s="1"/>
      <c r="B504" s="1"/>
      <c r="C504" s="1"/>
      <c r="D504" s="1"/>
      <c r="E504" s="1"/>
      <c r="F504" s="1"/>
      <c r="G504" s="1"/>
      <c r="H504" s="26"/>
      <c r="I504" s="85"/>
    </row>
    <row r="505" spans="1:9" ht="14.25" customHeight="1" x14ac:dyDescent="0.2">
      <c r="A505" s="1"/>
      <c r="B505" s="1"/>
      <c r="C505" s="1"/>
      <c r="D505" s="1"/>
      <c r="E505" s="1"/>
      <c r="F505" s="1"/>
      <c r="G505" s="1"/>
      <c r="H505" s="26"/>
      <c r="I505" s="85"/>
    </row>
    <row r="506" spans="1:9" ht="14.25" customHeight="1" x14ac:dyDescent="0.2">
      <c r="A506" s="1"/>
      <c r="B506" s="1"/>
      <c r="C506" s="1"/>
      <c r="D506" s="1"/>
      <c r="E506" s="1"/>
      <c r="F506" s="1"/>
      <c r="G506" s="1"/>
      <c r="H506" s="26"/>
      <c r="I506" s="85"/>
    </row>
    <row r="507" spans="1:9" ht="14.25" customHeight="1" x14ac:dyDescent="0.2">
      <c r="A507" s="1"/>
      <c r="B507" s="1"/>
      <c r="C507" s="1"/>
      <c r="D507" s="1"/>
      <c r="E507" s="1"/>
      <c r="F507" s="1"/>
      <c r="G507" s="1"/>
      <c r="H507" s="26"/>
      <c r="I507" s="85"/>
    </row>
    <row r="508" spans="1:9" ht="14.25" customHeight="1" x14ac:dyDescent="0.2">
      <c r="A508" s="1"/>
      <c r="B508" s="1"/>
      <c r="C508" s="1"/>
      <c r="D508" s="1"/>
      <c r="E508" s="1"/>
      <c r="F508" s="1"/>
      <c r="G508" s="1"/>
      <c r="H508" s="26"/>
      <c r="I508" s="85"/>
    </row>
    <row r="509" spans="1:9" ht="14.25" customHeight="1" x14ac:dyDescent="0.2">
      <c r="A509" s="1"/>
      <c r="B509" s="1"/>
      <c r="C509" s="1"/>
      <c r="D509" s="1"/>
      <c r="E509" s="1"/>
      <c r="F509" s="1"/>
      <c r="G509" s="1"/>
      <c r="H509" s="26"/>
      <c r="I509" s="85"/>
    </row>
    <row r="510" spans="1:9" ht="14.25" customHeight="1" x14ac:dyDescent="0.2">
      <c r="A510" s="1"/>
      <c r="B510" s="1"/>
      <c r="C510" s="1"/>
      <c r="D510" s="1"/>
      <c r="E510" s="1"/>
      <c r="F510" s="1"/>
      <c r="G510" s="1"/>
      <c r="H510" s="26"/>
      <c r="I510" s="85"/>
    </row>
    <row r="511" spans="1:9" ht="14.25" customHeight="1" x14ac:dyDescent="0.2">
      <c r="A511" s="1"/>
      <c r="B511" s="1"/>
      <c r="C511" s="1"/>
      <c r="D511" s="1"/>
      <c r="E511" s="1"/>
      <c r="F511" s="1"/>
      <c r="G511" s="1"/>
      <c r="H511" s="26"/>
      <c r="I511" s="85"/>
    </row>
    <row r="512" spans="1:9" ht="14.25" customHeight="1" x14ac:dyDescent="0.2">
      <c r="A512" s="1"/>
      <c r="B512" s="1"/>
      <c r="C512" s="1"/>
      <c r="D512" s="1"/>
      <c r="E512" s="1"/>
      <c r="F512" s="1"/>
      <c r="G512" s="1"/>
      <c r="H512" s="26"/>
      <c r="I512" s="85"/>
    </row>
    <row r="513" spans="1:9" ht="14.25" customHeight="1" x14ac:dyDescent="0.2">
      <c r="A513" s="1"/>
      <c r="B513" s="1"/>
      <c r="C513" s="1"/>
      <c r="D513" s="1"/>
      <c r="E513" s="1"/>
      <c r="F513" s="1"/>
      <c r="G513" s="1"/>
      <c r="H513" s="26"/>
      <c r="I513" s="85"/>
    </row>
    <row r="514" spans="1:9" ht="14.25" customHeight="1" x14ac:dyDescent="0.2">
      <c r="A514" s="1"/>
      <c r="B514" s="1"/>
      <c r="C514" s="1"/>
      <c r="D514" s="1"/>
      <c r="E514" s="1"/>
      <c r="F514" s="1"/>
      <c r="G514" s="1"/>
      <c r="H514" s="26"/>
      <c r="I514" s="85"/>
    </row>
    <row r="515" spans="1:9" ht="14.25" customHeight="1" x14ac:dyDescent="0.2">
      <c r="A515" s="1"/>
      <c r="B515" s="1"/>
      <c r="C515" s="1"/>
      <c r="D515" s="1"/>
      <c r="E515" s="1"/>
      <c r="F515" s="1"/>
      <c r="G515" s="1"/>
      <c r="H515" s="26"/>
      <c r="I515" s="85"/>
    </row>
    <row r="516" spans="1:9" ht="14.25" customHeight="1" x14ac:dyDescent="0.2">
      <c r="A516" s="1"/>
      <c r="B516" s="1"/>
      <c r="C516" s="1"/>
      <c r="D516" s="1"/>
      <c r="E516" s="1"/>
      <c r="F516" s="1"/>
      <c r="G516" s="1"/>
      <c r="H516" s="26"/>
      <c r="I516" s="85"/>
    </row>
    <row r="517" spans="1:9" ht="14.25" customHeight="1" x14ac:dyDescent="0.2">
      <c r="A517" s="1"/>
      <c r="B517" s="1"/>
      <c r="C517" s="1"/>
      <c r="D517" s="1"/>
      <c r="E517" s="1"/>
      <c r="F517" s="1"/>
      <c r="G517" s="1"/>
      <c r="H517" s="26"/>
      <c r="I517" s="85"/>
    </row>
    <row r="518" spans="1:9" ht="14.25" customHeight="1" x14ac:dyDescent="0.2">
      <c r="A518" s="1"/>
      <c r="B518" s="1"/>
      <c r="C518" s="1"/>
      <c r="D518" s="1"/>
      <c r="E518" s="1"/>
      <c r="F518" s="1"/>
      <c r="G518" s="1"/>
      <c r="H518" s="26"/>
      <c r="I518" s="85"/>
    </row>
    <row r="519" spans="1:9" ht="14.25" customHeight="1" x14ac:dyDescent="0.2">
      <c r="A519" s="1"/>
      <c r="B519" s="1"/>
      <c r="C519" s="1"/>
      <c r="D519" s="1"/>
      <c r="E519" s="1"/>
      <c r="F519" s="1"/>
      <c r="G519" s="1"/>
      <c r="H519" s="26"/>
      <c r="I519" s="85"/>
    </row>
    <row r="520" spans="1:9" ht="14.25" customHeight="1" x14ac:dyDescent="0.2">
      <c r="A520" s="1"/>
      <c r="B520" s="1"/>
      <c r="C520" s="1"/>
      <c r="D520" s="1"/>
      <c r="E520" s="1"/>
      <c r="F520" s="1"/>
      <c r="G520" s="1"/>
      <c r="H520" s="26"/>
      <c r="I520" s="85"/>
    </row>
    <row r="521" spans="1:9" ht="14.25" customHeight="1" x14ac:dyDescent="0.2">
      <c r="A521" s="1"/>
      <c r="B521" s="1"/>
      <c r="C521" s="1"/>
      <c r="D521" s="1"/>
      <c r="E521" s="1"/>
      <c r="F521" s="1"/>
      <c r="G521" s="1"/>
      <c r="H521" s="26"/>
      <c r="I521" s="85"/>
    </row>
    <row r="522" spans="1:9" ht="14.25" customHeight="1" x14ac:dyDescent="0.2">
      <c r="A522" s="1"/>
      <c r="B522" s="1"/>
      <c r="C522" s="1"/>
      <c r="D522" s="1"/>
      <c r="E522" s="1"/>
      <c r="F522" s="1"/>
      <c r="G522" s="1"/>
      <c r="H522" s="26"/>
      <c r="I522" s="85"/>
    </row>
    <row r="523" spans="1:9" ht="14.25" customHeight="1" x14ac:dyDescent="0.2">
      <c r="A523" s="1"/>
      <c r="B523" s="1"/>
      <c r="C523" s="1"/>
      <c r="D523" s="1"/>
      <c r="E523" s="1"/>
      <c r="F523" s="1"/>
      <c r="G523" s="1"/>
      <c r="H523" s="26"/>
      <c r="I523" s="85"/>
    </row>
    <row r="524" spans="1:9" ht="14.25" customHeight="1" x14ac:dyDescent="0.2">
      <c r="A524" s="1"/>
      <c r="B524" s="1"/>
      <c r="C524" s="1"/>
      <c r="D524" s="1"/>
      <c r="E524" s="1"/>
      <c r="F524" s="1"/>
      <c r="G524" s="1"/>
      <c r="H524" s="26"/>
      <c r="I524" s="85"/>
    </row>
    <row r="525" spans="1:9" ht="14.25" customHeight="1" x14ac:dyDescent="0.2">
      <c r="A525" s="1"/>
      <c r="B525" s="1"/>
      <c r="C525" s="1"/>
      <c r="D525" s="1"/>
      <c r="E525" s="1"/>
      <c r="F525" s="1"/>
      <c r="G525" s="1"/>
      <c r="H525" s="26"/>
      <c r="I525" s="85"/>
    </row>
    <row r="526" spans="1:9" ht="14.25" customHeight="1" x14ac:dyDescent="0.2">
      <c r="A526" s="1"/>
      <c r="B526" s="1"/>
      <c r="C526" s="1"/>
      <c r="D526" s="1"/>
      <c r="E526" s="1"/>
      <c r="F526" s="1"/>
      <c r="G526" s="1"/>
      <c r="H526" s="26"/>
      <c r="I526" s="85"/>
    </row>
    <row r="527" spans="1:9" ht="14.25" customHeight="1" x14ac:dyDescent="0.2">
      <c r="A527" s="1"/>
      <c r="B527" s="1"/>
      <c r="C527" s="1"/>
      <c r="D527" s="1"/>
      <c r="E527" s="1"/>
      <c r="F527" s="1"/>
      <c r="G527" s="1"/>
      <c r="H527" s="26"/>
      <c r="I527" s="85"/>
    </row>
    <row r="528" spans="1:9" ht="14.25" customHeight="1" x14ac:dyDescent="0.2">
      <c r="A528" s="1"/>
      <c r="B528" s="1"/>
      <c r="C528" s="1"/>
      <c r="D528" s="1"/>
      <c r="E528" s="1"/>
      <c r="F528" s="1"/>
      <c r="G528" s="1"/>
      <c r="H528" s="26"/>
      <c r="I528" s="85"/>
    </row>
    <row r="529" spans="1:9" ht="14.25" customHeight="1" x14ac:dyDescent="0.2">
      <c r="A529" s="1"/>
      <c r="B529" s="1"/>
      <c r="C529" s="1"/>
      <c r="D529" s="1"/>
      <c r="E529" s="1"/>
      <c r="F529" s="1"/>
      <c r="G529" s="1"/>
      <c r="H529" s="26"/>
      <c r="I529" s="85"/>
    </row>
    <row r="530" spans="1:9" ht="14.25" customHeight="1" x14ac:dyDescent="0.2">
      <c r="A530" s="1"/>
      <c r="B530" s="1"/>
      <c r="C530" s="1"/>
      <c r="D530" s="1"/>
      <c r="E530" s="1"/>
      <c r="F530" s="1"/>
      <c r="G530" s="1"/>
      <c r="H530" s="26"/>
      <c r="I530" s="85"/>
    </row>
    <row r="531" spans="1:9" ht="14.25" customHeight="1" x14ac:dyDescent="0.2">
      <c r="A531" s="1"/>
      <c r="B531" s="1"/>
      <c r="C531" s="1"/>
      <c r="D531" s="1"/>
      <c r="E531" s="1"/>
      <c r="F531" s="1"/>
      <c r="G531" s="1"/>
      <c r="H531" s="26"/>
      <c r="I531" s="85"/>
    </row>
    <row r="532" spans="1:9" ht="14.25" customHeight="1" x14ac:dyDescent="0.2">
      <c r="A532" s="1"/>
      <c r="B532" s="1"/>
      <c r="C532" s="1"/>
      <c r="D532" s="1"/>
      <c r="E532" s="1"/>
      <c r="F532" s="1"/>
      <c r="G532" s="1"/>
      <c r="H532" s="26"/>
      <c r="I532" s="85"/>
    </row>
    <row r="533" spans="1:9" ht="14.25" customHeight="1" x14ac:dyDescent="0.2">
      <c r="A533" s="1"/>
      <c r="B533" s="1"/>
      <c r="C533" s="1"/>
      <c r="D533" s="1"/>
      <c r="E533" s="1"/>
      <c r="F533" s="1"/>
      <c r="G533" s="1"/>
      <c r="H533" s="26"/>
      <c r="I533" s="85"/>
    </row>
    <row r="534" spans="1:9" ht="14.25" customHeight="1" x14ac:dyDescent="0.2">
      <c r="A534" s="1"/>
      <c r="B534" s="1"/>
      <c r="C534" s="1"/>
      <c r="D534" s="1"/>
      <c r="E534" s="1"/>
      <c r="F534" s="1"/>
      <c r="G534" s="1"/>
      <c r="H534" s="26"/>
      <c r="I534" s="85"/>
    </row>
    <row r="535" spans="1:9" ht="14.25" customHeight="1" x14ac:dyDescent="0.2">
      <c r="A535" s="1"/>
      <c r="B535" s="1"/>
      <c r="C535" s="1"/>
      <c r="D535" s="1"/>
      <c r="E535" s="1"/>
      <c r="F535" s="1"/>
      <c r="G535" s="1"/>
      <c r="H535" s="26"/>
      <c r="I535" s="85"/>
    </row>
    <row r="536" spans="1:9" ht="14.25" customHeight="1" x14ac:dyDescent="0.2">
      <c r="A536" s="1"/>
      <c r="B536" s="1"/>
      <c r="C536" s="1"/>
      <c r="D536" s="1"/>
      <c r="E536" s="1"/>
      <c r="F536" s="1"/>
      <c r="G536" s="1"/>
      <c r="H536" s="26"/>
      <c r="I536" s="85"/>
    </row>
    <row r="537" spans="1:9" ht="14.25" customHeight="1" x14ac:dyDescent="0.2">
      <c r="A537" s="1"/>
      <c r="B537" s="1"/>
      <c r="C537" s="1"/>
      <c r="D537" s="1"/>
      <c r="E537" s="1"/>
      <c r="F537" s="1"/>
      <c r="G537" s="1"/>
      <c r="H537" s="26"/>
      <c r="I537" s="85"/>
    </row>
    <row r="538" spans="1:9" ht="14.25" customHeight="1" x14ac:dyDescent="0.2">
      <c r="A538" s="1"/>
      <c r="B538" s="1"/>
      <c r="C538" s="1"/>
      <c r="D538" s="1"/>
      <c r="E538" s="1"/>
      <c r="F538" s="1"/>
      <c r="G538" s="1"/>
      <c r="H538" s="26"/>
      <c r="I538" s="85"/>
    </row>
    <row r="539" spans="1:9" ht="14.25" customHeight="1" x14ac:dyDescent="0.2">
      <c r="A539" s="1"/>
      <c r="B539" s="1"/>
      <c r="C539" s="1"/>
      <c r="D539" s="1"/>
      <c r="E539" s="1"/>
      <c r="F539" s="1"/>
      <c r="G539" s="1"/>
      <c r="H539" s="26"/>
      <c r="I539" s="85"/>
    </row>
    <row r="540" spans="1:9" ht="14.25" customHeight="1" x14ac:dyDescent="0.2">
      <c r="A540" s="1"/>
      <c r="B540" s="1"/>
      <c r="C540" s="1"/>
      <c r="D540" s="1"/>
      <c r="E540" s="1"/>
      <c r="F540" s="1"/>
      <c r="G540" s="1"/>
      <c r="H540" s="26"/>
      <c r="I540" s="85"/>
    </row>
    <row r="541" spans="1:9" ht="14.25" customHeight="1" x14ac:dyDescent="0.2">
      <c r="A541" s="1"/>
      <c r="B541" s="1"/>
      <c r="C541" s="1"/>
      <c r="D541" s="1"/>
      <c r="E541" s="1"/>
      <c r="F541" s="1"/>
      <c r="G541" s="1"/>
      <c r="H541" s="26"/>
      <c r="I541" s="85"/>
    </row>
    <row r="542" spans="1:9" ht="14.25" customHeight="1" x14ac:dyDescent="0.2">
      <c r="A542" s="1"/>
      <c r="B542" s="1"/>
      <c r="C542" s="1"/>
      <c r="D542" s="1"/>
      <c r="E542" s="1"/>
      <c r="F542" s="1"/>
      <c r="G542" s="1"/>
      <c r="H542" s="26"/>
      <c r="I542" s="85"/>
    </row>
    <row r="543" spans="1:9" ht="14.25" customHeight="1" x14ac:dyDescent="0.2">
      <c r="A543" s="1"/>
      <c r="B543" s="1"/>
      <c r="C543" s="1"/>
      <c r="D543" s="1"/>
      <c r="E543" s="1"/>
      <c r="F543" s="1"/>
      <c r="G543" s="1"/>
      <c r="H543" s="26"/>
      <c r="I543" s="85"/>
    </row>
    <row r="544" spans="1:9" ht="14.25" customHeight="1" x14ac:dyDescent="0.2">
      <c r="A544" s="1"/>
      <c r="B544" s="1"/>
      <c r="C544" s="1"/>
      <c r="D544" s="1"/>
      <c r="E544" s="1"/>
      <c r="F544" s="1"/>
      <c r="G544" s="1"/>
      <c r="H544" s="26"/>
      <c r="I544" s="85"/>
    </row>
    <row r="545" spans="1:9" ht="14.25" customHeight="1" x14ac:dyDescent="0.2">
      <c r="A545" s="1"/>
      <c r="B545" s="1"/>
      <c r="C545" s="1"/>
      <c r="D545" s="1"/>
      <c r="E545" s="1"/>
      <c r="F545" s="1"/>
      <c r="G545" s="1"/>
      <c r="H545" s="26"/>
      <c r="I545" s="85"/>
    </row>
    <row r="546" spans="1:9" ht="14.25" customHeight="1" x14ac:dyDescent="0.2">
      <c r="A546" s="1"/>
      <c r="B546" s="1"/>
      <c r="C546" s="1"/>
      <c r="D546" s="1"/>
      <c r="E546" s="1"/>
      <c r="F546" s="1"/>
      <c r="G546" s="1"/>
      <c r="H546" s="26"/>
      <c r="I546" s="85"/>
    </row>
    <row r="547" spans="1:9" ht="14.25" customHeight="1" x14ac:dyDescent="0.2">
      <c r="A547" s="1"/>
      <c r="B547" s="1"/>
      <c r="C547" s="1"/>
      <c r="D547" s="1"/>
      <c r="E547" s="1"/>
      <c r="F547" s="1"/>
      <c r="G547" s="1"/>
      <c r="H547" s="26"/>
      <c r="I547" s="85"/>
    </row>
    <row r="548" spans="1:9" ht="14.25" customHeight="1" x14ac:dyDescent="0.2">
      <c r="A548" s="1"/>
      <c r="B548" s="1"/>
      <c r="C548" s="1"/>
      <c r="D548" s="1"/>
      <c r="E548" s="1"/>
      <c r="F548" s="1"/>
      <c r="G548" s="1"/>
      <c r="H548" s="26"/>
      <c r="I548" s="85"/>
    </row>
    <row r="549" spans="1:9" ht="14.25" customHeight="1" x14ac:dyDescent="0.2">
      <c r="A549" s="1"/>
      <c r="B549" s="1"/>
      <c r="C549" s="1"/>
      <c r="D549" s="1"/>
      <c r="E549" s="1"/>
      <c r="F549" s="1"/>
      <c r="G549" s="1"/>
      <c r="H549" s="26"/>
      <c r="I549" s="85"/>
    </row>
    <row r="550" spans="1:9" ht="14.25" customHeight="1" x14ac:dyDescent="0.2">
      <c r="A550" s="1"/>
      <c r="B550" s="1"/>
      <c r="C550" s="1"/>
      <c r="D550" s="1"/>
      <c r="E550" s="1"/>
      <c r="F550" s="1"/>
      <c r="G550" s="1"/>
      <c r="H550" s="26"/>
      <c r="I550" s="85"/>
    </row>
    <row r="551" spans="1:9" ht="14.25" customHeight="1" x14ac:dyDescent="0.2">
      <c r="A551" s="1"/>
      <c r="B551" s="1"/>
      <c r="C551" s="1"/>
      <c r="D551" s="1"/>
      <c r="E551" s="1"/>
      <c r="F551" s="1"/>
      <c r="G551" s="1"/>
      <c r="H551" s="26"/>
      <c r="I551" s="85"/>
    </row>
    <row r="552" spans="1:9" ht="14.25" customHeight="1" x14ac:dyDescent="0.2">
      <c r="A552" s="1"/>
      <c r="B552" s="1"/>
      <c r="C552" s="1"/>
      <c r="D552" s="1"/>
      <c r="E552" s="1"/>
      <c r="F552" s="1"/>
      <c r="G552" s="1"/>
      <c r="H552" s="26"/>
      <c r="I552" s="85"/>
    </row>
    <row r="553" spans="1:9" ht="14.25" customHeight="1" x14ac:dyDescent="0.2">
      <c r="A553" s="1"/>
      <c r="B553" s="1"/>
      <c r="C553" s="1"/>
      <c r="D553" s="1"/>
      <c r="E553" s="1"/>
      <c r="F553" s="1"/>
      <c r="G553" s="1"/>
      <c r="H553" s="26"/>
      <c r="I553" s="85"/>
    </row>
    <row r="554" spans="1:9" ht="14.25" customHeight="1" x14ac:dyDescent="0.2">
      <c r="A554" s="1"/>
      <c r="B554" s="1"/>
      <c r="C554" s="1"/>
      <c r="D554" s="1"/>
      <c r="E554" s="1"/>
      <c r="F554" s="1"/>
      <c r="G554" s="1"/>
      <c r="H554" s="26"/>
      <c r="I554" s="85"/>
    </row>
    <row r="555" spans="1:9" ht="14.25" customHeight="1" x14ac:dyDescent="0.2">
      <c r="A555" s="1"/>
      <c r="B555" s="1"/>
      <c r="C555" s="1"/>
      <c r="D555" s="1"/>
      <c r="E555" s="1"/>
      <c r="F555" s="1"/>
      <c r="G555" s="1"/>
      <c r="H555" s="26"/>
      <c r="I555" s="85"/>
    </row>
    <row r="556" spans="1:9" ht="14.25" customHeight="1" x14ac:dyDescent="0.2">
      <c r="A556" s="1"/>
      <c r="B556" s="1"/>
      <c r="C556" s="1"/>
      <c r="D556" s="1"/>
      <c r="E556" s="1"/>
      <c r="F556" s="1"/>
      <c r="G556" s="1"/>
      <c r="H556" s="26"/>
      <c r="I556" s="85"/>
    </row>
    <row r="557" spans="1:9" ht="14.25" customHeight="1" x14ac:dyDescent="0.2">
      <c r="A557" s="1"/>
      <c r="B557" s="1"/>
      <c r="C557" s="1"/>
      <c r="D557" s="1"/>
      <c r="E557" s="1"/>
      <c r="F557" s="1"/>
      <c r="G557" s="1"/>
      <c r="H557" s="26"/>
      <c r="I557" s="85"/>
    </row>
    <row r="558" spans="1:9" ht="14.25" customHeight="1" x14ac:dyDescent="0.2">
      <c r="A558" s="1"/>
      <c r="B558" s="1"/>
      <c r="C558" s="1"/>
      <c r="D558" s="1"/>
      <c r="E558" s="1"/>
      <c r="F558" s="1"/>
      <c r="G558" s="1"/>
      <c r="H558" s="26"/>
      <c r="I558" s="85"/>
    </row>
    <row r="559" spans="1:9" ht="14.25" customHeight="1" x14ac:dyDescent="0.2">
      <c r="A559" s="1"/>
      <c r="B559" s="1"/>
      <c r="C559" s="1"/>
      <c r="D559" s="1"/>
      <c r="E559" s="1"/>
      <c r="F559" s="1"/>
      <c r="G559" s="1"/>
      <c r="H559" s="26"/>
      <c r="I559" s="85"/>
    </row>
    <row r="560" spans="1:9" ht="14.25" customHeight="1" x14ac:dyDescent="0.2">
      <c r="A560" s="1"/>
      <c r="B560" s="1"/>
      <c r="C560" s="1"/>
      <c r="D560" s="1"/>
      <c r="E560" s="1"/>
      <c r="F560" s="1"/>
      <c r="G560" s="1"/>
      <c r="H560" s="26"/>
      <c r="I560" s="85"/>
    </row>
    <row r="561" spans="1:9" ht="14.25" customHeight="1" x14ac:dyDescent="0.2">
      <c r="A561" s="1"/>
      <c r="B561" s="1"/>
      <c r="C561" s="1"/>
      <c r="D561" s="1"/>
      <c r="E561" s="1"/>
      <c r="F561" s="1"/>
      <c r="G561" s="1"/>
      <c r="H561" s="26"/>
      <c r="I561" s="85"/>
    </row>
    <row r="562" spans="1:9" ht="14.25" customHeight="1" x14ac:dyDescent="0.2">
      <c r="A562" s="1"/>
      <c r="B562" s="1"/>
      <c r="C562" s="1"/>
      <c r="D562" s="1"/>
      <c r="E562" s="1"/>
      <c r="F562" s="1"/>
      <c r="G562" s="1"/>
      <c r="H562" s="26"/>
      <c r="I562" s="85"/>
    </row>
    <row r="563" spans="1:9" ht="14.25" customHeight="1" x14ac:dyDescent="0.2">
      <c r="A563" s="1"/>
      <c r="B563" s="1"/>
      <c r="C563" s="1"/>
      <c r="D563" s="1"/>
      <c r="E563" s="1"/>
      <c r="F563" s="1"/>
      <c r="G563" s="1"/>
      <c r="H563" s="26"/>
      <c r="I563" s="85"/>
    </row>
    <row r="564" spans="1:9" ht="14.25" customHeight="1" x14ac:dyDescent="0.2">
      <c r="A564" s="1"/>
      <c r="B564" s="1"/>
      <c r="C564" s="1"/>
      <c r="D564" s="1"/>
      <c r="E564" s="1"/>
      <c r="F564" s="1"/>
      <c r="G564" s="1"/>
      <c r="H564" s="26"/>
      <c r="I564" s="85"/>
    </row>
    <row r="565" spans="1:9" ht="14.25" customHeight="1" x14ac:dyDescent="0.2">
      <c r="A565" s="1"/>
      <c r="B565" s="1"/>
      <c r="C565" s="1"/>
      <c r="D565" s="1"/>
      <c r="E565" s="1"/>
      <c r="F565" s="1"/>
      <c r="G565" s="1"/>
      <c r="H565" s="26"/>
      <c r="I565" s="85"/>
    </row>
    <row r="566" spans="1:9" ht="14.25" customHeight="1" x14ac:dyDescent="0.2">
      <c r="A566" s="1"/>
      <c r="B566" s="1"/>
      <c r="C566" s="1"/>
      <c r="D566" s="1"/>
      <c r="E566" s="1"/>
      <c r="F566" s="1"/>
      <c r="G566" s="1"/>
      <c r="H566" s="26"/>
      <c r="I566" s="85"/>
    </row>
    <row r="567" spans="1:9" ht="14.25" customHeight="1" x14ac:dyDescent="0.2">
      <c r="A567" s="1"/>
      <c r="B567" s="1"/>
      <c r="C567" s="1"/>
      <c r="D567" s="1"/>
      <c r="E567" s="1"/>
      <c r="F567" s="1"/>
      <c r="G567" s="1"/>
      <c r="H567" s="26"/>
      <c r="I567" s="85"/>
    </row>
    <row r="568" spans="1:9" ht="14.25" customHeight="1" x14ac:dyDescent="0.2">
      <c r="A568" s="1"/>
      <c r="B568" s="1"/>
      <c r="C568" s="1"/>
      <c r="D568" s="1"/>
      <c r="E568" s="1"/>
      <c r="F568" s="1"/>
      <c r="G568" s="1"/>
      <c r="H568" s="26"/>
      <c r="I568" s="85"/>
    </row>
    <row r="569" spans="1:9" ht="14.25" customHeight="1" x14ac:dyDescent="0.2">
      <c r="A569" s="1"/>
      <c r="B569" s="1"/>
      <c r="C569" s="1"/>
      <c r="D569" s="1"/>
      <c r="E569" s="1"/>
      <c r="F569" s="1"/>
      <c r="G569" s="1"/>
      <c r="H569" s="26"/>
      <c r="I569" s="85"/>
    </row>
    <row r="570" spans="1:9" ht="14.25" customHeight="1" x14ac:dyDescent="0.2">
      <c r="A570" s="1"/>
      <c r="B570" s="1"/>
      <c r="C570" s="1"/>
      <c r="D570" s="1"/>
      <c r="E570" s="1"/>
      <c r="F570" s="1"/>
      <c r="G570" s="1"/>
      <c r="H570" s="26"/>
      <c r="I570" s="85"/>
    </row>
    <row r="571" spans="1:9" ht="14.25" customHeight="1" x14ac:dyDescent="0.2">
      <c r="A571" s="1"/>
      <c r="B571" s="1"/>
      <c r="C571" s="1"/>
      <c r="D571" s="1"/>
      <c r="E571" s="1"/>
      <c r="F571" s="1"/>
      <c r="G571" s="1"/>
      <c r="H571" s="26"/>
      <c r="I571" s="85"/>
    </row>
    <row r="572" spans="1:9" ht="14.25" customHeight="1" x14ac:dyDescent="0.2">
      <c r="A572" s="1"/>
      <c r="B572" s="1"/>
      <c r="C572" s="1"/>
      <c r="D572" s="1"/>
      <c r="E572" s="1"/>
      <c r="F572" s="1"/>
      <c r="G572" s="1"/>
      <c r="H572" s="26"/>
      <c r="I572" s="85"/>
    </row>
    <row r="573" spans="1:9" ht="14.25" customHeight="1" x14ac:dyDescent="0.2">
      <c r="A573" s="1"/>
      <c r="B573" s="1"/>
      <c r="C573" s="1"/>
      <c r="D573" s="1"/>
      <c r="E573" s="1"/>
      <c r="F573" s="1"/>
      <c r="G573" s="1"/>
      <c r="H573" s="26"/>
      <c r="I573" s="85"/>
    </row>
    <row r="574" spans="1:9" ht="14.25" customHeight="1" x14ac:dyDescent="0.2">
      <c r="A574" s="1"/>
      <c r="B574" s="1"/>
      <c r="C574" s="1"/>
      <c r="D574" s="1"/>
      <c r="E574" s="1"/>
      <c r="F574" s="1"/>
      <c r="G574" s="1"/>
      <c r="H574" s="26"/>
      <c r="I574" s="85"/>
    </row>
    <row r="575" spans="1:9" ht="14.25" customHeight="1" x14ac:dyDescent="0.2">
      <c r="A575" s="1"/>
      <c r="B575" s="1"/>
      <c r="C575" s="1"/>
      <c r="D575" s="1"/>
      <c r="E575" s="1"/>
      <c r="F575" s="1"/>
      <c r="G575" s="1"/>
      <c r="H575" s="26"/>
      <c r="I575" s="85"/>
    </row>
    <row r="576" spans="1:9" ht="14.25" customHeight="1" x14ac:dyDescent="0.2">
      <c r="A576" s="1"/>
      <c r="B576" s="1"/>
      <c r="C576" s="1"/>
      <c r="D576" s="1"/>
      <c r="E576" s="1"/>
      <c r="F576" s="1"/>
      <c r="G576" s="1"/>
      <c r="H576" s="26"/>
      <c r="I576" s="85"/>
    </row>
    <row r="577" spans="1:9" ht="14.25" customHeight="1" x14ac:dyDescent="0.2">
      <c r="A577" s="1"/>
      <c r="B577" s="1"/>
      <c r="C577" s="1"/>
      <c r="D577" s="1"/>
      <c r="E577" s="1"/>
      <c r="F577" s="1"/>
      <c r="G577" s="1"/>
      <c r="H577" s="26"/>
      <c r="I577" s="85"/>
    </row>
    <row r="578" spans="1:9" ht="14.25" customHeight="1" x14ac:dyDescent="0.2">
      <c r="A578" s="1"/>
      <c r="B578" s="1"/>
      <c r="C578" s="1"/>
      <c r="D578" s="1"/>
      <c r="E578" s="1"/>
      <c r="F578" s="1"/>
      <c r="G578" s="1"/>
      <c r="H578" s="26"/>
      <c r="I578" s="85"/>
    </row>
    <row r="579" spans="1:9" ht="14.25" customHeight="1" x14ac:dyDescent="0.2">
      <c r="A579" s="1"/>
      <c r="B579" s="1"/>
      <c r="C579" s="1"/>
      <c r="D579" s="1"/>
      <c r="E579" s="1"/>
      <c r="F579" s="1"/>
      <c r="G579" s="1"/>
      <c r="H579" s="26"/>
      <c r="I579" s="85"/>
    </row>
    <row r="580" spans="1:9" ht="14.25" customHeight="1" x14ac:dyDescent="0.2">
      <c r="A580" s="1"/>
      <c r="B580" s="1"/>
      <c r="C580" s="1"/>
      <c r="D580" s="1"/>
      <c r="E580" s="1"/>
      <c r="F580" s="1"/>
      <c r="G580" s="1"/>
      <c r="H580" s="26"/>
      <c r="I580" s="85"/>
    </row>
    <row r="581" spans="1:9" ht="14.25" customHeight="1" x14ac:dyDescent="0.2">
      <c r="A581" s="1"/>
      <c r="B581" s="1"/>
      <c r="C581" s="1"/>
      <c r="D581" s="1"/>
      <c r="E581" s="1"/>
      <c r="F581" s="1"/>
      <c r="G581" s="1"/>
      <c r="H581" s="26"/>
      <c r="I581" s="85"/>
    </row>
    <row r="582" spans="1:9" ht="14.25" customHeight="1" x14ac:dyDescent="0.2">
      <c r="A582" s="1"/>
      <c r="B582" s="1"/>
      <c r="C582" s="1"/>
      <c r="D582" s="1"/>
      <c r="E582" s="1"/>
      <c r="F582" s="1"/>
      <c r="G582" s="1"/>
      <c r="H582" s="26"/>
      <c r="I582" s="85"/>
    </row>
    <row r="583" spans="1:9" ht="14.25" customHeight="1" x14ac:dyDescent="0.2">
      <c r="A583" s="1"/>
      <c r="B583" s="1"/>
      <c r="C583" s="1"/>
      <c r="D583" s="1"/>
      <c r="E583" s="1"/>
      <c r="F583" s="1"/>
      <c r="G583" s="1"/>
      <c r="H583" s="26"/>
      <c r="I583" s="85"/>
    </row>
    <row r="584" spans="1:9" ht="14.25" customHeight="1" x14ac:dyDescent="0.2">
      <c r="A584" s="1"/>
      <c r="B584" s="1"/>
      <c r="C584" s="1"/>
      <c r="D584" s="1"/>
      <c r="E584" s="1"/>
      <c r="F584" s="1"/>
      <c r="G584" s="1"/>
      <c r="H584" s="26"/>
      <c r="I584" s="85"/>
    </row>
    <row r="585" spans="1:9" ht="14.25" customHeight="1" x14ac:dyDescent="0.2">
      <c r="A585" s="1"/>
      <c r="B585" s="1"/>
      <c r="C585" s="1"/>
      <c r="D585" s="1"/>
      <c r="E585" s="1"/>
      <c r="F585" s="1"/>
      <c r="G585" s="1"/>
      <c r="H585" s="26"/>
      <c r="I585" s="85"/>
    </row>
    <row r="586" spans="1:9" ht="14.25" customHeight="1" x14ac:dyDescent="0.2">
      <c r="A586" s="1"/>
      <c r="B586" s="1"/>
      <c r="C586" s="1"/>
      <c r="D586" s="1"/>
      <c r="E586" s="1"/>
      <c r="F586" s="1"/>
      <c r="G586" s="1"/>
      <c r="H586" s="26"/>
      <c r="I586" s="85"/>
    </row>
    <row r="587" spans="1:9" ht="14.25" customHeight="1" x14ac:dyDescent="0.2">
      <c r="A587" s="1"/>
      <c r="B587" s="1"/>
      <c r="C587" s="1"/>
      <c r="D587" s="1"/>
      <c r="E587" s="1"/>
      <c r="F587" s="1"/>
      <c r="G587" s="1"/>
      <c r="H587" s="26"/>
      <c r="I587" s="85"/>
    </row>
    <row r="588" spans="1:9" ht="14.25" customHeight="1" x14ac:dyDescent="0.2">
      <c r="A588" s="1"/>
      <c r="B588" s="1"/>
      <c r="C588" s="1"/>
      <c r="D588" s="1"/>
      <c r="E588" s="1"/>
      <c r="F588" s="1"/>
      <c r="G588" s="1"/>
      <c r="H588" s="26"/>
      <c r="I588" s="85"/>
    </row>
    <row r="589" spans="1:9" ht="14.25" customHeight="1" x14ac:dyDescent="0.2">
      <c r="A589" s="1"/>
      <c r="B589" s="1"/>
      <c r="C589" s="1"/>
      <c r="D589" s="1"/>
      <c r="E589" s="1"/>
      <c r="F589" s="1"/>
      <c r="G589" s="1"/>
      <c r="H589" s="26"/>
      <c r="I589" s="85"/>
    </row>
    <row r="590" spans="1:9" ht="14.25" customHeight="1" x14ac:dyDescent="0.2">
      <c r="A590" s="1"/>
      <c r="B590" s="1"/>
      <c r="C590" s="1"/>
      <c r="D590" s="1"/>
      <c r="E590" s="1"/>
      <c r="F590" s="1"/>
      <c r="G590" s="1"/>
      <c r="H590" s="26"/>
      <c r="I590" s="85"/>
    </row>
    <row r="591" spans="1:9" ht="14.25" customHeight="1" x14ac:dyDescent="0.2">
      <c r="A591" s="1"/>
      <c r="B591" s="1"/>
      <c r="C591" s="1"/>
      <c r="D591" s="1"/>
      <c r="E591" s="1"/>
      <c r="F591" s="1"/>
      <c r="G591" s="1"/>
      <c r="H591" s="26"/>
      <c r="I591" s="85"/>
    </row>
    <row r="592" spans="1:9" ht="14.25" customHeight="1" x14ac:dyDescent="0.2">
      <c r="A592" s="1"/>
      <c r="B592" s="1"/>
      <c r="C592" s="1"/>
      <c r="D592" s="1"/>
      <c r="E592" s="1"/>
      <c r="F592" s="1"/>
      <c r="G592" s="1"/>
      <c r="H592" s="26"/>
      <c r="I592" s="85"/>
    </row>
    <row r="593" spans="1:9" ht="14.25" customHeight="1" x14ac:dyDescent="0.2">
      <c r="A593" s="1"/>
      <c r="B593" s="1"/>
      <c r="C593" s="1"/>
      <c r="D593" s="1"/>
      <c r="E593" s="1"/>
      <c r="F593" s="1"/>
      <c r="G593" s="1"/>
      <c r="H593" s="26"/>
      <c r="I593" s="85"/>
    </row>
    <row r="594" spans="1:9" ht="14.25" customHeight="1" x14ac:dyDescent="0.2">
      <c r="A594" s="1"/>
      <c r="B594" s="1"/>
      <c r="C594" s="1"/>
      <c r="D594" s="1"/>
      <c r="E594" s="1"/>
      <c r="F594" s="1"/>
      <c r="G594" s="1"/>
      <c r="H594" s="26"/>
      <c r="I594" s="85"/>
    </row>
    <row r="595" spans="1:9" ht="14.25" customHeight="1" x14ac:dyDescent="0.2">
      <c r="A595" s="1"/>
      <c r="B595" s="1"/>
      <c r="C595" s="1"/>
      <c r="D595" s="1"/>
      <c r="E595" s="1"/>
      <c r="F595" s="1"/>
      <c r="G595" s="1"/>
      <c r="H595" s="26"/>
      <c r="I595" s="85"/>
    </row>
    <row r="596" spans="1:9" ht="14.25" customHeight="1" x14ac:dyDescent="0.2">
      <c r="A596" s="1"/>
      <c r="B596" s="1"/>
      <c r="C596" s="1"/>
      <c r="D596" s="1"/>
      <c r="E596" s="1"/>
      <c r="F596" s="1"/>
      <c r="G596" s="1"/>
      <c r="H596" s="26"/>
      <c r="I596" s="85"/>
    </row>
    <row r="597" spans="1:9" ht="14.25" customHeight="1" x14ac:dyDescent="0.2">
      <c r="A597" s="1"/>
      <c r="B597" s="1"/>
      <c r="C597" s="1"/>
      <c r="D597" s="1"/>
      <c r="E597" s="1"/>
      <c r="F597" s="1"/>
      <c r="G597" s="1"/>
      <c r="H597" s="26"/>
      <c r="I597" s="85"/>
    </row>
    <row r="598" spans="1:9" ht="14.25" customHeight="1" x14ac:dyDescent="0.2">
      <c r="A598" s="1"/>
      <c r="B598" s="1"/>
      <c r="C598" s="1"/>
      <c r="D598" s="1"/>
      <c r="E598" s="1"/>
      <c r="F598" s="1"/>
      <c r="G598" s="1"/>
      <c r="H598" s="26"/>
      <c r="I598" s="85"/>
    </row>
    <row r="599" spans="1:9" ht="14.25" customHeight="1" x14ac:dyDescent="0.2">
      <c r="A599" s="1"/>
      <c r="B599" s="1"/>
      <c r="C599" s="1"/>
      <c r="D599" s="1"/>
      <c r="E599" s="1"/>
      <c r="F599" s="1"/>
      <c r="G599" s="1"/>
      <c r="H599" s="26"/>
      <c r="I599" s="85"/>
    </row>
    <row r="600" spans="1:9" ht="14.25" customHeight="1" x14ac:dyDescent="0.2">
      <c r="A600" s="1"/>
      <c r="B600" s="1"/>
      <c r="C600" s="1"/>
      <c r="D600" s="1"/>
      <c r="E600" s="1"/>
      <c r="F600" s="1"/>
      <c r="G600" s="1"/>
      <c r="H600" s="26"/>
      <c r="I600" s="85"/>
    </row>
    <row r="601" spans="1:9" ht="14.25" customHeight="1" x14ac:dyDescent="0.2">
      <c r="A601" s="1"/>
      <c r="B601" s="1"/>
      <c r="C601" s="1"/>
      <c r="D601" s="1"/>
      <c r="E601" s="1"/>
      <c r="F601" s="1"/>
      <c r="G601" s="1"/>
      <c r="H601" s="26"/>
      <c r="I601" s="85"/>
    </row>
    <row r="602" spans="1:9" ht="14.25" customHeight="1" x14ac:dyDescent="0.2">
      <c r="A602" s="1"/>
      <c r="B602" s="1"/>
      <c r="C602" s="1"/>
      <c r="D602" s="1"/>
      <c r="E602" s="1"/>
      <c r="F602" s="1"/>
      <c r="G602" s="1"/>
      <c r="H602" s="26"/>
      <c r="I602" s="85"/>
    </row>
    <row r="603" spans="1:9" ht="14.25" customHeight="1" x14ac:dyDescent="0.2">
      <c r="A603" s="1"/>
      <c r="B603" s="1"/>
      <c r="C603" s="1"/>
      <c r="D603" s="1"/>
      <c r="E603" s="1"/>
      <c r="F603" s="1"/>
      <c r="G603" s="1"/>
      <c r="H603" s="26"/>
      <c r="I603" s="85"/>
    </row>
    <row r="604" spans="1:9" ht="14.25" customHeight="1" x14ac:dyDescent="0.2">
      <c r="A604" s="1"/>
      <c r="B604" s="1"/>
      <c r="C604" s="1"/>
      <c r="D604" s="1"/>
      <c r="E604" s="1"/>
      <c r="F604" s="1"/>
      <c r="G604" s="1"/>
      <c r="H604" s="26"/>
      <c r="I604" s="85"/>
    </row>
    <row r="605" spans="1:9" ht="14.25" customHeight="1" x14ac:dyDescent="0.2">
      <c r="A605" s="1"/>
      <c r="B605" s="1"/>
      <c r="C605" s="1"/>
      <c r="D605" s="1"/>
      <c r="E605" s="1"/>
      <c r="F605" s="1"/>
      <c r="G605" s="1"/>
      <c r="H605" s="26"/>
      <c r="I605" s="85"/>
    </row>
    <row r="606" spans="1:9" ht="14.25" customHeight="1" x14ac:dyDescent="0.2">
      <c r="A606" s="1"/>
      <c r="B606" s="1"/>
      <c r="C606" s="1"/>
      <c r="D606" s="1"/>
      <c r="E606" s="1"/>
      <c r="F606" s="1"/>
      <c r="G606" s="1"/>
      <c r="H606" s="26"/>
      <c r="I606" s="85"/>
    </row>
    <row r="607" spans="1:9" ht="14.25" customHeight="1" x14ac:dyDescent="0.2">
      <c r="A607" s="1"/>
      <c r="B607" s="1"/>
      <c r="C607" s="1"/>
      <c r="D607" s="1"/>
      <c r="E607" s="1"/>
      <c r="F607" s="1"/>
      <c r="G607" s="1"/>
      <c r="H607" s="26"/>
      <c r="I607" s="85"/>
    </row>
    <row r="608" spans="1:9" ht="14.25" customHeight="1" x14ac:dyDescent="0.2">
      <c r="A608" s="1"/>
      <c r="B608" s="1"/>
      <c r="C608" s="1"/>
      <c r="D608" s="1"/>
      <c r="E608" s="1"/>
      <c r="F608" s="1"/>
      <c r="G608" s="1"/>
      <c r="H608" s="26"/>
      <c r="I608" s="85"/>
    </row>
    <row r="609" spans="1:9" ht="14.25" customHeight="1" x14ac:dyDescent="0.2">
      <c r="A609" s="1"/>
      <c r="B609" s="1"/>
      <c r="C609" s="1"/>
      <c r="D609" s="1"/>
      <c r="E609" s="1"/>
      <c r="F609" s="1"/>
      <c r="G609" s="1"/>
      <c r="H609" s="26"/>
      <c r="I609" s="85"/>
    </row>
    <row r="610" spans="1:9" ht="14.25" customHeight="1" x14ac:dyDescent="0.2">
      <c r="A610" s="1"/>
      <c r="B610" s="1"/>
      <c r="C610" s="1"/>
      <c r="D610" s="1"/>
      <c r="E610" s="1"/>
      <c r="F610" s="1"/>
      <c r="G610" s="1"/>
      <c r="H610" s="26"/>
      <c r="I610" s="85"/>
    </row>
    <row r="611" spans="1:9" ht="14.25" customHeight="1" x14ac:dyDescent="0.2">
      <c r="A611" s="1"/>
      <c r="B611" s="1"/>
      <c r="C611" s="1"/>
      <c r="D611" s="1"/>
      <c r="E611" s="1"/>
      <c r="F611" s="1"/>
      <c r="G611" s="1"/>
      <c r="H611" s="26"/>
      <c r="I611" s="85"/>
    </row>
    <row r="612" spans="1:9" ht="14.25" customHeight="1" x14ac:dyDescent="0.2">
      <c r="A612" s="1"/>
      <c r="B612" s="1"/>
      <c r="C612" s="1"/>
      <c r="D612" s="1"/>
      <c r="E612" s="1"/>
      <c r="F612" s="1"/>
      <c r="G612" s="1"/>
      <c r="H612" s="26"/>
      <c r="I612" s="85"/>
    </row>
    <row r="613" spans="1:9" ht="14.25" customHeight="1" x14ac:dyDescent="0.2">
      <c r="A613" s="1"/>
      <c r="B613" s="1"/>
      <c r="C613" s="1"/>
      <c r="D613" s="1"/>
      <c r="E613" s="1"/>
      <c r="F613" s="1"/>
      <c r="G613" s="1"/>
      <c r="H613" s="26"/>
      <c r="I613" s="85"/>
    </row>
    <row r="614" spans="1:9" ht="14.25" customHeight="1" x14ac:dyDescent="0.2">
      <c r="A614" s="1"/>
      <c r="B614" s="1"/>
      <c r="C614" s="1"/>
      <c r="D614" s="1"/>
      <c r="E614" s="1"/>
      <c r="F614" s="1"/>
      <c r="G614" s="1"/>
      <c r="H614" s="26"/>
      <c r="I614" s="85"/>
    </row>
    <row r="615" spans="1:9" ht="14.25" customHeight="1" x14ac:dyDescent="0.2">
      <c r="A615" s="1"/>
      <c r="B615" s="1"/>
      <c r="C615" s="1"/>
      <c r="D615" s="1"/>
      <c r="E615" s="1"/>
      <c r="F615" s="1"/>
      <c r="G615" s="1"/>
      <c r="H615" s="26"/>
      <c r="I615" s="85"/>
    </row>
    <row r="616" spans="1:9" ht="14.25" customHeight="1" x14ac:dyDescent="0.2">
      <c r="A616" s="1"/>
      <c r="B616" s="1"/>
      <c r="C616" s="1"/>
      <c r="D616" s="1"/>
      <c r="E616" s="1"/>
      <c r="F616" s="1"/>
      <c r="G616" s="1"/>
      <c r="H616" s="26"/>
      <c r="I616" s="85"/>
    </row>
    <row r="617" spans="1:9" ht="14.25" customHeight="1" x14ac:dyDescent="0.2">
      <c r="A617" s="1"/>
      <c r="B617" s="1"/>
      <c r="C617" s="1"/>
      <c r="D617" s="1"/>
      <c r="E617" s="1"/>
      <c r="F617" s="1"/>
      <c r="G617" s="1"/>
      <c r="H617" s="26"/>
      <c r="I617" s="85"/>
    </row>
    <row r="618" spans="1:9" ht="14.25" customHeight="1" x14ac:dyDescent="0.2">
      <c r="A618" s="1"/>
      <c r="B618" s="1"/>
      <c r="C618" s="1"/>
      <c r="D618" s="1"/>
      <c r="E618" s="1"/>
      <c r="F618" s="1"/>
      <c r="G618" s="1"/>
      <c r="H618" s="26"/>
      <c r="I618" s="85"/>
    </row>
    <row r="619" spans="1:9" ht="14.25" customHeight="1" x14ac:dyDescent="0.2">
      <c r="A619" s="1"/>
      <c r="B619" s="1"/>
      <c r="C619" s="1"/>
      <c r="D619" s="1"/>
      <c r="E619" s="1"/>
      <c r="F619" s="1"/>
      <c r="G619" s="1"/>
      <c r="H619" s="26"/>
      <c r="I619" s="85"/>
    </row>
    <row r="620" spans="1:9" ht="14.25" customHeight="1" x14ac:dyDescent="0.2">
      <c r="A620" s="1"/>
      <c r="B620" s="1"/>
      <c r="C620" s="1"/>
      <c r="D620" s="1"/>
      <c r="E620" s="1"/>
      <c r="F620" s="1"/>
      <c r="G620" s="1"/>
      <c r="H620" s="26"/>
      <c r="I620" s="85"/>
    </row>
    <row r="621" spans="1:9" ht="14.25" customHeight="1" x14ac:dyDescent="0.2">
      <c r="A621" s="1"/>
      <c r="B621" s="1"/>
      <c r="C621" s="1"/>
      <c r="D621" s="1"/>
      <c r="E621" s="1"/>
      <c r="F621" s="1"/>
      <c r="G621" s="1"/>
      <c r="H621" s="26"/>
      <c r="I621" s="85"/>
    </row>
    <row r="622" spans="1:9" ht="14.25" customHeight="1" x14ac:dyDescent="0.2">
      <c r="A622" s="1"/>
      <c r="B622" s="1"/>
      <c r="C622" s="1"/>
      <c r="D622" s="1"/>
      <c r="E622" s="1"/>
      <c r="F622" s="1"/>
      <c r="G622" s="1"/>
      <c r="H622" s="26"/>
      <c r="I622" s="85"/>
    </row>
    <row r="623" spans="1:9" ht="14.25" customHeight="1" x14ac:dyDescent="0.2">
      <c r="A623" s="1"/>
      <c r="B623" s="1"/>
      <c r="C623" s="1"/>
      <c r="D623" s="1"/>
      <c r="E623" s="1"/>
      <c r="F623" s="1"/>
      <c r="G623" s="1"/>
      <c r="H623" s="26"/>
      <c r="I623" s="85"/>
    </row>
    <row r="624" spans="1:9" ht="14.25" customHeight="1" x14ac:dyDescent="0.2">
      <c r="A624" s="1"/>
      <c r="B624" s="1"/>
      <c r="C624" s="1"/>
      <c r="D624" s="1"/>
      <c r="E624" s="1"/>
      <c r="F624" s="1"/>
      <c r="G624" s="1"/>
      <c r="H624" s="26"/>
      <c r="I624" s="85"/>
    </row>
    <row r="625" spans="1:9" ht="14.25" customHeight="1" x14ac:dyDescent="0.2">
      <c r="A625" s="1"/>
      <c r="B625" s="1"/>
      <c r="C625" s="1"/>
      <c r="D625" s="1"/>
      <c r="E625" s="1"/>
      <c r="F625" s="1"/>
      <c r="G625" s="1"/>
      <c r="H625" s="26"/>
      <c r="I625" s="85"/>
    </row>
    <row r="626" spans="1:9" ht="14.25" customHeight="1" x14ac:dyDescent="0.2">
      <c r="A626" s="1"/>
      <c r="B626" s="1"/>
      <c r="C626" s="1"/>
      <c r="D626" s="1"/>
      <c r="E626" s="1"/>
      <c r="F626" s="1"/>
      <c r="G626" s="1"/>
      <c r="H626" s="26"/>
      <c r="I626" s="85"/>
    </row>
    <row r="627" spans="1:9" ht="14.25" customHeight="1" x14ac:dyDescent="0.2">
      <c r="A627" s="1"/>
      <c r="B627" s="1"/>
      <c r="C627" s="1"/>
      <c r="D627" s="1"/>
      <c r="E627" s="1"/>
      <c r="F627" s="1"/>
      <c r="G627" s="1"/>
      <c r="H627" s="26"/>
      <c r="I627" s="85"/>
    </row>
    <row r="628" spans="1:9" ht="14.25" customHeight="1" x14ac:dyDescent="0.2">
      <c r="A628" s="1"/>
      <c r="B628" s="1"/>
      <c r="C628" s="1"/>
      <c r="D628" s="1"/>
      <c r="E628" s="1"/>
      <c r="F628" s="1"/>
      <c r="G628" s="1"/>
      <c r="H628" s="26"/>
      <c r="I628" s="85"/>
    </row>
    <row r="629" spans="1:9" ht="14.25" customHeight="1" x14ac:dyDescent="0.2">
      <c r="A629" s="1"/>
      <c r="B629" s="1"/>
      <c r="C629" s="1"/>
      <c r="D629" s="1"/>
      <c r="E629" s="1"/>
      <c r="F629" s="1"/>
      <c r="G629" s="1"/>
      <c r="H629" s="26"/>
      <c r="I629" s="85"/>
    </row>
    <row r="630" spans="1:9" ht="14.25" customHeight="1" x14ac:dyDescent="0.2">
      <c r="A630" s="1"/>
      <c r="B630" s="1"/>
      <c r="C630" s="1"/>
      <c r="D630" s="1"/>
      <c r="E630" s="1"/>
      <c r="F630" s="1"/>
      <c r="G630" s="1"/>
      <c r="H630" s="26"/>
      <c r="I630" s="85"/>
    </row>
    <row r="631" spans="1:9" ht="14.25" customHeight="1" x14ac:dyDescent="0.2">
      <c r="A631" s="1"/>
      <c r="B631" s="1"/>
      <c r="C631" s="1"/>
      <c r="D631" s="1"/>
      <c r="E631" s="1"/>
      <c r="F631" s="1"/>
      <c r="G631" s="1"/>
      <c r="H631" s="26"/>
      <c r="I631" s="85"/>
    </row>
    <row r="632" spans="1:9" ht="14.25" customHeight="1" x14ac:dyDescent="0.2">
      <c r="A632" s="1"/>
      <c r="B632" s="1"/>
      <c r="C632" s="1"/>
      <c r="D632" s="1"/>
      <c r="E632" s="1"/>
      <c r="F632" s="1"/>
      <c r="G632" s="1"/>
      <c r="H632" s="26"/>
      <c r="I632" s="85"/>
    </row>
    <row r="633" spans="1:9" ht="14.25" customHeight="1" x14ac:dyDescent="0.2">
      <c r="A633" s="1"/>
      <c r="B633" s="1"/>
      <c r="C633" s="1"/>
      <c r="D633" s="1"/>
      <c r="E633" s="1"/>
      <c r="F633" s="1"/>
      <c r="G633" s="1"/>
      <c r="H633" s="26"/>
      <c r="I633" s="85"/>
    </row>
    <row r="634" spans="1:9" ht="14.25" customHeight="1" x14ac:dyDescent="0.2">
      <c r="A634" s="1"/>
      <c r="B634" s="1"/>
      <c r="C634" s="1"/>
      <c r="D634" s="1"/>
      <c r="E634" s="1"/>
      <c r="F634" s="1"/>
      <c r="G634" s="1"/>
      <c r="H634" s="26"/>
      <c r="I634" s="85"/>
    </row>
    <row r="635" spans="1:9" ht="14.25" customHeight="1" x14ac:dyDescent="0.2">
      <c r="A635" s="1"/>
      <c r="B635" s="1"/>
      <c r="C635" s="1"/>
      <c r="D635" s="1"/>
      <c r="E635" s="1"/>
      <c r="F635" s="1"/>
      <c r="G635" s="1"/>
      <c r="H635" s="26"/>
      <c r="I635" s="85"/>
    </row>
    <row r="636" spans="1:9" ht="14.25" customHeight="1" x14ac:dyDescent="0.2">
      <c r="A636" s="1"/>
      <c r="B636" s="1"/>
      <c r="C636" s="1"/>
      <c r="D636" s="1"/>
      <c r="E636" s="1"/>
      <c r="F636" s="1"/>
      <c r="G636" s="1"/>
      <c r="H636" s="26"/>
      <c r="I636" s="85"/>
    </row>
    <row r="637" spans="1:9" ht="14.25" customHeight="1" x14ac:dyDescent="0.2">
      <c r="A637" s="1"/>
      <c r="B637" s="1"/>
      <c r="C637" s="1"/>
      <c r="D637" s="1"/>
      <c r="E637" s="1"/>
      <c r="F637" s="1"/>
      <c r="G637" s="1"/>
      <c r="H637" s="26"/>
      <c r="I637" s="85"/>
    </row>
    <row r="638" spans="1:9" ht="14.25" customHeight="1" x14ac:dyDescent="0.2">
      <c r="A638" s="1"/>
      <c r="B638" s="1"/>
      <c r="C638" s="1"/>
      <c r="D638" s="1"/>
      <c r="E638" s="1"/>
      <c r="F638" s="1"/>
      <c r="G638" s="1"/>
      <c r="H638" s="26"/>
      <c r="I638" s="85"/>
    </row>
    <row r="639" spans="1:9" ht="14.25" customHeight="1" x14ac:dyDescent="0.2">
      <c r="A639" s="1"/>
      <c r="B639" s="1"/>
      <c r="C639" s="1"/>
      <c r="D639" s="1"/>
      <c r="E639" s="1"/>
      <c r="F639" s="1"/>
      <c r="G639" s="1"/>
      <c r="H639" s="26"/>
      <c r="I639" s="85"/>
    </row>
    <row r="640" spans="1:9" ht="14.25" customHeight="1" x14ac:dyDescent="0.2">
      <c r="A640" s="1"/>
      <c r="B640" s="1"/>
      <c r="C640" s="1"/>
      <c r="D640" s="1"/>
      <c r="E640" s="1"/>
      <c r="F640" s="1"/>
      <c r="G640" s="1"/>
      <c r="H640" s="26"/>
      <c r="I640" s="85"/>
    </row>
    <row r="641" spans="1:9" ht="14.25" customHeight="1" x14ac:dyDescent="0.2">
      <c r="A641" s="1"/>
      <c r="B641" s="1"/>
      <c r="C641" s="1"/>
      <c r="D641" s="1"/>
      <c r="E641" s="1"/>
      <c r="F641" s="1"/>
      <c r="G641" s="1"/>
      <c r="H641" s="26"/>
      <c r="I641" s="85"/>
    </row>
    <row r="642" spans="1:9" ht="14.25" customHeight="1" x14ac:dyDescent="0.2">
      <c r="A642" s="1"/>
      <c r="B642" s="1"/>
      <c r="C642" s="1"/>
      <c r="D642" s="1"/>
      <c r="E642" s="1"/>
      <c r="F642" s="1"/>
      <c r="G642" s="1"/>
      <c r="H642" s="26"/>
      <c r="I642" s="85"/>
    </row>
    <row r="643" spans="1:9" ht="14.25" customHeight="1" x14ac:dyDescent="0.2">
      <c r="A643" s="1"/>
      <c r="B643" s="1"/>
      <c r="C643" s="1"/>
      <c r="D643" s="1"/>
      <c r="E643" s="1"/>
      <c r="F643" s="1"/>
      <c r="G643" s="1"/>
      <c r="H643" s="26"/>
      <c r="I643" s="85"/>
    </row>
    <row r="644" spans="1:9" ht="14.25" customHeight="1" x14ac:dyDescent="0.2">
      <c r="A644" s="1"/>
      <c r="B644" s="1"/>
      <c r="C644" s="1"/>
      <c r="D644" s="1"/>
      <c r="E644" s="1"/>
      <c r="F644" s="1"/>
      <c r="G644" s="1"/>
      <c r="H644" s="26"/>
      <c r="I644" s="85"/>
    </row>
    <row r="645" spans="1:9" ht="14.25" customHeight="1" x14ac:dyDescent="0.2">
      <c r="A645" s="1"/>
      <c r="B645" s="1"/>
      <c r="C645" s="1"/>
      <c r="D645" s="1"/>
      <c r="E645" s="1"/>
      <c r="F645" s="1"/>
      <c r="G645" s="1"/>
      <c r="H645" s="26"/>
      <c r="I645" s="85"/>
    </row>
    <row r="646" spans="1:9" ht="14.25" customHeight="1" x14ac:dyDescent="0.2">
      <c r="A646" s="1"/>
      <c r="B646" s="1"/>
      <c r="C646" s="1"/>
      <c r="D646" s="1"/>
      <c r="E646" s="1"/>
      <c r="F646" s="1"/>
      <c r="G646" s="1"/>
      <c r="H646" s="26"/>
      <c r="I646" s="85"/>
    </row>
    <row r="647" spans="1:9" ht="14.25" customHeight="1" x14ac:dyDescent="0.2">
      <c r="A647" s="1"/>
      <c r="B647" s="1"/>
      <c r="C647" s="1"/>
      <c r="D647" s="1"/>
      <c r="E647" s="1"/>
      <c r="F647" s="1"/>
      <c r="G647" s="1"/>
      <c r="H647" s="26"/>
      <c r="I647" s="85"/>
    </row>
    <row r="648" spans="1:9" ht="14.25" customHeight="1" x14ac:dyDescent="0.2">
      <c r="A648" s="1"/>
      <c r="B648" s="1"/>
      <c r="C648" s="1"/>
      <c r="D648" s="1"/>
      <c r="E648" s="1"/>
      <c r="F648" s="1"/>
      <c r="G648" s="1"/>
      <c r="H648" s="26"/>
      <c r="I648" s="85"/>
    </row>
    <row r="649" spans="1:9" ht="14.25" customHeight="1" x14ac:dyDescent="0.2">
      <c r="A649" s="1"/>
      <c r="B649" s="1"/>
      <c r="C649" s="1"/>
      <c r="D649" s="1"/>
      <c r="E649" s="1"/>
      <c r="F649" s="1"/>
      <c r="G649" s="1"/>
      <c r="H649" s="26"/>
      <c r="I649" s="85"/>
    </row>
    <row r="650" spans="1:9" ht="14.25" customHeight="1" x14ac:dyDescent="0.2">
      <c r="A650" s="1"/>
      <c r="B650" s="1"/>
      <c r="C650" s="1"/>
      <c r="D650" s="1"/>
      <c r="E650" s="1"/>
      <c r="F650" s="1"/>
      <c r="G650" s="1"/>
      <c r="H650" s="26"/>
      <c r="I650" s="85"/>
    </row>
    <row r="651" spans="1:9" ht="14.25" customHeight="1" x14ac:dyDescent="0.2">
      <c r="A651" s="1"/>
      <c r="B651" s="1"/>
      <c r="C651" s="1"/>
      <c r="D651" s="1"/>
      <c r="E651" s="1"/>
      <c r="F651" s="1"/>
      <c r="G651" s="1"/>
      <c r="H651" s="26"/>
      <c r="I651" s="85"/>
    </row>
    <row r="652" spans="1:9" ht="14.25" customHeight="1" x14ac:dyDescent="0.2">
      <c r="A652" s="1"/>
      <c r="B652" s="1"/>
      <c r="C652" s="1"/>
      <c r="D652" s="1"/>
      <c r="E652" s="1"/>
      <c r="F652" s="1"/>
      <c r="G652" s="1"/>
      <c r="H652" s="26"/>
      <c r="I652" s="85"/>
    </row>
    <row r="653" spans="1:9" ht="14.25" customHeight="1" x14ac:dyDescent="0.2">
      <c r="A653" s="1"/>
      <c r="B653" s="1"/>
      <c r="C653" s="1"/>
      <c r="D653" s="1"/>
      <c r="E653" s="1"/>
      <c r="F653" s="1"/>
      <c r="G653" s="1"/>
      <c r="H653" s="26"/>
      <c r="I653" s="85"/>
    </row>
    <row r="654" spans="1:9" ht="14.25" customHeight="1" x14ac:dyDescent="0.2">
      <c r="A654" s="1"/>
      <c r="B654" s="1"/>
      <c r="C654" s="1"/>
      <c r="D654" s="1"/>
      <c r="E654" s="1"/>
      <c r="F654" s="1"/>
      <c r="G654" s="1"/>
      <c r="H654" s="26"/>
      <c r="I654" s="85"/>
    </row>
    <row r="655" spans="1:9" ht="14.25" customHeight="1" x14ac:dyDescent="0.2">
      <c r="A655" s="1"/>
      <c r="B655" s="1"/>
      <c r="C655" s="1"/>
      <c r="D655" s="1"/>
      <c r="E655" s="1"/>
      <c r="F655" s="1"/>
      <c r="G655" s="1"/>
      <c r="H655" s="26"/>
      <c r="I655" s="85"/>
    </row>
    <row r="656" spans="1:9" ht="14.25" customHeight="1" x14ac:dyDescent="0.2">
      <c r="A656" s="1"/>
      <c r="B656" s="1"/>
      <c r="C656" s="1"/>
      <c r="D656" s="1"/>
      <c r="E656" s="1"/>
      <c r="F656" s="1"/>
      <c r="G656" s="1"/>
      <c r="H656" s="26"/>
      <c r="I656" s="85"/>
    </row>
    <row r="657" spans="1:9" ht="14.25" customHeight="1" x14ac:dyDescent="0.2">
      <c r="A657" s="1"/>
      <c r="B657" s="1"/>
      <c r="C657" s="1"/>
      <c r="D657" s="1"/>
      <c r="E657" s="1"/>
      <c r="F657" s="1"/>
      <c r="G657" s="1"/>
      <c r="H657" s="26"/>
      <c r="I657" s="85"/>
    </row>
    <row r="658" spans="1:9" ht="14.25" customHeight="1" x14ac:dyDescent="0.2">
      <c r="A658" s="1"/>
      <c r="B658" s="1"/>
      <c r="C658" s="1"/>
      <c r="D658" s="1"/>
      <c r="E658" s="1"/>
      <c r="F658" s="1"/>
      <c r="G658" s="1"/>
      <c r="H658" s="26"/>
      <c r="I658" s="85"/>
    </row>
    <row r="659" spans="1:9" ht="14.25" customHeight="1" x14ac:dyDescent="0.2">
      <c r="A659" s="1"/>
      <c r="B659" s="1"/>
      <c r="C659" s="1"/>
      <c r="D659" s="1"/>
      <c r="E659" s="1"/>
      <c r="F659" s="1"/>
      <c r="G659" s="1"/>
      <c r="H659" s="26"/>
      <c r="I659" s="85"/>
    </row>
    <row r="660" spans="1:9" ht="14.25" customHeight="1" x14ac:dyDescent="0.2">
      <c r="A660" s="1"/>
      <c r="B660" s="1"/>
      <c r="C660" s="1"/>
      <c r="D660" s="1"/>
      <c r="E660" s="1"/>
      <c r="F660" s="1"/>
      <c r="G660" s="1"/>
      <c r="H660" s="26"/>
      <c r="I660" s="85"/>
    </row>
    <row r="661" spans="1:9" ht="14.25" customHeight="1" x14ac:dyDescent="0.2">
      <c r="A661" s="1"/>
      <c r="B661" s="1"/>
      <c r="C661" s="1"/>
      <c r="D661" s="1"/>
      <c r="E661" s="1"/>
      <c r="F661" s="1"/>
      <c r="G661" s="1"/>
      <c r="H661" s="26"/>
      <c r="I661" s="85"/>
    </row>
    <row r="662" spans="1:9" ht="14.25" customHeight="1" x14ac:dyDescent="0.2">
      <c r="A662" s="1"/>
      <c r="B662" s="1"/>
      <c r="C662" s="1"/>
      <c r="D662" s="1"/>
      <c r="E662" s="1"/>
      <c r="F662" s="1"/>
      <c r="G662" s="1"/>
      <c r="H662" s="26"/>
      <c r="I662" s="85"/>
    </row>
    <row r="663" spans="1:9" ht="14.25" customHeight="1" x14ac:dyDescent="0.2">
      <c r="A663" s="1"/>
      <c r="B663" s="1"/>
      <c r="C663" s="1"/>
      <c r="D663" s="1"/>
      <c r="E663" s="1"/>
      <c r="F663" s="1"/>
      <c r="G663" s="1"/>
      <c r="H663" s="26"/>
      <c r="I663" s="85"/>
    </row>
    <row r="664" spans="1:9" ht="14.25" customHeight="1" x14ac:dyDescent="0.2">
      <c r="A664" s="1"/>
      <c r="B664" s="1"/>
      <c r="C664" s="1"/>
      <c r="D664" s="1"/>
      <c r="E664" s="1"/>
      <c r="F664" s="1"/>
      <c r="G664" s="1"/>
      <c r="H664" s="26"/>
      <c r="I664" s="85"/>
    </row>
    <row r="665" spans="1:9" ht="14.25" customHeight="1" x14ac:dyDescent="0.2">
      <c r="A665" s="1"/>
      <c r="B665" s="1"/>
      <c r="C665" s="1"/>
      <c r="D665" s="1"/>
      <c r="E665" s="1"/>
      <c r="F665" s="1"/>
      <c r="G665" s="1"/>
      <c r="H665" s="26"/>
      <c r="I665" s="85"/>
    </row>
    <row r="666" spans="1:9" ht="14.25" customHeight="1" x14ac:dyDescent="0.2">
      <c r="A666" s="1"/>
      <c r="B666" s="1"/>
      <c r="C666" s="1"/>
      <c r="D666" s="1"/>
      <c r="E666" s="1"/>
      <c r="F666" s="1"/>
      <c r="G666" s="1"/>
      <c r="H666" s="26"/>
      <c r="I666" s="85"/>
    </row>
    <row r="667" spans="1:9" ht="14.25" customHeight="1" x14ac:dyDescent="0.2">
      <c r="A667" s="1"/>
      <c r="B667" s="1"/>
      <c r="C667" s="1"/>
      <c r="D667" s="1"/>
      <c r="E667" s="1"/>
      <c r="F667" s="1"/>
      <c r="G667" s="1"/>
      <c r="H667" s="26"/>
      <c r="I667" s="85"/>
    </row>
    <row r="668" spans="1:9" ht="14.25" customHeight="1" x14ac:dyDescent="0.2">
      <c r="A668" s="1"/>
      <c r="B668" s="1"/>
      <c r="C668" s="1"/>
      <c r="D668" s="1"/>
      <c r="E668" s="1"/>
      <c r="F668" s="1"/>
      <c r="G668" s="1"/>
      <c r="H668" s="26"/>
      <c r="I668" s="85"/>
    </row>
    <row r="669" spans="1:9" ht="14.25" customHeight="1" x14ac:dyDescent="0.2">
      <c r="A669" s="1"/>
      <c r="B669" s="1"/>
      <c r="C669" s="1"/>
      <c r="D669" s="1"/>
      <c r="E669" s="1"/>
      <c r="F669" s="1"/>
      <c r="G669" s="1"/>
      <c r="H669" s="26"/>
      <c r="I669" s="85"/>
    </row>
    <row r="670" spans="1:9" ht="14.25" customHeight="1" x14ac:dyDescent="0.2">
      <c r="A670" s="1"/>
      <c r="B670" s="1"/>
      <c r="C670" s="1"/>
      <c r="D670" s="1"/>
      <c r="E670" s="1"/>
      <c r="F670" s="1"/>
      <c r="G670" s="1"/>
      <c r="H670" s="26"/>
      <c r="I670" s="85"/>
    </row>
    <row r="671" spans="1:9" ht="14.25" customHeight="1" x14ac:dyDescent="0.2">
      <c r="A671" s="1"/>
      <c r="B671" s="1"/>
      <c r="C671" s="1"/>
      <c r="D671" s="1"/>
      <c r="E671" s="1"/>
      <c r="F671" s="1"/>
      <c r="G671" s="1"/>
      <c r="H671" s="26"/>
      <c r="I671" s="85"/>
    </row>
    <row r="672" spans="1:9" ht="14.25" customHeight="1" x14ac:dyDescent="0.2">
      <c r="A672" s="1"/>
      <c r="B672" s="1"/>
      <c r="C672" s="1"/>
      <c r="D672" s="1"/>
      <c r="E672" s="1"/>
      <c r="F672" s="1"/>
      <c r="G672" s="1"/>
      <c r="H672" s="26"/>
      <c r="I672" s="85"/>
    </row>
    <row r="673" spans="1:9" ht="14.25" customHeight="1" x14ac:dyDescent="0.2">
      <c r="A673" s="1"/>
      <c r="B673" s="1"/>
      <c r="C673" s="1"/>
      <c r="D673" s="1"/>
      <c r="E673" s="1"/>
      <c r="F673" s="1"/>
      <c r="G673" s="1"/>
      <c r="H673" s="26"/>
      <c r="I673" s="85"/>
    </row>
    <row r="674" spans="1:9" ht="14.25" customHeight="1" x14ac:dyDescent="0.2">
      <c r="A674" s="1"/>
      <c r="B674" s="1"/>
      <c r="C674" s="1"/>
      <c r="D674" s="1"/>
      <c r="E674" s="1"/>
      <c r="F674" s="1"/>
      <c r="G674" s="1"/>
      <c r="H674" s="26"/>
      <c r="I674" s="85"/>
    </row>
    <row r="675" spans="1:9" ht="14.25" customHeight="1" x14ac:dyDescent="0.2">
      <c r="A675" s="1"/>
      <c r="B675" s="1"/>
      <c r="C675" s="1"/>
      <c r="D675" s="1"/>
      <c r="E675" s="1"/>
      <c r="F675" s="1"/>
      <c r="G675" s="1"/>
      <c r="H675" s="26"/>
      <c r="I675" s="85"/>
    </row>
    <row r="676" spans="1:9" ht="14.25" customHeight="1" x14ac:dyDescent="0.2">
      <c r="A676" s="1"/>
      <c r="B676" s="1"/>
      <c r="C676" s="1"/>
      <c r="D676" s="1"/>
      <c r="E676" s="1"/>
      <c r="F676" s="1"/>
      <c r="G676" s="1"/>
      <c r="H676" s="26"/>
      <c r="I676" s="85"/>
    </row>
    <row r="677" spans="1:9" ht="14.25" customHeight="1" x14ac:dyDescent="0.2">
      <c r="A677" s="1"/>
      <c r="B677" s="1"/>
      <c r="C677" s="1"/>
      <c r="D677" s="1"/>
      <c r="E677" s="1"/>
      <c r="F677" s="1"/>
      <c r="G677" s="1"/>
      <c r="H677" s="26"/>
      <c r="I677" s="85"/>
    </row>
    <row r="678" spans="1:9" ht="14.25" customHeight="1" x14ac:dyDescent="0.2">
      <c r="A678" s="1"/>
      <c r="B678" s="1"/>
      <c r="C678" s="1"/>
      <c r="D678" s="1"/>
      <c r="E678" s="1"/>
      <c r="F678" s="1"/>
      <c r="G678" s="1"/>
      <c r="H678" s="26"/>
      <c r="I678" s="85"/>
    </row>
    <row r="679" spans="1:9" ht="14.25" customHeight="1" x14ac:dyDescent="0.2">
      <c r="A679" s="1"/>
      <c r="B679" s="1"/>
      <c r="C679" s="1"/>
      <c r="D679" s="1"/>
      <c r="E679" s="1"/>
      <c r="F679" s="1"/>
      <c r="G679" s="1"/>
      <c r="H679" s="26"/>
      <c r="I679" s="85"/>
    </row>
    <row r="680" spans="1:9" ht="14.25" customHeight="1" x14ac:dyDescent="0.2">
      <c r="A680" s="1"/>
      <c r="B680" s="1"/>
      <c r="C680" s="1"/>
      <c r="D680" s="1"/>
      <c r="E680" s="1"/>
      <c r="F680" s="1"/>
      <c r="G680" s="1"/>
      <c r="H680" s="26"/>
      <c r="I680" s="85"/>
    </row>
    <row r="681" spans="1:9" ht="14.25" customHeight="1" x14ac:dyDescent="0.2">
      <c r="A681" s="1"/>
      <c r="B681" s="1"/>
      <c r="C681" s="1"/>
      <c r="D681" s="1"/>
      <c r="E681" s="1"/>
      <c r="F681" s="1"/>
      <c r="G681" s="1"/>
      <c r="H681" s="26"/>
      <c r="I681" s="85"/>
    </row>
    <row r="682" spans="1:9" ht="14.25" customHeight="1" x14ac:dyDescent="0.2">
      <c r="A682" s="1"/>
      <c r="B682" s="1"/>
      <c r="C682" s="1"/>
      <c r="D682" s="1"/>
      <c r="E682" s="1"/>
      <c r="F682" s="1"/>
      <c r="G682" s="1"/>
      <c r="H682" s="26"/>
      <c r="I682" s="85"/>
    </row>
    <row r="683" spans="1:9" ht="14.25" customHeight="1" x14ac:dyDescent="0.2">
      <c r="A683" s="1"/>
      <c r="B683" s="1"/>
      <c r="C683" s="1"/>
      <c r="D683" s="1"/>
      <c r="E683" s="1"/>
      <c r="F683" s="1"/>
      <c r="G683" s="1"/>
      <c r="H683" s="26"/>
      <c r="I683" s="85"/>
    </row>
    <row r="684" spans="1:9" ht="14.25" customHeight="1" x14ac:dyDescent="0.2">
      <c r="A684" s="1"/>
      <c r="B684" s="1"/>
      <c r="C684" s="1"/>
      <c r="D684" s="1"/>
      <c r="E684" s="1"/>
      <c r="F684" s="1"/>
      <c r="G684" s="1"/>
      <c r="H684" s="26"/>
      <c r="I684" s="85"/>
    </row>
    <row r="685" spans="1:9" ht="14.25" customHeight="1" x14ac:dyDescent="0.2">
      <c r="A685" s="1"/>
      <c r="B685" s="1"/>
      <c r="C685" s="1"/>
      <c r="D685" s="1"/>
      <c r="E685" s="1"/>
      <c r="F685" s="1"/>
      <c r="G685" s="1"/>
      <c r="H685" s="26"/>
      <c r="I685" s="85"/>
    </row>
    <row r="686" spans="1:9" ht="14.25" customHeight="1" x14ac:dyDescent="0.2">
      <c r="A686" s="1"/>
      <c r="B686" s="1"/>
      <c r="C686" s="1"/>
      <c r="D686" s="1"/>
      <c r="E686" s="1"/>
      <c r="F686" s="1"/>
      <c r="G686" s="1"/>
      <c r="H686" s="26"/>
      <c r="I686" s="85"/>
    </row>
    <row r="687" spans="1:9" ht="14.25" customHeight="1" x14ac:dyDescent="0.2">
      <c r="A687" s="1"/>
      <c r="B687" s="1"/>
      <c r="C687" s="1"/>
      <c r="D687" s="1"/>
      <c r="E687" s="1"/>
      <c r="F687" s="1"/>
      <c r="G687" s="1"/>
      <c r="H687" s="26"/>
      <c r="I687" s="85"/>
    </row>
    <row r="688" spans="1:9" ht="14.25" customHeight="1" x14ac:dyDescent="0.2">
      <c r="A688" s="1"/>
      <c r="B688" s="1"/>
      <c r="C688" s="1"/>
      <c r="D688" s="1"/>
      <c r="E688" s="1"/>
      <c r="F688" s="1"/>
      <c r="G688" s="1"/>
      <c r="H688" s="26"/>
      <c r="I688" s="85"/>
    </row>
    <row r="689" spans="1:9" ht="14.25" customHeight="1" x14ac:dyDescent="0.2">
      <c r="A689" s="1"/>
      <c r="B689" s="1"/>
      <c r="C689" s="1"/>
      <c r="D689" s="1"/>
      <c r="E689" s="1"/>
      <c r="F689" s="1"/>
      <c r="G689" s="1"/>
      <c r="H689" s="26"/>
      <c r="I689" s="85"/>
    </row>
    <row r="690" spans="1:9" ht="14.25" customHeight="1" x14ac:dyDescent="0.2">
      <c r="A690" s="1"/>
      <c r="B690" s="1"/>
      <c r="C690" s="1"/>
      <c r="D690" s="1"/>
      <c r="E690" s="1"/>
      <c r="F690" s="1"/>
      <c r="G690" s="1"/>
      <c r="H690" s="26"/>
      <c r="I690" s="85"/>
    </row>
    <row r="691" spans="1:9" ht="14.25" customHeight="1" x14ac:dyDescent="0.2">
      <c r="A691" s="1"/>
      <c r="B691" s="1"/>
      <c r="C691" s="1"/>
      <c r="D691" s="1"/>
      <c r="E691" s="1"/>
      <c r="F691" s="1"/>
      <c r="G691" s="1"/>
      <c r="H691" s="26"/>
      <c r="I691" s="85"/>
    </row>
    <row r="692" spans="1:9" ht="14.25" customHeight="1" x14ac:dyDescent="0.2">
      <c r="A692" s="1"/>
      <c r="B692" s="1"/>
      <c r="C692" s="1"/>
      <c r="D692" s="1"/>
      <c r="E692" s="1"/>
      <c r="F692" s="1"/>
      <c r="G692" s="1"/>
      <c r="H692" s="26"/>
      <c r="I692" s="85"/>
    </row>
    <row r="693" spans="1:9" ht="14.25" customHeight="1" x14ac:dyDescent="0.2">
      <c r="A693" s="1"/>
      <c r="B693" s="1"/>
      <c r="C693" s="1"/>
      <c r="D693" s="1"/>
      <c r="E693" s="1"/>
      <c r="F693" s="1"/>
      <c r="G693" s="1"/>
      <c r="H693" s="26"/>
      <c r="I693" s="85"/>
    </row>
    <row r="694" spans="1:9" ht="14.25" customHeight="1" x14ac:dyDescent="0.2">
      <c r="A694" s="1"/>
      <c r="B694" s="1"/>
      <c r="C694" s="1"/>
      <c r="D694" s="1"/>
      <c r="E694" s="1"/>
      <c r="F694" s="1"/>
      <c r="G694" s="1"/>
      <c r="H694" s="26"/>
      <c r="I694" s="85"/>
    </row>
    <row r="695" spans="1:9" ht="14.25" customHeight="1" x14ac:dyDescent="0.2">
      <c r="A695" s="1"/>
      <c r="B695" s="1"/>
      <c r="C695" s="1"/>
      <c r="D695" s="1"/>
      <c r="E695" s="1"/>
      <c r="F695" s="1"/>
      <c r="G695" s="1"/>
      <c r="H695" s="26"/>
      <c r="I695" s="85"/>
    </row>
    <row r="696" spans="1:9" ht="14.25" customHeight="1" x14ac:dyDescent="0.2">
      <c r="A696" s="1"/>
      <c r="B696" s="1"/>
      <c r="C696" s="1"/>
      <c r="D696" s="1"/>
      <c r="E696" s="1"/>
      <c r="F696" s="1"/>
      <c r="G696" s="1"/>
      <c r="H696" s="26"/>
      <c r="I696" s="85"/>
    </row>
    <row r="697" spans="1:9" ht="14.25" customHeight="1" x14ac:dyDescent="0.2">
      <c r="A697" s="1"/>
      <c r="B697" s="1"/>
      <c r="C697" s="1"/>
      <c r="D697" s="1"/>
      <c r="E697" s="1"/>
      <c r="F697" s="1"/>
      <c r="G697" s="1"/>
      <c r="H697" s="26"/>
      <c r="I697" s="85"/>
    </row>
    <row r="698" spans="1:9" ht="14.25" customHeight="1" x14ac:dyDescent="0.2">
      <c r="A698" s="1"/>
      <c r="B698" s="1"/>
      <c r="C698" s="1"/>
      <c r="D698" s="1"/>
      <c r="E698" s="1"/>
      <c r="F698" s="1"/>
      <c r="G698" s="1"/>
      <c r="H698" s="26"/>
      <c r="I698" s="85"/>
    </row>
    <row r="699" spans="1:9" ht="14.25" customHeight="1" x14ac:dyDescent="0.2">
      <c r="A699" s="1"/>
      <c r="B699" s="1"/>
      <c r="C699" s="1"/>
      <c r="D699" s="1"/>
      <c r="E699" s="1"/>
      <c r="F699" s="1"/>
      <c r="G699" s="1"/>
      <c r="H699" s="26"/>
      <c r="I699" s="85"/>
    </row>
    <row r="700" spans="1:9" ht="14.25" customHeight="1" x14ac:dyDescent="0.2">
      <c r="A700" s="1"/>
      <c r="B700" s="1"/>
      <c r="C700" s="1"/>
      <c r="D700" s="1"/>
      <c r="E700" s="1"/>
      <c r="F700" s="1"/>
      <c r="G700" s="1"/>
      <c r="H700" s="26"/>
      <c r="I700" s="85"/>
    </row>
    <row r="701" spans="1:9" ht="14.25" customHeight="1" x14ac:dyDescent="0.2">
      <c r="A701" s="1"/>
      <c r="B701" s="1"/>
      <c r="C701" s="1"/>
      <c r="D701" s="1"/>
      <c r="E701" s="1"/>
      <c r="F701" s="1"/>
      <c r="G701" s="1"/>
      <c r="H701" s="26"/>
      <c r="I701" s="85"/>
    </row>
    <row r="702" spans="1:9" ht="14.25" customHeight="1" x14ac:dyDescent="0.2">
      <c r="A702" s="1"/>
      <c r="B702" s="1"/>
      <c r="C702" s="1"/>
      <c r="D702" s="1"/>
      <c r="E702" s="1"/>
      <c r="F702" s="1"/>
      <c r="G702" s="1"/>
      <c r="H702" s="26"/>
      <c r="I702" s="85"/>
    </row>
    <row r="703" spans="1:9" ht="14.25" customHeight="1" x14ac:dyDescent="0.2">
      <c r="A703" s="1"/>
      <c r="B703" s="1"/>
      <c r="C703" s="1"/>
      <c r="D703" s="1"/>
      <c r="E703" s="1"/>
      <c r="F703" s="1"/>
      <c r="G703" s="1"/>
      <c r="H703" s="26"/>
      <c r="I703" s="85"/>
    </row>
    <row r="704" spans="1:9" ht="14.25" customHeight="1" x14ac:dyDescent="0.2">
      <c r="A704" s="1"/>
      <c r="B704" s="1"/>
      <c r="C704" s="1"/>
      <c r="D704" s="1"/>
      <c r="E704" s="1"/>
      <c r="F704" s="1"/>
      <c r="G704" s="1"/>
      <c r="H704" s="26"/>
      <c r="I704" s="85"/>
    </row>
    <row r="705" spans="1:9" ht="14.25" customHeight="1" x14ac:dyDescent="0.2">
      <c r="A705" s="1"/>
      <c r="B705" s="1"/>
      <c r="C705" s="1"/>
      <c r="D705" s="1"/>
      <c r="E705" s="1"/>
      <c r="F705" s="1"/>
      <c r="G705" s="1"/>
      <c r="H705" s="26"/>
      <c r="I705" s="85"/>
    </row>
    <row r="706" spans="1:9" ht="14.25" customHeight="1" x14ac:dyDescent="0.2">
      <c r="A706" s="1"/>
      <c r="B706" s="1"/>
      <c r="C706" s="1"/>
      <c r="D706" s="1"/>
      <c r="E706" s="1"/>
      <c r="F706" s="1"/>
      <c r="G706" s="1"/>
      <c r="H706" s="26"/>
      <c r="I706" s="85"/>
    </row>
    <row r="707" spans="1:9" ht="14.25" customHeight="1" x14ac:dyDescent="0.2">
      <c r="A707" s="1"/>
      <c r="B707" s="1"/>
      <c r="C707" s="1"/>
      <c r="D707" s="1"/>
      <c r="E707" s="1"/>
      <c r="F707" s="1"/>
      <c r="G707" s="1"/>
      <c r="H707" s="26"/>
      <c r="I707" s="85"/>
    </row>
    <row r="708" spans="1:9" ht="14.25" customHeight="1" x14ac:dyDescent="0.2">
      <c r="A708" s="1"/>
      <c r="B708" s="1"/>
      <c r="C708" s="1"/>
      <c r="D708" s="1"/>
      <c r="E708" s="1"/>
      <c r="F708" s="1"/>
      <c r="G708" s="1"/>
      <c r="H708" s="26"/>
      <c r="I708" s="85"/>
    </row>
    <row r="709" spans="1:9" ht="14.25" customHeight="1" x14ac:dyDescent="0.2">
      <c r="A709" s="1"/>
      <c r="B709" s="1"/>
      <c r="C709" s="1"/>
      <c r="D709" s="1"/>
      <c r="E709" s="1"/>
      <c r="F709" s="1"/>
      <c r="G709" s="1"/>
      <c r="H709" s="26"/>
      <c r="I709" s="85"/>
    </row>
    <row r="710" spans="1:9" ht="14.25" customHeight="1" x14ac:dyDescent="0.2">
      <c r="A710" s="1"/>
      <c r="B710" s="1"/>
      <c r="C710" s="1"/>
      <c r="D710" s="1"/>
      <c r="E710" s="1"/>
      <c r="F710" s="1"/>
      <c r="G710" s="1"/>
      <c r="H710" s="26"/>
      <c r="I710" s="85"/>
    </row>
    <row r="711" spans="1:9" ht="14.25" customHeight="1" x14ac:dyDescent="0.2">
      <c r="A711" s="1"/>
      <c r="B711" s="1"/>
      <c r="C711" s="1"/>
      <c r="D711" s="1"/>
      <c r="E711" s="1"/>
      <c r="F711" s="1"/>
      <c r="G711" s="1"/>
      <c r="H711" s="26"/>
      <c r="I711" s="85"/>
    </row>
    <row r="712" spans="1:9" ht="14.25" customHeight="1" x14ac:dyDescent="0.2">
      <c r="A712" s="1"/>
      <c r="B712" s="1"/>
      <c r="C712" s="1"/>
      <c r="D712" s="1"/>
      <c r="E712" s="1"/>
      <c r="F712" s="1"/>
      <c r="G712" s="1"/>
      <c r="H712" s="26"/>
      <c r="I712" s="85"/>
    </row>
    <row r="713" spans="1:9" ht="14.25" customHeight="1" x14ac:dyDescent="0.2">
      <c r="A713" s="1"/>
      <c r="B713" s="1"/>
      <c r="C713" s="1"/>
      <c r="D713" s="1"/>
      <c r="E713" s="1"/>
      <c r="F713" s="1"/>
      <c r="G713" s="1"/>
      <c r="H713" s="26"/>
      <c r="I713" s="85"/>
    </row>
    <row r="714" spans="1:9" ht="14.25" customHeight="1" x14ac:dyDescent="0.2">
      <c r="A714" s="1"/>
      <c r="B714" s="1"/>
      <c r="C714" s="1"/>
      <c r="D714" s="1"/>
      <c r="E714" s="1"/>
      <c r="F714" s="1"/>
      <c r="G714" s="1"/>
      <c r="H714" s="26"/>
      <c r="I714" s="85"/>
    </row>
    <row r="715" spans="1:9" ht="14.25" customHeight="1" x14ac:dyDescent="0.2">
      <c r="A715" s="1"/>
      <c r="B715" s="1"/>
      <c r="C715" s="1"/>
      <c r="D715" s="1"/>
      <c r="E715" s="1"/>
      <c r="F715" s="1"/>
      <c r="G715" s="1"/>
      <c r="H715" s="26"/>
      <c r="I715" s="85"/>
    </row>
    <row r="716" spans="1:9" ht="14.25" customHeight="1" x14ac:dyDescent="0.2">
      <c r="A716" s="1"/>
      <c r="B716" s="1"/>
      <c r="C716" s="1"/>
      <c r="D716" s="1"/>
      <c r="E716" s="1"/>
      <c r="F716" s="1"/>
      <c r="G716" s="1"/>
      <c r="H716" s="26"/>
      <c r="I716" s="85"/>
    </row>
    <row r="717" spans="1:9" ht="14.25" customHeight="1" x14ac:dyDescent="0.2">
      <c r="A717" s="1"/>
      <c r="B717" s="1"/>
      <c r="C717" s="1"/>
      <c r="D717" s="1"/>
      <c r="E717" s="1"/>
      <c r="F717" s="1"/>
      <c r="G717" s="1"/>
      <c r="H717" s="26"/>
      <c r="I717" s="85"/>
    </row>
    <row r="718" spans="1:9" ht="14.25" customHeight="1" x14ac:dyDescent="0.2">
      <c r="A718" s="1"/>
      <c r="B718" s="1"/>
      <c r="C718" s="1"/>
      <c r="D718" s="1"/>
      <c r="E718" s="1"/>
      <c r="F718" s="1"/>
      <c r="G718" s="1"/>
      <c r="H718" s="26"/>
      <c r="I718" s="85"/>
    </row>
    <row r="719" spans="1:9" ht="14.25" customHeight="1" x14ac:dyDescent="0.2">
      <c r="A719" s="1"/>
      <c r="B719" s="1"/>
      <c r="C719" s="1"/>
      <c r="D719" s="1"/>
      <c r="E719" s="1"/>
      <c r="F719" s="1"/>
      <c r="G719" s="1"/>
      <c r="H719" s="26"/>
      <c r="I719" s="85"/>
    </row>
    <row r="720" spans="1:9" ht="14.25" customHeight="1" x14ac:dyDescent="0.2">
      <c r="A720" s="1"/>
      <c r="B720" s="1"/>
      <c r="C720" s="1"/>
      <c r="D720" s="1"/>
      <c r="E720" s="1"/>
      <c r="F720" s="1"/>
      <c r="G720" s="1"/>
      <c r="H720" s="26"/>
      <c r="I720" s="85"/>
    </row>
    <row r="721" spans="1:9" ht="14.25" customHeight="1" x14ac:dyDescent="0.2">
      <c r="A721" s="1"/>
      <c r="B721" s="1"/>
      <c r="C721" s="1"/>
      <c r="D721" s="1"/>
      <c r="E721" s="1"/>
      <c r="F721" s="1"/>
      <c r="G721" s="1"/>
      <c r="H721" s="26"/>
      <c r="I721" s="85"/>
    </row>
    <row r="722" spans="1:9" ht="14.25" customHeight="1" x14ac:dyDescent="0.2">
      <c r="A722" s="1"/>
      <c r="B722" s="1"/>
      <c r="C722" s="1"/>
      <c r="D722" s="1"/>
      <c r="E722" s="1"/>
      <c r="F722" s="1"/>
      <c r="G722" s="1"/>
      <c r="H722" s="26"/>
      <c r="I722" s="85"/>
    </row>
    <row r="723" spans="1:9" ht="14.25" customHeight="1" x14ac:dyDescent="0.2">
      <c r="A723" s="1"/>
      <c r="B723" s="1"/>
      <c r="C723" s="1"/>
      <c r="D723" s="1"/>
      <c r="E723" s="1"/>
      <c r="F723" s="1"/>
      <c r="G723" s="1"/>
      <c r="H723" s="26"/>
      <c r="I723" s="85"/>
    </row>
    <row r="724" spans="1:9" ht="14.25" customHeight="1" x14ac:dyDescent="0.2">
      <c r="A724" s="1"/>
      <c r="B724" s="1"/>
      <c r="C724" s="1"/>
      <c r="D724" s="1"/>
      <c r="E724" s="1"/>
      <c r="F724" s="1"/>
      <c r="G724" s="1"/>
      <c r="H724" s="26"/>
      <c r="I724" s="85"/>
    </row>
    <row r="725" spans="1:9" ht="14.25" customHeight="1" x14ac:dyDescent="0.2">
      <c r="A725" s="1"/>
      <c r="B725" s="1"/>
      <c r="C725" s="1"/>
      <c r="D725" s="1"/>
      <c r="E725" s="1"/>
      <c r="F725" s="1"/>
      <c r="G725" s="1"/>
      <c r="H725" s="26"/>
      <c r="I725" s="85"/>
    </row>
    <row r="726" spans="1:9" ht="14.25" customHeight="1" x14ac:dyDescent="0.2">
      <c r="A726" s="1"/>
      <c r="B726" s="1"/>
      <c r="C726" s="1"/>
      <c r="D726" s="1"/>
      <c r="E726" s="1"/>
      <c r="F726" s="1"/>
      <c r="G726" s="1"/>
      <c r="H726" s="26"/>
      <c r="I726" s="85"/>
    </row>
    <row r="727" spans="1:9" ht="14.25" customHeight="1" x14ac:dyDescent="0.2">
      <c r="A727" s="1"/>
      <c r="B727" s="1"/>
      <c r="C727" s="1"/>
      <c r="D727" s="1"/>
      <c r="E727" s="1"/>
      <c r="F727" s="1"/>
      <c r="G727" s="1"/>
      <c r="H727" s="26"/>
      <c r="I727" s="85"/>
    </row>
    <row r="728" spans="1:9" ht="14.25" customHeight="1" x14ac:dyDescent="0.2">
      <c r="A728" s="1"/>
      <c r="B728" s="1"/>
      <c r="C728" s="1"/>
      <c r="D728" s="1"/>
      <c r="E728" s="1"/>
      <c r="F728" s="1"/>
      <c r="G728" s="1"/>
      <c r="H728" s="26"/>
      <c r="I728" s="85"/>
    </row>
    <row r="729" spans="1:9" ht="14.25" customHeight="1" x14ac:dyDescent="0.2">
      <c r="A729" s="1"/>
      <c r="B729" s="1"/>
      <c r="C729" s="1"/>
      <c r="D729" s="1"/>
      <c r="E729" s="1"/>
      <c r="F729" s="1"/>
      <c r="G729" s="1"/>
      <c r="H729" s="26"/>
      <c r="I729" s="85"/>
    </row>
    <row r="730" spans="1:9" ht="14.25" customHeight="1" x14ac:dyDescent="0.2">
      <c r="A730" s="1"/>
      <c r="B730" s="1"/>
      <c r="C730" s="1"/>
      <c r="D730" s="1"/>
      <c r="E730" s="1"/>
      <c r="F730" s="1"/>
      <c r="G730" s="1"/>
      <c r="H730" s="26"/>
      <c r="I730" s="85"/>
    </row>
    <row r="731" spans="1:9" ht="14.25" customHeight="1" x14ac:dyDescent="0.2">
      <c r="A731" s="1"/>
      <c r="B731" s="1"/>
      <c r="C731" s="1"/>
      <c r="D731" s="1"/>
      <c r="E731" s="1"/>
      <c r="F731" s="1"/>
      <c r="G731" s="1"/>
      <c r="H731" s="26"/>
      <c r="I731" s="85"/>
    </row>
    <row r="732" spans="1:9" ht="14.25" customHeight="1" x14ac:dyDescent="0.2">
      <c r="A732" s="1"/>
      <c r="B732" s="1"/>
      <c r="C732" s="1"/>
      <c r="D732" s="1"/>
      <c r="E732" s="1"/>
      <c r="F732" s="1"/>
      <c r="G732" s="1"/>
      <c r="H732" s="26"/>
      <c r="I732" s="85"/>
    </row>
    <row r="733" spans="1:9" ht="14.25" customHeight="1" x14ac:dyDescent="0.2">
      <c r="A733" s="1"/>
      <c r="B733" s="1"/>
      <c r="C733" s="1"/>
      <c r="D733" s="1"/>
      <c r="E733" s="1"/>
      <c r="F733" s="1"/>
      <c r="G733" s="1"/>
      <c r="H733" s="26"/>
      <c r="I733" s="85"/>
    </row>
    <row r="734" spans="1:9" ht="14.25" customHeight="1" x14ac:dyDescent="0.2">
      <c r="A734" s="1"/>
      <c r="B734" s="1"/>
      <c r="C734" s="1"/>
      <c r="D734" s="1"/>
      <c r="E734" s="1"/>
      <c r="F734" s="1"/>
      <c r="G734" s="1"/>
      <c r="H734" s="26"/>
      <c r="I734" s="85"/>
    </row>
    <row r="735" spans="1:9" ht="14.25" customHeight="1" x14ac:dyDescent="0.2">
      <c r="A735" s="1"/>
      <c r="B735" s="1"/>
      <c r="C735" s="1"/>
      <c r="D735" s="1"/>
      <c r="E735" s="1"/>
      <c r="F735" s="1"/>
      <c r="G735" s="1"/>
      <c r="H735" s="26"/>
      <c r="I735" s="85"/>
    </row>
    <row r="736" spans="1:9" ht="14.25" customHeight="1" x14ac:dyDescent="0.2">
      <c r="A736" s="1"/>
      <c r="B736" s="1"/>
      <c r="C736" s="1"/>
      <c r="D736" s="1"/>
      <c r="E736" s="1"/>
      <c r="F736" s="1"/>
      <c r="G736" s="1"/>
      <c r="H736" s="26"/>
      <c r="I736" s="85"/>
    </row>
    <row r="737" spans="1:9" ht="14.25" customHeight="1" x14ac:dyDescent="0.2">
      <c r="A737" s="1"/>
      <c r="B737" s="1"/>
      <c r="C737" s="1"/>
      <c r="D737" s="1"/>
      <c r="E737" s="1"/>
      <c r="F737" s="1"/>
      <c r="G737" s="1"/>
      <c r="H737" s="26"/>
      <c r="I737" s="85"/>
    </row>
    <row r="738" spans="1:9" ht="14.25" customHeight="1" x14ac:dyDescent="0.2">
      <c r="A738" s="1"/>
      <c r="B738" s="1"/>
      <c r="C738" s="1"/>
      <c r="D738" s="1"/>
      <c r="E738" s="1"/>
      <c r="F738" s="1"/>
      <c r="G738" s="1"/>
      <c r="H738" s="26"/>
      <c r="I738" s="85"/>
    </row>
    <row r="739" spans="1:9" ht="14.25" customHeight="1" x14ac:dyDescent="0.2">
      <c r="A739" s="1"/>
      <c r="B739" s="1"/>
      <c r="C739" s="1"/>
      <c r="D739" s="1"/>
      <c r="E739" s="1"/>
      <c r="F739" s="1"/>
      <c r="G739" s="1"/>
      <c r="H739" s="26"/>
      <c r="I739" s="85"/>
    </row>
    <row r="740" spans="1:9" ht="14.25" customHeight="1" x14ac:dyDescent="0.2">
      <c r="A740" s="1"/>
      <c r="B740" s="1"/>
      <c r="C740" s="1"/>
      <c r="D740" s="1"/>
      <c r="E740" s="1"/>
      <c r="F740" s="1"/>
      <c r="G740" s="1"/>
      <c r="H740" s="26"/>
      <c r="I740" s="85"/>
    </row>
    <row r="741" spans="1:9" ht="14.25" customHeight="1" x14ac:dyDescent="0.2">
      <c r="A741" s="1"/>
      <c r="B741" s="1"/>
      <c r="C741" s="1"/>
      <c r="D741" s="1"/>
      <c r="E741" s="1"/>
      <c r="F741" s="1"/>
      <c r="G741" s="1"/>
      <c r="H741" s="26"/>
      <c r="I741" s="85"/>
    </row>
    <row r="742" spans="1:9" ht="14.25" customHeight="1" x14ac:dyDescent="0.2">
      <c r="A742" s="1"/>
      <c r="B742" s="1"/>
      <c r="C742" s="1"/>
      <c r="D742" s="1"/>
      <c r="E742" s="1"/>
      <c r="F742" s="1"/>
      <c r="G742" s="1"/>
      <c r="H742" s="26"/>
      <c r="I742" s="85"/>
    </row>
    <row r="743" spans="1:9" ht="14.25" customHeight="1" x14ac:dyDescent="0.2">
      <c r="A743" s="1"/>
      <c r="B743" s="1"/>
      <c r="C743" s="1"/>
      <c r="D743" s="1"/>
      <c r="E743" s="1"/>
      <c r="F743" s="1"/>
      <c r="G743" s="1"/>
      <c r="H743" s="26"/>
      <c r="I743" s="85"/>
    </row>
    <row r="744" spans="1:9" ht="14.25" customHeight="1" x14ac:dyDescent="0.2">
      <c r="A744" s="1"/>
      <c r="B744" s="1"/>
      <c r="C744" s="1"/>
      <c r="D744" s="1"/>
      <c r="E744" s="1"/>
      <c r="F744" s="1"/>
      <c r="G744" s="1"/>
      <c r="H744" s="26"/>
      <c r="I744" s="85"/>
    </row>
    <row r="745" spans="1:9" ht="14.25" customHeight="1" x14ac:dyDescent="0.2">
      <c r="A745" s="1"/>
      <c r="B745" s="1"/>
      <c r="C745" s="1"/>
      <c r="D745" s="1"/>
      <c r="E745" s="1"/>
      <c r="F745" s="1"/>
      <c r="G745" s="1"/>
      <c r="H745" s="26"/>
      <c r="I745" s="85"/>
    </row>
    <row r="746" spans="1:9" ht="14.25" customHeight="1" x14ac:dyDescent="0.2">
      <c r="A746" s="1"/>
      <c r="B746" s="1"/>
      <c r="C746" s="1"/>
      <c r="D746" s="1"/>
      <c r="E746" s="1"/>
      <c r="F746" s="1"/>
      <c r="G746" s="1"/>
      <c r="H746" s="26"/>
      <c r="I746" s="85"/>
    </row>
    <row r="747" spans="1:9" ht="14.25" customHeight="1" x14ac:dyDescent="0.2">
      <c r="A747" s="1"/>
      <c r="B747" s="1"/>
      <c r="C747" s="1"/>
      <c r="D747" s="1"/>
      <c r="E747" s="1"/>
      <c r="F747" s="1"/>
      <c r="G747" s="1"/>
      <c r="H747" s="26"/>
      <c r="I747" s="85"/>
    </row>
    <row r="748" spans="1:9" ht="14.25" customHeight="1" x14ac:dyDescent="0.2">
      <c r="A748" s="1"/>
      <c r="B748" s="1"/>
      <c r="C748" s="1"/>
      <c r="D748" s="1"/>
      <c r="E748" s="1"/>
      <c r="F748" s="1"/>
      <c r="G748" s="1"/>
      <c r="H748" s="26"/>
      <c r="I748" s="85"/>
    </row>
    <row r="749" spans="1:9" ht="14.25" customHeight="1" x14ac:dyDescent="0.2">
      <c r="A749" s="1"/>
      <c r="B749" s="1"/>
      <c r="C749" s="1"/>
      <c r="D749" s="1"/>
      <c r="E749" s="1"/>
      <c r="F749" s="1"/>
      <c r="G749" s="1"/>
      <c r="H749" s="26"/>
      <c r="I749" s="85"/>
    </row>
    <row r="750" spans="1:9" ht="14.25" customHeight="1" x14ac:dyDescent="0.2">
      <c r="A750" s="1"/>
      <c r="B750" s="1"/>
      <c r="C750" s="1"/>
      <c r="D750" s="1"/>
      <c r="E750" s="1"/>
      <c r="F750" s="1"/>
      <c r="G750" s="1"/>
      <c r="H750" s="26"/>
      <c r="I750" s="85"/>
    </row>
    <row r="751" spans="1:9" ht="14.25" customHeight="1" x14ac:dyDescent="0.2">
      <c r="A751" s="1"/>
      <c r="B751" s="1"/>
      <c r="C751" s="1"/>
      <c r="D751" s="1"/>
      <c r="E751" s="1"/>
      <c r="F751" s="1"/>
      <c r="G751" s="1"/>
      <c r="H751" s="26"/>
      <c r="I751" s="85"/>
    </row>
    <row r="752" spans="1:9" ht="14.25" customHeight="1" x14ac:dyDescent="0.2">
      <c r="A752" s="1"/>
      <c r="B752" s="1"/>
      <c r="C752" s="1"/>
      <c r="D752" s="1"/>
      <c r="E752" s="1"/>
      <c r="F752" s="1"/>
      <c r="G752" s="1"/>
      <c r="H752" s="26"/>
      <c r="I752" s="85"/>
    </row>
    <row r="753" spans="1:9" ht="14.25" customHeight="1" x14ac:dyDescent="0.2">
      <c r="A753" s="1"/>
      <c r="B753" s="1"/>
      <c r="C753" s="1"/>
      <c r="D753" s="1"/>
      <c r="E753" s="1"/>
      <c r="F753" s="1"/>
      <c r="G753" s="1"/>
      <c r="H753" s="26"/>
      <c r="I753" s="85"/>
    </row>
    <row r="754" spans="1:9" ht="14.25" customHeight="1" x14ac:dyDescent="0.2">
      <c r="A754" s="1"/>
      <c r="B754" s="1"/>
      <c r="C754" s="1"/>
      <c r="D754" s="1"/>
      <c r="E754" s="1"/>
      <c r="F754" s="1"/>
      <c r="G754" s="1"/>
      <c r="H754" s="26"/>
      <c r="I754" s="85"/>
    </row>
    <row r="755" spans="1:9" ht="14.25" customHeight="1" x14ac:dyDescent="0.2">
      <c r="A755" s="1"/>
      <c r="B755" s="1"/>
      <c r="C755" s="1"/>
      <c r="D755" s="1"/>
      <c r="E755" s="1"/>
      <c r="F755" s="1"/>
      <c r="G755" s="1"/>
      <c r="H755" s="26"/>
      <c r="I755" s="85"/>
    </row>
    <row r="756" spans="1:9" ht="14.25" customHeight="1" x14ac:dyDescent="0.2">
      <c r="A756" s="1"/>
      <c r="B756" s="1"/>
      <c r="C756" s="1"/>
      <c r="D756" s="1"/>
      <c r="E756" s="1"/>
      <c r="F756" s="1"/>
      <c r="G756" s="1"/>
      <c r="H756" s="26"/>
      <c r="I756" s="85"/>
    </row>
    <row r="757" spans="1:9" ht="14.25" customHeight="1" x14ac:dyDescent="0.2">
      <c r="A757" s="1"/>
      <c r="B757" s="1"/>
      <c r="C757" s="1"/>
      <c r="D757" s="1"/>
      <c r="E757" s="1"/>
      <c r="F757" s="1"/>
      <c r="G757" s="1"/>
      <c r="H757" s="26"/>
      <c r="I757" s="85"/>
    </row>
    <row r="758" spans="1:9" ht="14.25" customHeight="1" x14ac:dyDescent="0.2">
      <c r="A758" s="1"/>
      <c r="B758" s="1"/>
      <c r="C758" s="1"/>
      <c r="D758" s="1"/>
      <c r="E758" s="1"/>
      <c r="F758" s="1"/>
      <c r="G758" s="1"/>
      <c r="H758" s="26"/>
      <c r="I758" s="85"/>
    </row>
    <row r="759" spans="1:9" ht="14.25" customHeight="1" x14ac:dyDescent="0.2">
      <c r="A759" s="1"/>
      <c r="B759" s="1"/>
      <c r="C759" s="1"/>
      <c r="D759" s="1"/>
      <c r="E759" s="1"/>
      <c r="F759" s="1"/>
      <c r="G759" s="1"/>
      <c r="H759" s="26"/>
      <c r="I759" s="85"/>
    </row>
    <row r="760" spans="1:9" ht="14.25" customHeight="1" x14ac:dyDescent="0.2">
      <c r="A760" s="1"/>
      <c r="B760" s="1"/>
      <c r="C760" s="1"/>
      <c r="D760" s="1"/>
      <c r="E760" s="1"/>
      <c r="F760" s="1"/>
      <c r="G760" s="1"/>
      <c r="H760" s="26"/>
      <c r="I760" s="85"/>
    </row>
    <row r="761" spans="1:9" ht="14.25" customHeight="1" x14ac:dyDescent="0.2">
      <c r="A761" s="1"/>
      <c r="B761" s="1"/>
      <c r="C761" s="1"/>
      <c r="D761" s="1"/>
      <c r="E761" s="1"/>
      <c r="F761" s="1"/>
      <c r="G761" s="1"/>
      <c r="H761" s="26"/>
      <c r="I761" s="85"/>
    </row>
    <row r="762" spans="1:9" ht="14.25" customHeight="1" x14ac:dyDescent="0.2">
      <c r="A762" s="1"/>
      <c r="B762" s="1"/>
      <c r="C762" s="1"/>
      <c r="D762" s="1"/>
      <c r="E762" s="1"/>
      <c r="F762" s="1"/>
      <c r="G762" s="1"/>
      <c r="H762" s="26"/>
      <c r="I762" s="85"/>
    </row>
    <row r="763" spans="1:9" ht="14.25" customHeight="1" x14ac:dyDescent="0.2">
      <c r="A763" s="1"/>
      <c r="B763" s="1"/>
      <c r="C763" s="1"/>
      <c r="D763" s="1"/>
      <c r="E763" s="1"/>
      <c r="F763" s="1"/>
      <c r="G763" s="1"/>
      <c r="H763" s="26"/>
      <c r="I763" s="85"/>
    </row>
    <row r="764" spans="1:9" ht="14.25" customHeight="1" x14ac:dyDescent="0.2">
      <c r="A764" s="1"/>
      <c r="B764" s="1"/>
      <c r="C764" s="1"/>
      <c r="D764" s="1"/>
      <c r="E764" s="1"/>
      <c r="F764" s="1"/>
      <c r="G764" s="1"/>
      <c r="H764" s="26"/>
      <c r="I764" s="85"/>
    </row>
    <row r="765" spans="1:9" ht="14.25" customHeight="1" x14ac:dyDescent="0.2">
      <c r="A765" s="1"/>
      <c r="B765" s="1"/>
      <c r="C765" s="1"/>
      <c r="D765" s="1"/>
      <c r="E765" s="1"/>
      <c r="F765" s="1"/>
      <c r="G765" s="1"/>
      <c r="H765" s="26"/>
      <c r="I765" s="85"/>
    </row>
    <row r="766" spans="1:9" ht="14.25" customHeight="1" x14ac:dyDescent="0.2">
      <c r="A766" s="1"/>
      <c r="B766" s="1"/>
      <c r="C766" s="1"/>
      <c r="D766" s="1"/>
      <c r="E766" s="1"/>
      <c r="F766" s="1"/>
      <c r="G766" s="1"/>
      <c r="H766" s="26"/>
      <c r="I766" s="85"/>
    </row>
    <row r="767" spans="1:9" ht="14.25" customHeight="1" x14ac:dyDescent="0.2">
      <c r="A767" s="1"/>
      <c r="B767" s="1"/>
      <c r="C767" s="1"/>
      <c r="D767" s="1"/>
      <c r="E767" s="1"/>
      <c r="F767" s="1"/>
      <c r="G767" s="1"/>
      <c r="H767" s="26"/>
      <c r="I767" s="85"/>
    </row>
    <row r="768" spans="1:9" ht="14.25" customHeight="1" x14ac:dyDescent="0.2">
      <c r="A768" s="1"/>
      <c r="B768" s="1"/>
      <c r="C768" s="1"/>
      <c r="D768" s="1"/>
      <c r="E768" s="1"/>
      <c r="F768" s="1"/>
      <c r="G768" s="1"/>
      <c r="H768" s="26"/>
      <c r="I768" s="85"/>
    </row>
    <row r="769" spans="1:9" ht="14.25" customHeight="1" x14ac:dyDescent="0.2">
      <c r="A769" s="1"/>
      <c r="B769" s="1"/>
      <c r="C769" s="1"/>
      <c r="D769" s="1"/>
      <c r="E769" s="1"/>
      <c r="F769" s="1"/>
      <c r="G769" s="1"/>
      <c r="H769" s="26"/>
      <c r="I769" s="85"/>
    </row>
    <row r="770" spans="1:9" ht="14.25" customHeight="1" x14ac:dyDescent="0.2">
      <c r="A770" s="1"/>
      <c r="B770" s="1"/>
      <c r="C770" s="1"/>
      <c r="D770" s="1"/>
      <c r="E770" s="1"/>
      <c r="F770" s="1"/>
      <c r="G770" s="1"/>
      <c r="H770" s="26"/>
      <c r="I770" s="85"/>
    </row>
    <row r="771" spans="1:9" ht="14.25" customHeight="1" x14ac:dyDescent="0.2">
      <c r="A771" s="1"/>
      <c r="B771" s="1"/>
      <c r="C771" s="1"/>
      <c r="D771" s="1"/>
      <c r="E771" s="1"/>
      <c r="F771" s="1"/>
      <c r="G771" s="1"/>
      <c r="H771" s="26"/>
      <c r="I771" s="85"/>
    </row>
    <row r="772" spans="1:9" ht="14.25" customHeight="1" x14ac:dyDescent="0.2">
      <c r="A772" s="1"/>
      <c r="B772" s="1"/>
      <c r="C772" s="1"/>
      <c r="D772" s="1"/>
      <c r="E772" s="1"/>
      <c r="F772" s="1"/>
      <c r="G772" s="1"/>
      <c r="H772" s="26"/>
      <c r="I772" s="85"/>
    </row>
    <row r="773" spans="1:9" ht="14.25" customHeight="1" x14ac:dyDescent="0.2">
      <c r="A773" s="1"/>
      <c r="B773" s="1"/>
      <c r="C773" s="1"/>
      <c r="D773" s="1"/>
      <c r="E773" s="1"/>
      <c r="F773" s="1"/>
      <c r="G773" s="1"/>
      <c r="H773" s="26"/>
      <c r="I773" s="85"/>
    </row>
    <row r="774" spans="1:9" ht="14.25" customHeight="1" x14ac:dyDescent="0.2">
      <c r="A774" s="1"/>
      <c r="B774" s="1"/>
      <c r="C774" s="1"/>
      <c r="D774" s="1"/>
      <c r="E774" s="1"/>
      <c r="F774" s="1"/>
      <c r="G774" s="1"/>
      <c r="H774" s="26"/>
      <c r="I774" s="85"/>
    </row>
    <row r="775" spans="1:9" ht="14.25" customHeight="1" x14ac:dyDescent="0.2">
      <c r="A775" s="1"/>
      <c r="B775" s="1"/>
      <c r="C775" s="1"/>
      <c r="D775" s="1"/>
      <c r="E775" s="1"/>
      <c r="F775" s="1"/>
      <c r="G775" s="1"/>
      <c r="H775" s="26"/>
      <c r="I775" s="85"/>
    </row>
    <row r="776" spans="1:9" ht="14.25" customHeight="1" x14ac:dyDescent="0.2">
      <c r="A776" s="1"/>
      <c r="B776" s="1"/>
      <c r="C776" s="1"/>
      <c r="D776" s="1"/>
      <c r="E776" s="1"/>
      <c r="F776" s="1"/>
      <c r="G776" s="1"/>
      <c r="H776" s="26"/>
      <c r="I776" s="85"/>
    </row>
    <row r="777" spans="1:9" ht="14.25" customHeight="1" x14ac:dyDescent="0.2">
      <c r="A777" s="1"/>
      <c r="B777" s="1"/>
      <c r="C777" s="1"/>
      <c r="D777" s="1"/>
      <c r="E777" s="1"/>
      <c r="F777" s="1"/>
      <c r="G777" s="1"/>
      <c r="H777" s="26"/>
      <c r="I777" s="85"/>
    </row>
    <row r="778" spans="1:9" ht="14.25" customHeight="1" x14ac:dyDescent="0.2">
      <c r="A778" s="1"/>
      <c r="B778" s="1"/>
      <c r="C778" s="1"/>
      <c r="D778" s="1"/>
      <c r="E778" s="1"/>
      <c r="F778" s="1"/>
      <c r="G778" s="1"/>
      <c r="H778" s="26"/>
      <c r="I778" s="85"/>
    </row>
    <row r="779" spans="1:9" ht="14.25" customHeight="1" x14ac:dyDescent="0.2">
      <c r="A779" s="1"/>
      <c r="B779" s="1"/>
      <c r="C779" s="1"/>
      <c r="D779" s="1"/>
      <c r="E779" s="1"/>
      <c r="F779" s="1"/>
      <c r="G779" s="1"/>
      <c r="H779" s="26"/>
      <c r="I779" s="85"/>
    </row>
    <row r="780" spans="1:9" ht="14.25" customHeight="1" x14ac:dyDescent="0.2">
      <c r="A780" s="1"/>
      <c r="B780" s="1"/>
      <c r="C780" s="1"/>
      <c r="D780" s="1"/>
      <c r="E780" s="1"/>
      <c r="F780" s="1"/>
      <c r="G780" s="1"/>
      <c r="H780" s="26"/>
      <c r="I780" s="85"/>
    </row>
    <row r="781" spans="1:9" ht="14.25" customHeight="1" x14ac:dyDescent="0.2">
      <c r="A781" s="1"/>
      <c r="B781" s="1"/>
      <c r="C781" s="1"/>
      <c r="D781" s="1"/>
      <c r="E781" s="1"/>
      <c r="F781" s="1"/>
      <c r="G781" s="1"/>
      <c r="H781" s="26"/>
      <c r="I781" s="85"/>
    </row>
    <row r="782" spans="1:9" ht="14.25" customHeight="1" x14ac:dyDescent="0.2">
      <c r="A782" s="1"/>
      <c r="B782" s="1"/>
      <c r="C782" s="1"/>
      <c r="D782" s="1"/>
      <c r="E782" s="1"/>
      <c r="F782" s="1"/>
      <c r="G782" s="1"/>
      <c r="H782" s="26"/>
      <c r="I782" s="85"/>
    </row>
    <row r="783" spans="1:9" ht="14.25" customHeight="1" x14ac:dyDescent="0.2">
      <c r="A783" s="1"/>
      <c r="B783" s="1"/>
      <c r="C783" s="1"/>
      <c r="D783" s="1"/>
      <c r="E783" s="1"/>
      <c r="F783" s="1"/>
      <c r="G783" s="1"/>
      <c r="H783" s="26"/>
      <c r="I783" s="85"/>
    </row>
    <row r="784" spans="1:9" ht="14.25" customHeight="1" x14ac:dyDescent="0.2">
      <c r="A784" s="1"/>
      <c r="B784" s="1"/>
      <c r="C784" s="1"/>
      <c r="D784" s="1"/>
      <c r="E784" s="1"/>
      <c r="F784" s="1"/>
      <c r="G784" s="1"/>
      <c r="H784" s="26"/>
      <c r="I784" s="85"/>
    </row>
    <row r="785" spans="1:9" ht="14.25" customHeight="1" x14ac:dyDescent="0.2">
      <c r="A785" s="1"/>
      <c r="B785" s="1"/>
      <c r="C785" s="1"/>
      <c r="D785" s="1"/>
      <c r="E785" s="1"/>
      <c r="F785" s="1"/>
      <c r="G785" s="1"/>
      <c r="H785" s="26"/>
      <c r="I785" s="85"/>
    </row>
    <row r="786" spans="1:9" ht="14.25" customHeight="1" x14ac:dyDescent="0.2">
      <c r="A786" s="1"/>
      <c r="B786" s="1"/>
      <c r="C786" s="1"/>
      <c r="D786" s="1"/>
      <c r="E786" s="1"/>
      <c r="F786" s="1"/>
      <c r="G786" s="1"/>
      <c r="H786" s="26"/>
      <c r="I786" s="85"/>
    </row>
    <row r="787" spans="1:9" ht="14.25" customHeight="1" x14ac:dyDescent="0.2">
      <c r="A787" s="1"/>
      <c r="B787" s="1"/>
      <c r="C787" s="1"/>
      <c r="D787" s="1"/>
      <c r="E787" s="1"/>
      <c r="F787" s="1"/>
      <c r="G787" s="1"/>
      <c r="H787" s="26"/>
      <c r="I787" s="85"/>
    </row>
    <row r="788" spans="1:9" ht="14.25" customHeight="1" x14ac:dyDescent="0.2">
      <c r="A788" s="1"/>
      <c r="B788" s="1"/>
      <c r="C788" s="1"/>
      <c r="D788" s="1"/>
      <c r="E788" s="1"/>
      <c r="F788" s="1"/>
      <c r="G788" s="1"/>
      <c r="H788" s="26"/>
      <c r="I788" s="85"/>
    </row>
    <row r="789" spans="1:9" ht="14.25" customHeight="1" x14ac:dyDescent="0.2">
      <c r="A789" s="1"/>
      <c r="B789" s="1"/>
      <c r="C789" s="1"/>
      <c r="D789" s="1"/>
      <c r="E789" s="1"/>
      <c r="F789" s="1"/>
      <c r="G789" s="1"/>
      <c r="H789" s="26"/>
      <c r="I789" s="85"/>
    </row>
    <row r="790" spans="1:9" ht="14.25" customHeight="1" x14ac:dyDescent="0.2">
      <c r="A790" s="1"/>
      <c r="B790" s="1"/>
      <c r="C790" s="1"/>
      <c r="D790" s="1"/>
      <c r="E790" s="1"/>
      <c r="F790" s="1"/>
      <c r="G790" s="1"/>
      <c r="H790" s="26"/>
      <c r="I790" s="85"/>
    </row>
    <row r="791" spans="1:9" ht="14.25" customHeight="1" x14ac:dyDescent="0.2">
      <c r="A791" s="1"/>
      <c r="B791" s="1"/>
      <c r="C791" s="1"/>
      <c r="D791" s="1"/>
      <c r="E791" s="1"/>
      <c r="F791" s="1"/>
      <c r="G791" s="1"/>
      <c r="H791" s="26"/>
      <c r="I791" s="85"/>
    </row>
    <row r="792" spans="1:9" ht="14.25" customHeight="1" x14ac:dyDescent="0.2">
      <c r="A792" s="1"/>
      <c r="B792" s="1"/>
      <c r="C792" s="1"/>
      <c r="D792" s="1"/>
      <c r="E792" s="1"/>
      <c r="F792" s="1"/>
      <c r="G792" s="1"/>
      <c r="H792" s="26"/>
      <c r="I792" s="85"/>
    </row>
    <row r="793" spans="1:9" ht="14.25" customHeight="1" x14ac:dyDescent="0.2">
      <c r="A793" s="1"/>
      <c r="B793" s="1"/>
      <c r="C793" s="1"/>
      <c r="D793" s="1"/>
      <c r="E793" s="1"/>
      <c r="F793" s="1"/>
      <c r="G793" s="1"/>
      <c r="H793" s="26"/>
      <c r="I793" s="85"/>
    </row>
    <row r="794" spans="1:9" ht="14.25" customHeight="1" x14ac:dyDescent="0.2">
      <c r="A794" s="1"/>
      <c r="B794" s="1"/>
      <c r="C794" s="1"/>
      <c r="D794" s="1"/>
      <c r="E794" s="1"/>
      <c r="F794" s="1"/>
      <c r="G794" s="1"/>
      <c r="H794" s="26"/>
      <c r="I794" s="85"/>
    </row>
    <row r="795" spans="1:9" ht="14.25" customHeight="1" x14ac:dyDescent="0.2">
      <c r="A795" s="1"/>
      <c r="B795" s="1"/>
      <c r="C795" s="1"/>
      <c r="D795" s="1"/>
      <c r="E795" s="1"/>
      <c r="F795" s="1"/>
      <c r="G795" s="1"/>
      <c r="H795" s="26"/>
      <c r="I795" s="85"/>
    </row>
    <row r="796" spans="1:9" ht="14.25" customHeight="1" x14ac:dyDescent="0.2">
      <c r="A796" s="1"/>
      <c r="B796" s="1"/>
      <c r="C796" s="1"/>
      <c r="D796" s="1"/>
      <c r="E796" s="1"/>
      <c r="F796" s="1"/>
      <c r="G796" s="1"/>
      <c r="H796" s="26"/>
      <c r="I796" s="85"/>
    </row>
    <row r="797" spans="1:9" ht="14.25" customHeight="1" x14ac:dyDescent="0.2">
      <c r="A797" s="1"/>
      <c r="B797" s="1"/>
      <c r="C797" s="1"/>
      <c r="D797" s="1"/>
      <c r="E797" s="1"/>
      <c r="F797" s="1"/>
      <c r="G797" s="1"/>
      <c r="H797" s="26"/>
      <c r="I797" s="85"/>
    </row>
    <row r="798" spans="1:9" ht="14.25" customHeight="1" x14ac:dyDescent="0.2">
      <c r="A798" s="1"/>
      <c r="B798" s="1"/>
      <c r="C798" s="1"/>
      <c r="D798" s="1"/>
      <c r="E798" s="1"/>
      <c r="F798" s="1"/>
      <c r="G798" s="1"/>
      <c r="H798" s="26"/>
      <c r="I798" s="85"/>
    </row>
    <row r="799" spans="1:9" ht="14.25" customHeight="1" x14ac:dyDescent="0.2">
      <c r="A799" s="1"/>
      <c r="B799" s="1"/>
      <c r="C799" s="1"/>
      <c r="D799" s="1"/>
      <c r="E799" s="1"/>
      <c r="F799" s="1"/>
      <c r="G799" s="1"/>
      <c r="H799" s="26"/>
      <c r="I799" s="85"/>
    </row>
    <row r="800" spans="1:9" ht="14.25" customHeight="1" x14ac:dyDescent="0.2">
      <c r="A800" s="1"/>
      <c r="B800" s="1"/>
      <c r="C800" s="1"/>
      <c r="D800" s="1"/>
      <c r="E800" s="1"/>
      <c r="F800" s="1"/>
      <c r="G800" s="1"/>
      <c r="H800" s="26"/>
      <c r="I800" s="85"/>
    </row>
    <row r="801" spans="1:9" ht="14.25" customHeight="1" x14ac:dyDescent="0.2">
      <c r="A801" s="1"/>
      <c r="B801" s="1"/>
      <c r="C801" s="1"/>
      <c r="D801" s="1"/>
      <c r="E801" s="1"/>
      <c r="F801" s="1"/>
      <c r="G801" s="1"/>
      <c r="H801" s="26"/>
      <c r="I801" s="85"/>
    </row>
    <row r="802" spans="1:9" ht="14.25" customHeight="1" x14ac:dyDescent="0.2">
      <c r="A802" s="1"/>
      <c r="B802" s="1"/>
      <c r="C802" s="1"/>
      <c r="D802" s="1"/>
      <c r="E802" s="1"/>
      <c r="F802" s="1"/>
      <c r="G802" s="1"/>
      <c r="H802" s="26"/>
      <c r="I802" s="85"/>
    </row>
    <row r="803" spans="1:9" ht="14.25" customHeight="1" x14ac:dyDescent="0.2">
      <c r="A803" s="1"/>
      <c r="B803" s="1"/>
      <c r="C803" s="1"/>
      <c r="D803" s="1"/>
      <c r="E803" s="1"/>
      <c r="F803" s="1"/>
      <c r="G803" s="1"/>
      <c r="H803" s="26"/>
      <c r="I803" s="85"/>
    </row>
    <row r="804" spans="1:9" ht="14.25" customHeight="1" x14ac:dyDescent="0.2">
      <c r="A804" s="1"/>
      <c r="B804" s="1"/>
      <c r="C804" s="1"/>
      <c r="D804" s="1"/>
      <c r="E804" s="1"/>
      <c r="F804" s="1"/>
      <c r="G804" s="1"/>
      <c r="H804" s="26"/>
      <c r="I804" s="85"/>
    </row>
    <row r="805" spans="1:9" ht="14.25" customHeight="1" x14ac:dyDescent="0.2">
      <c r="A805" s="1"/>
      <c r="B805" s="1"/>
      <c r="C805" s="1"/>
      <c r="D805" s="1"/>
      <c r="E805" s="1"/>
      <c r="F805" s="1"/>
      <c r="G805" s="1"/>
      <c r="H805" s="26"/>
      <c r="I805" s="85"/>
    </row>
    <row r="806" spans="1:9" ht="14.25" customHeight="1" x14ac:dyDescent="0.2">
      <c r="A806" s="1"/>
      <c r="B806" s="1"/>
      <c r="C806" s="1"/>
      <c r="D806" s="1"/>
      <c r="E806" s="1"/>
      <c r="F806" s="1"/>
      <c r="G806" s="1"/>
      <c r="H806" s="26"/>
      <c r="I806" s="85"/>
    </row>
    <row r="807" spans="1:9" ht="14.25" customHeight="1" x14ac:dyDescent="0.2">
      <c r="A807" s="1"/>
      <c r="B807" s="1"/>
      <c r="C807" s="1"/>
      <c r="D807" s="1"/>
      <c r="E807" s="1"/>
      <c r="F807" s="1"/>
      <c r="G807" s="1"/>
      <c r="H807" s="26"/>
      <c r="I807" s="85"/>
    </row>
    <row r="808" spans="1:9" ht="14.25" customHeight="1" x14ac:dyDescent="0.2">
      <c r="A808" s="1"/>
      <c r="B808" s="1"/>
      <c r="C808" s="1"/>
      <c r="D808" s="1"/>
      <c r="E808" s="1"/>
      <c r="F808" s="1"/>
      <c r="G808" s="1"/>
      <c r="H808" s="26"/>
      <c r="I808" s="85"/>
    </row>
    <row r="809" spans="1:9" ht="14.25" customHeight="1" x14ac:dyDescent="0.2">
      <c r="A809" s="1"/>
      <c r="B809" s="1"/>
      <c r="C809" s="1"/>
      <c r="D809" s="1"/>
      <c r="E809" s="1"/>
      <c r="F809" s="1"/>
      <c r="G809" s="1"/>
      <c r="H809" s="26"/>
      <c r="I809" s="85"/>
    </row>
    <row r="810" spans="1:9" ht="14.25" customHeight="1" x14ac:dyDescent="0.2">
      <c r="A810" s="1"/>
      <c r="B810" s="1"/>
      <c r="C810" s="1"/>
      <c r="D810" s="1"/>
      <c r="E810" s="1"/>
      <c r="F810" s="1"/>
      <c r="G810" s="1"/>
      <c r="H810" s="26"/>
      <c r="I810" s="85"/>
    </row>
    <row r="811" spans="1:9" ht="14.25" customHeight="1" x14ac:dyDescent="0.2">
      <c r="A811" s="1"/>
      <c r="B811" s="1"/>
      <c r="C811" s="1"/>
      <c r="D811" s="1"/>
      <c r="E811" s="1"/>
      <c r="F811" s="1"/>
      <c r="G811" s="1"/>
      <c r="H811" s="26"/>
      <c r="I811" s="85"/>
    </row>
    <row r="812" spans="1:9" ht="14.25" customHeight="1" x14ac:dyDescent="0.2">
      <c r="A812" s="1"/>
      <c r="B812" s="1"/>
      <c r="C812" s="1"/>
      <c r="D812" s="1"/>
      <c r="E812" s="1"/>
      <c r="F812" s="1"/>
      <c r="G812" s="1"/>
      <c r="H812" s="26"/>
      <c r="I812" s="85"/>
    </row>
    <row r="813" spans="1:9" ht="14.25" customHeight="1" x14ac:dyDescent="0.2">
      <c r="A813" s="1"/>
      <c r="B813" s="1"/>
      <c r="C813" s="1"/>
      <c r="D813" s="1"/>
      <c r="E813" s="1"/>
      <c r="F813" s="1"/>
      <c r="G813" s="1"/>
      <c r="H813" s="26"/>
      <c r="I813" s="85"/>
    </row>
    <row r="814" spans="1:9" ht="14.25" customHeight="1" x14ac:dyDescent="0.2">
      <c r="A814" s="1"/>
      <c r="B814" s="1"/>
      <c r="C814" s="1"/>
      <c r="D814" s="1"/>
      <c r="E814" s="1"/>
      <c r="F814" s="1"/>
      <c r="G814" s="1"/>
      <c r="H814" s="26"/>
      <c r="I814" s="85"/>
    </row>
    <row r="815" spans="1:9" ht="14.25" customHeight="1" x14ac:dyDescent="0.2">
      <c r="A815" s="1"/>
      <c r="B815" s="1"/>
      <c r="C815" s="1"/>
      <c r="D815" s="1"/>
      <c r="E815" s="1"/>
      <c r="F815" s="1"/>
      <c r="G815" s="1"/>
      <c r="H815" s="26"/>
      <c r="I815" s="85"/>
    </row>
    <row r="816" spans="1:9" ht="14.25" customHeight="1" x14ac:dyDescent="0.2">
      <c r="A816" s="1"/>
      <c r="B816" s="1"/>
      <c r="C816" s="1"/>
      <c r="D816" s="1"/>
      <c r="E816" s="1"/>
      <c r="F816" s="1"/>
      <c r="G816" s="1"/>
      <c r="H816" s="26"/>
      <c r="I816" s="85"/>
    </row>
    <row r="817" spans="1:9" ht="14.25" customHeight="1" x14ac:dyDescent="0.2">
      <c r="A817" s="1"/>
      <c r="B817" s="1"/>
      <c r="C817" s="1"/>
      <c r="D817" s="1"/>
      <c r="E817" s="1"/>
      <c r="F817" s="1"/>
      <c r="G817" s="1"/>
      <c r="H817" s="26"/>
      <c r="I817" s="85"/>
    </row>
    <row r="818" spans="1:9" ht="14.25" customHeight="1" x14ac:dyDescent="0.2">
      <c r="A818" s="1"/>
      <c r="B818" s="1"/>
      <c r="C818" s="1"/>
      <c r="D818" s="1"/>
      <c r="E818" s="1"/>
      <c r="F818" s="1"/>
      <c r="G818" s="1"/>
      <c r="H818" s="26"/>
      <c r="I818" s="85"/>
    </row>
    <row r="819" spans="1:9" ht="14.25" customHeight="1" x14ac:dyDescent="0.2">
      <c r="A819" s="1"/>
      <c r="B819" s="1"/>
      <c r="C819" s="1"/>
      <c r="D819" s="1"/>
      <c r="E819" s="1"/>
      <c r="F819" s="1"/>
      <c r="G819" s="1"/>
      <c r="H819" s="26"/>
      <c r="I819" s="85"/>
    </row>
    <row r="820" spans="1:9" ht="14.25" customHeight="1" x14ac:dyDescent="0.2">
      <c r="A820" s="1"/>
      <c r="B820" s="1"/>
      <c r="C820" s="1"/>
      <c r="D820" s="1"/>
      <c r="E820" s="1"/>
      <c r="F820" s="1"/>
      <c r="G820" s="1"/>
      <c r="H820" s="26"/>
      <c r="I820" s="85"/>
    </row>
    <row r="821" spans="1:9" ht="14.25" customHeight="1" x14ac:dyDescent="0.2">
      <c r="A821" s="1"/>
      <c r="B821" s="1"/>
      <c r="C821" s="1"/>
      <c r="D821" s="1"/>
      <c r="E821" s="1"/>
      <c r="F821" s="1"/>
      <c r="G821" s="1"/>
      <c r="H821" s="26"/>
      <c r="I821" s="85"/>
    </row>
    <row r="822" spans="1:9" ht="14.25" customHeight="1" x14ac:dyDescent="0.2">
      <c r="A822" s="1"/>
      <c r="B822" s="1"/>
      <c r="C822" s="1"/>
      <c r="D822" s="1"/>
      <c r="E822" s="1"/>
      <c r="F822" s="1"/>
      <c r="G822" s="1"/>
      <c r="H822" s="26"/>
      <c r="I822" s="85"/>
    </row>
    <row r="823" spans="1:9" ht="14.25" customHeight="1" x14ac:dyDescent="0.2">
      <c r="A823" s="1"/>
      <c r="B823" s="1"/>
      <c r="C823" s="1"/>
      <c r="D823" s="1"/>
      <c r="E823" s="1"/>
      <c r="F823" s="1"/>
      <c r="G823" s="1"/>
      <c r="H823" s="26"/>
      <c r="I823" s="85"/>
    </row>
    <row r="824" spans="1:9" ht="14.25" customHeight="1" x14ac:dyDescent="0.2">
      <c r="A824" s="1"/>
      <c r="B824" s="1"/>
      <c r="C824" s="1"/>
      <c r="D824" s="1"/>
      <c r="E824" s="1"/>
      <c r="F824" s="1"/>
      <c r="G824" s="1"/>
      <c r="H824" s="26"/>
      <c r="I824" s="85"/>
    </row>
    <row r="825" spans="1:9" ht="14.25" customHeight="1" x14ac:dyDescent="0.2">
      <c r="A825" s="1"/>
      <c r="B825" s="1"/>
      <c r="C825" s="1"/>
      <c r="D825" s="1"/>
      <c r="E825" s="1"/>
      <c r="F825" s="1"/>
      <c r="G825" s="1"/>
      <c r="H825" s="26"/>
      <c r="I825" s="85"/>
    </row>
    <row r="826" spans="1:9" ht="14.25" customHeight="1" x14ac:dyDescent="0.2">
      <c r="A826" s="1"/>
      <c r="B826" s="1"/>
      <c r="C826" s="1"/>
      <c r="D826" s="1"/>
      <c r="E826" s="1"/>
      <c r="F826" s="1"/>
      <c r="G826" s="1"/>
      <c r="H826" s="26"/>
      <c r="I826" s="85"/>
    </row>
    <row r="827" spans="1:9" ht="14.25" customHeight="1" x14ac:dyDescent="0.2">
      <c r="A827" s="1"/>
      <c r="B827" s="1"/>
      <c r="C827" s="1"/>
      <c r="D827" s="1"/>
      <c r="E827" s="1"/>
      <c r="F827" s="1"/>
      <c r="G827" s="1"/>
      <c r="H827" s="26"/>
      <c r="I827" s="85"/>
    </row>
    <row r="828" spans="1:9" ht="14.25" customHeight="1" x14ac:dyDescent="0.2">
      <c r="A828" s="1"/>
      <c r="B828" s="1"/>
      <c r="C828" s="1"/>
      <c r="D828" s="1"/>
      <c r="E828" s="1"/>
      <c r="F828" s="1"/>
      <c r="G828" s="1"/>
      <c r="H828" s="26"/>
      <c r="I828" s="85"/>
    </row>
    <row r="829" spans="1:9" ht="14.25" customHeight="1" x14ac:dyDescent="0.2">
      <c r="A829" s="1"/>
      <c r="B829" s="1"/>
      <c r="C829" s="1"/>
      <c r="D829" s="1"/>
      <c r="E829" s="1"/>
      <c r="F829" s="1"/>
      <c r="G829" s="1"/>
      <c r="H829" s="26"/>
      <c r="I829" s="85"/>
    </row>
    <row r="830" spans="1:9" ht="14.25" customHeight="1" x14ac:dyDescent="0.2">
      <c r="A830" s="1"/>
      <c r="B830" s="1"/>
      <c r="C830" s="1"/>
      <c r="D830" s="1"/>
      <c r="E830" s="1"/>
      <c r="F830" s="1"/>
      <c r="G830" s="1"/>
      <c r="H830" s="26"/>
      <c r="I830" s="85"/>
    </row>
    <row r="831" spans="1:9" ht="14.25" customHeight="1" x14ac:dyDescent="0.2">
      <c r="A831" s="1"/>
      <c r="B831" s="1"/>
      <c r="C831" s="1"/>
      <c r="D831" s="1"/>
      <c r="E831" s="1"/>
      <c r="F831" s="1"/>
      <c r="G831" s="1"/>
      <c r="H831" s="26"/>
      <c r="I831" s="85"/>
    </row>
    <row r="832" spans="1:9" ht="14.25" customHeight="1" x14ac:dyDescent="0.2">
      <c r="A832" s="1"/>
      <c r="B832" s="1"/>
      <c r="C832" s="1"/>
      <c r="D832" s="1"/>
      <c r="E832" s="1"/>
      <c r="F832" s="1"/>
      <c r="G832" s="1"/>
      <c r="H832" s="26"/>
      <c r="I832" s="85"/>
    </row>
    <row r="833" spans="1:9" ht="14.25" customHeight="1" x14ac:dyDescent="0.2">
      <c r="A833" s="1"/>
      <c r="B833" s="1"/>
      <c r="C833" s="1"/>
      <c r="D833" s="1"/>
      <c r="E833" s="1"/>
      <c r="F833" s="1"/>
      <c r="G833" s="1"/>
      <c r="H833" s="26"/>
      <c r="I833" s="85"/>
    </row>
    <row r="834" spans="1:9" ht="14.25" customHeight="1" x14ac:dyDescent="0.2">
      <c r="A834" s="1"/>
      <c r="B834" s="1"/>
      <c r="C834" s="1"/>
      <c r="D834" s="1"/>
      <c r="E834" s="1"/>
      <c r="F834" s="1"/>
      <c r="G834" s="1"/>
      <c r="H834" s="26"/>
      <c r="I834" s="85"/>
    </row>
    <row r="835" spans="1:9" ht="14.25" customHeight="1" x14ac:dyDescent="0.2">
      <c r="A835" s="1"/>
      <c r="B835" s="1"/>
      <c r="C835" s="1"/>
      <c r="D835" s="1"/>
      <c r="E835" s="1"/>
      <c r="F835" s="1"/>
      <c r="G835" s="1"/>
      <c r="H835" s="26"/>
      <c r="I835" s="85"/>
    </row>
    <row r="836" spans="1:9" ht="14.25" customHeight="1" x14ac:dyDescent="0.2">
      <c r="A836" s="1"/>
      <c r="B836" s="1"/>
      <c r="C836" s="1"/>
      <c r="D836" s="1"/>
      <c r="E836" s="1"/>
      <c r="F836" s="1"/>
      <c r="G836" s="1"/>
      <c r="H836" s="26"/>
      <c r="I836" s="85"/>
    </row>
    <row r="837" spans="1:9" ht="14.25" customHeight="1" x14ac:dyDescent="0.2">
      <c r="A837" s="1"/>
      <c r="B837" s="1"/>
      <c r="C837" s="1"/>
      <c r="D837" s="1"/>
      <c r="E837" s="1"/>
      <c r="F837" s="1"/>
      <c r="G837" s="1"/>
      <c r="H837" s="26"/>
      <c r="I837" s="85"/>
    </row>
    <row r="838" spans="1:9" ht="14.25" customHeight="1" x14ac:dyDescent="0.2">
      <c r="A838" s="1"/>
      <c r="B838" s="1"/>
      <c r="C838" s="1"/>
      <c r="D838" s="1"/>
      <c r="E838" s="1"/>
      <c r="F838" s="1"/>
      <c r="G838" s="1"/>
      <c r="H838" s="26"/>
      <c r="I838" s="85"/>
    </row>
    <row r="839" spans="1:9" ht="14.25" customHeight="1" x14ac:dyDescent="0.2">
      <c r="A839" s="1"/>
      <c r="B839" s="1"/>
      <c r="C839" s="1"/>
      <c r="D839" s="1"/>
      <c r="E839" s="1"/>
      <c r="F839" s="1"/>
      <c r="G839" s="1"/>
      <c r="H839" s="26"/>
      <c r="I839" s="85"/>
    </row>
    <row r="840" spans="1:9" ht="14.25" customHeight="1" x14ac:dyDescent="0.2">
      <c r="A840" s="1"/>
      <c r="B840" s="1"/>
      <c r="C840" s="1"/>
      <c r="D840" s="1"/>
      <c r="E840" s="1"/>
      <c r="F840" s="1"/>
      <c r="G840" s="1"/>
      <c r="H840" s="26"/>
      <c r="I840" s="85"/>
    </row>
    <row r="841" spans="1:9" ht="14.25" customHeight="1" x14ac:dyDescent="0.2">
      <c r="A841" s="1"/>
      <c r="B841" s="1"/>
      <c r="C841" s="1"/>
      <c r="D841" s="1"/>
      <c r="E841" s="1"/>
      <c r="F841" s="1"/>
      <c r="G841" s="1"/>
      <c r="H841" s="26"/>
      <c r="I841" s="85"/>
    </row>
    <row r="842" spans="1:9" ht="14.25" customHeight="1" x14ac:dyDescent="0.2">
      <c r="A842" s="1"/>
      <c r="B842" s="1"/>
      <c r="C842" s="1"/>
      <c r="D842" s="1"/>
      <c r="E842" s="1"/>
      <c r="F842" s="1"/>
      <c r="G842" s="1"/>
      <c r="H842" s="26"/>
      <c r="I842" s="85"/>
    </row>
    <row r="843" spans="1:9" ht="14.25" customHeight="1" x14ac:dyDescent="0.2">
      <c r="A843" s="1"/>
      <c r="B843" s="1"/>
      <c r="C843" s="1"/>
      <c r="D843" s="1"/>
      <c r="E843" s="1"/>
      <c r="F843" s="1"/>
      <c r="G843" s="1"/>
      <c r="H843" s="26"/>
      <c r="I843" s="85"/>
    </row>
    <row r="844" spans="1:9" ht="14.25" customHeight="1" x14ac:dyDescent="0.2">
      <c r="A844" s="1"/>
      <c r="B844" s="1"/>
      <c r="C844" s="1"/>
      <c r="D844" s="1"/>
      <c r="E844" s="1"/>
      <c r="F844" s="1"/>
      <c r="G844" s="1"/>
      <c r="H844" s="26"/>
      <c r="I844" s="85"/>
    </row>
    <row r="845" spans="1:9" ht="14.25" customHeight="1" x14ac:dyDescent="0.2">
      <c r="A845" s="1"/>
      <c r="B845" s="1"/>
      <c r="C845" s="1"/>
      <c r="D845" s="1"/>
      <c r="E845" s="1"/>
      <c r="F845" s="1"/>
      <c r="G845" s="1"/>
      <c r="H845" s="26"/>
      <c r="I845" s="85"/>
    </row>
    <row r="846" spans="1:9" ht="14.25" customHeight="1" x14ac:dyDescent="0.2">
      <c r="A846" s="1"/>
      <c r="B846" s="1"/>
      <c r="C846" s="1"/>
      <c r="D846" s="1"/>
      <c r="E846" s="1"/>
      <c r="F846" s="1"/>
      <c r="G846" s="1"/>
      <c r="H846" s="26"/>
      <c r="I846" s="85"/>
    </row>
    <row r="847" spans="1:9" ht="14.25" customHeight="1" x14ac:dyDescent="0.2">
      <c r="A847" s="1"/>
      <c r="B847" s="1"/>
      <c r="C847" s="1"/>
      <c r="D847" s="1"/>
      <c r="E847" s="1"/>
      <c r="F847" s="1"/>
      <c r="G847" s="1"/>
      <c r="H847" s="26"/>
      <c r="I847" s="85"/>
    </row>
    <row r="848" spans="1:9" ht="14.25" customHeight="1" x14ac:dyDescent="0.2">
      <c r="A848" s="1"/>
      <c r="B848" s="1"/>
      <c r="C848" s="1"/>
      <c r="D848" s="1"/>
      <c r="E848" s="1"/>
      <c r="F848" s="1"/>
      <c r="G848" s="1"/>
      <c r="H848" s="26"/>
      <c r="I848" s="85"/>
    </row>
    <row r="849" spans="1:9" ht="14.25" customHeight="1" x14ac:dyDescent="0.2">
      <c r="A849" s="1"/>
      <c r="B849" s="1"/>
      <c r="C849" s="1"/>
      <c r="D849" s="1"/>
      <c r="E849" s="1"/>
      <c r="F849" s="1"/>
      <c r="G849" s="1"/>
      <c r="H849" s="26"/>
      <c r="I849" s="85"/>
    </row>
    <row r="850" spans="1:9" ht="14.25" customHeight="1" x14ac:dyDescent="0.2">
      <c r="A850" s="1"/>
      <c r="B850" s="1"/>
      <c r="C850" s="1"/>
      <c r="D850" s="1"/>
      <c r="E850" s="1"/>
      <c r="F850" s="1"/>
      <c r="G850" s="1"/>
      <c r="H850" s="26"/>
      <c r="I850" s="85"/>
    </row>
    <row r="851" spans="1:9" ht="14.25" customHeight="1" x14ac:dyDescent="0.2">
      <c r="A851" s="1"/>
      <c r="B851" s="1"/>
      <c r="C851" s="1"/>
      <c r="D851" s="1"/>
      <c r="E851" s="1"/>
      <c r="F851" s="1"/>
      <c r="G851" s="1"/>
      <c r="H851" s="26"/>
      <c r="I851" s="85"/>
    </row>
    <row r="852" spans="1:9" ht="14.25" customHeight="1" x14ac:dyDescent="0.2">
      <c r="A852" s="1"/>
      <c r="B852" s="1"/>
      <c r="C852" s="1"/>
      <c r="D852" s="1"/>
      <c r="E852" s="1"/>
      <c r="F852" s="1"/>
      <c r="G852" s="1"/>
      <c r="H852" s="26"/>
      <c r="I852" s="85"/>
    </row>
    <row r="853" spans="1:9" ht="14.25" customHeight="1" x14ac:dyDescent="0.2">
      <c r="A853" s="1"/>
      <c r="B853" s="1"/>
      <c r="C853" s="1"/>
      <c r="D853" s="1"/>
      <c r="E853" s="1"/>
      <c r="F853" s="1"/>
      <c r="G853" s="1"/>
      <c r="H853" s="26"/>
      <c r="I853" s="85"/>
    </row>
    <row r="854" spans="1:9" ht="14.25" customHeight="1" x14ac:dyDescent="0.2">
      <c r="A854" s="1"/>
      <c r="B854" s="1"/>
      <c r="C854" s="1"/>
      <c r="D854" s="1"/>
      <c r="E854" s="1"/>
      <c r="F854" s="1"/>
      <c r="G854" s="1"/>
      <c r="H854" s="26"/>
      <c r="I854" s="85"/>
    </row>
    <row r="855" spans="1:9" ht="14.25" customHeight="1" x14ac:dyDescent="0.2">
      <c r="A855" s="1"/>
      <c r="B855" s="1"/>
      <c r="C855" s="1"/>
      <c r="D855" s="1"/>
      <c r="E855" s="1"/>
      <c r="F855" s="1"/>
      <c r="G855" s="1"/>
      <c r="H855" s="26"/>
      <c r="I855" s="85"/>
    </row>
    <row r="856" spans="1:9" ht="14.25" customHeight="1" x14ac:dyDescent="0.2">
      <c r="A856" s="1"/>
      <c r="B856" s="1"/>
      <c r="C856" s="1"/>
      <c r="D856" s="1"/>
      <c r="E856" s="1"/>
      <c r="F856" s="1"/>
      <c r="G856" s="1"/>
      <c r="H856" s="26"/>
      <c r="I856" s="85"/>
    </row>
    <row r="857" spans="1:9" ht="14.25" customHeight="1" x14ac:dyDescent="0.2">
      <c r="A857" s="1"/>
      <c r="B857" s="1"/>
      <c r="C857" s="1"/>
      <c r="D857" s="1"/>
      <c r="E857" s="1"/>
      <c r="F857" s="1"/>
      <c r="G857" s="1"/>
      <c r="H857" s="26"/>
      <c r="I857" s="85"/>
    </row>
    <row r="858" spans="1:9" ht="14.25" customHeight="1" x14ac:dyDescent="0.2">
      <c r="A858" s="1"/>
      <c r="B858" s="1"/>
      <c r="C858" s="1"/>
      <c r="D858" s="1"/>
      <c r="E858" s="1"/>
      <c r="F858" s="1"/>
      <c r="G858" s="1"/>
      <c r="H858" s="26"/>
      <c r="I858" s="85"/>
    </row>
    <row r="859" spans="1:9" ht="14.25" customHeight="1" x14ac:dyDescent="0.2">
      <c r="A859" s="1"/>
      <c r="B859" s="1"/>
      <c r="C859" s="1"/>
      <c r="D859" s="1"/>
      <c r="E859" s="1"/>
      <c r="F859" s="1"/>
      <c r="G859" s="1"/>
      <c r="H859" s="26"/>
      <c r="I859" s="85"/>
    </row>
    <row r="860" spans="1:9" ht="14.25" customHeight="1" x14ac:dyDescent="0.2">
      <c r="A860" s="1"/>
      <c r="B860" s="1"/>
      <c r="C860" s="1"/>
      <c r="D860" s="1"/>
      <c r="E860" s="1"/>
      <c r="F860" s="1"/>
      <c r="G860" s="1"/>
      <c r="H860" s="26"/>
      <c r="I860" s="85"/>
    </row>
    <row r="861" spans="1:9" ht="14.25" customHeight="1" x14ac:dyDescent="0.2">
      <c r="A861" s="1"/>
      <c r="B861" s="1"/>
      <c r="C861" s="1"/>
      <c r="D861" s="1"/>
      <c r="E861" s="1"/>
      <c r="F861" s="1"/>
      <c r="G861" s="1"/>
      <c r="H861" s="26"/>
      <c r="I861" s="85"/>
    </row>
    <row r="862" spans="1:9" ht="14.25" customHeight="1" x14ac:dyDescent="0.2">
      <c r="A862" s="1"/>
      <c r="B862" s="1"/>
      <c r="C862" s="1"/>
      <c r="D862" s="1"/>
      <c r="E862" s="1"/>
      <c r="F862" s="1"/>
      <c r="G862" s="1"/>
      <c r="H862" s="26"/>
      <c r="I862" s="85"/>
    </row>
    <row r="863" spans="1:9" ht="14.25" customHeight="1" x14ac:dyDescent="0.2">
      <c r="A863" s="1"/>
      <c r="B863" s="1"/>
      <c r="C863" s="1"/>
      <c r="D863" s="1"/>
      <c r="E863" s="1"/>
      <c r="F863" s="1"/>
      <c r="G863" s="1"/>
      <c r="H863" s="26"/>
      <c r="I863" s="85"/>
    </row>
    <row r="864" spans="1:9" ht="14.25" customHeight="1" x14ac:dyDescent="0.2">
      <c r="A864" s="1"/>
      <c r="B864" s="1"/>
      <c r="C864" s="1"/>
      <c r="D864" s="1"/>
      <c r="E864" s="1"/>
      <c r="F864" s="1"/>
      <c r="G864" s="1"/>
      <c r="H864" s="26"/>
      <c r="I864" s="85"/>
    </row>
    <row r="865" spans="1:9" ht="14.25" customHeight="1" x14ac:dyDescent="0.2">
      <c r="A865" s="1"/>
      <c r="B865" s="1"/>
      <c r="C865" s="1"/>
      <c r="D865" s="1"/>
      <c r="E865" s="1"/>
      <c r="F865" s="1"/>
      <c r="G865" s="1"/>
      <c r="H865" s="26"/>
      <c r="I865" s="85"/>
    </row>
    <row r="866" spans="1:9" ht="14.25" customHeight="1" x14ac:dyDescent="0.2">
      <c r="A866" s="1"/>
      <c r="B866" s="1"/>
      <c r="C866" s="1"/>
      <c r="D866" s="1"/>
      <c r="E866" s="1"/>
      <c r="F866" s="1"/>
      <c r="G866" s="1"/>
      <c r="H866" s="26"/>
      <c r="I866" s="85"/>
    </row>
    <row r="867" spans="1:9" ht="14.25" customHeight="1" x14ac:dyDescent="0.2">
      <c r="A867" s="1"/>
      <c r="B867" s="1"/>
      <c r="C867" s="1"/>
      <c r="D867" s="1"/>
      <c r="E867" s="1"/>
      <c r="F867" s="1"/>
      <c r="G867" s="1"/>
      <c r="H867" s="26"/>
      <c r="I867" s="85"/>
    </row>
    <row r="868" spans="1:9" ht="14.25" customHeight="1" x14ac:dyDescent="0.2">
      <c r="A868" s="1"/>
      <c r="B868" s="1"/>
      <c r="C868" s="1"/>
      <c r="D868" s="1"/>
      <c r="E868" s="1"/>
      <c r="F868" s="1"/>
      <c r="G868" s="1"/>
      <c r="H868" s="26"/>
      <c r="I868" s="85"/>
    </row>
    <row r="869" spans="1:9" ht="14.25" customHeight="1" x14ac:dyDescent="0.2">
      <c r="A869" s="1"/>
      <c r="B869" s="1"/>
      <c r="C869" s="1"/>
      <c r="D869" s="1"/>
      <c r="E869" s="1"/>
      <c r="F869" s="1"/>
      <c r="G869" s="1"/>
      <c r="H869" s="26"/>
      <c r="I869" s="85"/>
    </row>
    <row r="870" spans="1:9" ht="14.25" customHeight="1" x14ac:dyDescent="0.2">
      <c r="A870" s="1"/>
      <c r="B870" s="1"/>
      <c r="C870" s="1"/>
      <c r="D870" s="1"/>
      <c r="E870" s="1"/>
      <c r="F870" s="1"/>
      <c r="G870" s="1"/>
      <c r="H870" s="26"/>
      <c r="I870" s="85"/>
    </row>
    <row r="871" spans="1:9" ht="14.25" customHeight="1" x14ac:dyDescent="0.2">
      <c r="A871" s="1"/>
      <c r="B871" s="1"/>
      <c r="C871" s="1"/>
      <c r="D871" s="1"/>
      <c r="E871" s="1"/>
      <c r="F871" s="1"/>
      <c r="G871" s="1"/>
      <c r="H871" s="26"/>
      <c r="I871" s="85"/>
    </row>
    <row r="872" spans="1:9" ht="14.25" customHeight="1" x14ac:dyDescent="0.2">
      <c r="A872" s="1"/>
      <c r="B872" s="1"/>
      <c r="C872" s="1"/>
      <c r="D872" s="1"/>
      <c r="E872" s="1"/>
      <c r="F872" s="1"/>
      <c r="G872" s="1"/>
      <c r="H872" s="26"/>
      <c r="I872" s="85"/>
    </row>
    <row r="873" spans="1:9" ht="14.25" customHeight="1" x14ac:dyDescent="0.2">
      <c r="A873" s="1"/>
      <c r="B873" s="1"/>
      <c r="C873" s="1"/>
      <c r="D873" s="1"/>
      <c r="E873" s="1"/>
      <c r="F873" s="1"/>
      <c r="G873" s="1"/>
      <c r="H873" s="26"/>
      <c r="I873" s="85"/>
    </row>
    <row r="874" spans="1:9" ht="14.25" customHeight="1" x14ac:dyDescent="0.2">
      <c r="A874" s="1"/>
      <c r="B874" s="1"/>
      <c r="C874" s="1"/>
      <c r="D874" s="1"/>
      <c r="E874" s="1"/>
      <c r="F874" s="1"/>
      <c r="G874" s="1"/>
      <c r="H874" s="26"/>
      <c r="I874" s="85"/>
    </row>
    <row r="875" spans="1:9" ht="14.25" customHeight="1" x14ac:dyDescent="0.2">
      <c r="A875" s="1"/>
      <c r="B875" s="1"/>
      <c r="C875" s="1"/>
      <c r="D875" s="1"/>
      <c r="E875" s="1"/>
      <c r="F875" s="1"/>
      <c r="G875" s="1"/>
      <c r="H875" s="26"/>
      <c r="I875" s="85"/>
    </row>
    <row r="876" spans="1:9" ht="14.25" customHeight="1" x14ac:dyDescent="0.2">
      <c r="A876" s="1"/>
      <c r="B876" s="1"/>
      <c r="C876" s="1"/>
      <c r="D876" s="1"/>
      <c r="E876" s="1"/>
      <c r="F876" s="1"/>
      <c r="G876" s="1"/>
      <c r="H876" s="26"/>
      <c r="I876" s="85"/>
    </row>
    <row r="877" spans="1:9" ht="14.25" customHeight="1" x14ac:dyDescent="0.2">
      <c r="A877" s="1"/>
      <c r="B877" s="1"/>
      <c r="C877" s="1"/>
      <c r="D877" s="1"/>
      <c r="E877" s="1"/>
      <c r="F877" s="1"/>
      <c r="G877" s="1"/>
      <c r="H877" s="26"/>
      <c r="I877" s="85"/>
    </row>
    <row r="878" spans="1:9" ht="14.25" customHeight="1" x14ac:dyDescent="0.2">
      <c r="A878" s="1"/>
      <c r="B878" s="1"/>
      <c r="C878" s="1"/>
      <c r="D878" s="1"/>
      <c r="E878" s="1"/>
      <c r="F878" s="1"/>
      <c r="G878" s="1"/>
      <c r="H878" s="26"/>
      <c r="I878" s="85"/>
    </row>
    <row r="879" spans="1:9" ht="14.25" customHeight="1" x14ac:dyDescent="0.2">
      <c r="A879" s="1"/>
      <c r="B879" s="1"/>
      <c r="C879" s="1"/>
      <c r="D879" s="1"/>
      <c r="E879" s="1"/>
      <c r="F879" s="1"/>
      <c r="G879" s="1"/>
      <c r="H879" s="26"/>
      <c r="I879" s="85"/>
    </row>
    <row r="880" spans="1:9" ht="14.25" customHeight="1" x14ac:dyDescent="0.2">
      <c r="A880" s="1"/>
      <c r="B880" s="1"/>
      <c r="C880" s="1"/>
      <c r="D880" s="1"/>
      <c r="E880" s="1"/>
      <c r="F880" s="1"/>
      <c r="G880" s="1"/>
      <c r="H880" s="26"/>
      <c r="I880" s="85"/>
    </row>
    <row r="881" spans="1:9" ht="14.25" customHeight="1" x14ac:dyDescent="0.2">
      <c r="A881" s="1"/>
      <c r="B881" s="1"/>
      <c r="C881" s="1"/>
      <c r="D881" s="1"/>
      <c r="E881" s="1"/>
      <c r="F881" s="1"/>
      <c r="G881" s="1"/>
      <c r="H881" s="26"/>
      <c r="I881" s="85"/>
    </row>
    <row r="882" spans="1:9" ht="14.25" customHeight="1" x14ac:dyDescent="0.2">
      <c r="A882" s="1"/>
      <c r="B882" s="1"/>
      <c r="C882" s="1"/>
      <c r="D882" s="1"/>
      <c r="E882" s="1"/>
      <c r="F882" s="1"/>
      <c r="G882" s="1"/>
      <c r="H882" s="26"/>
      <c r="I882" s="85"/>
    </row>
    <row r="883" spans="1:9" ht="14.25" customHeight="1" x14ac:dyDescent="0.2">
      <c r="A883" s="1"/>
      <c r="B883" s="1"/>
      <c r="C883" s="1"/>
      <c r="D883" s="1"/>
      <c r="E883" s="1"/>
      <c r="F883" s="1"/>
      <c r="G883" s="1"/>
      <c r="H883" s="26"/>
      <c r="I883" s="85"/>
    </row>
    <row r="884" spans="1:9" ht="14.25" customHeight="1" x14ac:dyDescent="0.2">
      <c r="A884" s="1"/>
      <c r="B884" s="1"/>
      <c r="C884" s="1"/>
      <c r="D884" s="1"/>
      <c r="E884" s="1"/>
      <c r="F884" s="1"/>
      <c r="G884" s="1"/>
      <c r="H884" s="26"/>
      <c r="I884" s="85"/>
    </row>
    <row r="885" spans="1:9" ht="14.25" customHeight="1" x14ac:dyDescent="0.2">
      <c r="A885" s="1"/>
      <c r="B885" s="1"/>
      <c r="C885" s="1"/>
      <c r="D885" s="1"/>
      <c r="E885" s="1"/>
      <c r="F885" s="1"/>
      <c r="G885" s="1"/>
      <c r="H885" s="26"/>
      <c r="I885" s="85"/>
    </row>
    <row r="886" spans="1:9" ht="14.25" customHeight="1" x14ac:dyDescent="0.2">
      <c r="A886" s="1"/>
      <c r="B886" s="1"/>
      <c r="C886" s="1"/>
      <c r="D886" s="1"/>
      <c r="E886" s="1"/>
      <c r="F886" s="1"/>
      <c r="G886" s="1"/>
      <c r="H886" s="26"/>
      <c r="I886" s="85"/>
    </row>
    <row r="887" spans="1:9" ht="14.25" customHeight="1" x14ac:dyDescent="0.2">
      <c r="A887" s="1"/>
      <c r="B887" s="1"/>
      <c r="C887" s="1"/>
      <c r="D887" s="1"/>
      <c r="E887" s="1"/>
      <c r="F887" s="1"/>
      <c r="G887" s="1"/>
      <c r="H887" s="26"/>
      <c r="I887" s="85"/>
    </row>
    <row r="888" spans="1:9" ht="14.25" customHeight="1" x14ac:dyDescent="0.2">
      <c r="A888" s="1"/>
      <c r="B888" s="1"/>
      <c r="C888" s="1"/>
      <c r="D888" s="1"/>
      <c r="E888" s="1"/>
      <c r="F888" s="1"/>
      <c r="G888" s="1"/>
      <c r="H888" s="26"/>
      <c r="I888" s="85"/>
    </row>
    <row r="889" spans="1:9" ht="14.25" customHeight="1" x14ac:dyDescent="0.2">
      <c r="A889" s="1"/>
      <c r="B889" s="1"/>
      <c r="C889" s="1"/>
      <c r="D889" s="1"/>
      <c r="E889" s="1"/>
      <c r="F889" s="1"/>
      <c r="G889" s="1"/>
      <c r="H889" s="26"/>
      <c r="I889" s="85"/>
    </row>
    <row r="890" spans="1:9" ht="14.25" customHeight="1" x14ac:dyDescent="0.2">
      <c r="A890" s="1"/>
      <c r="B890" s="1"/>
      <c r="C890" s="1"/>
      <c r="D890" s="1"/>
      <c r="E890" s="1"/>
      <c r="F890" s="1"/>
      <c r="G890" s="1"/>
      <c r="H890" s="26"/>
      <c r="I890" s="85"/>
    </row>
    <row r="891" spans="1:9" ht="14.25" customHeight="1" x14ac:dyDescent="0.2">
      <c r="A891" s="1"/>
      <c r="B891" s="1"/>
      <c r="C891" s="1"/>
      <c r="D891" s="1"/>
      <c r="E891" s="1"/>
      <c r="F891" s="1"/>
      <c r="G891" s="1"/>
      <c r="H891" s="26"/>
      <c r="I891" s="85"/>
    </row>
    <row r="892" spans="1:9" ht="14.25" customHeight="1" x14ac:dyDescent="0.2">
      <c r="A892" s="1"/>
      <c r="B892" s="1"/>
      <c r="C892" s="1"/>
      <c r="D892" s="1"/>
      <c r="E892" s="1"/>
      <c r="F892" s="1"/>
      <c r="G892" s="1"/>
      <c r="H892" s="26"/>
      <c r="I892" s="85"/>
    </row>
    <row r="893" spans="1:9" ht="14.25" customHeight="1" x14ac:dyDescent="0.2">
      <c r="A893" s="1"/>
      <c r="B893" s="1"/>
      <c r="C893" s="1"/>
      <c r="D893" s="1"/>
      <c r="E893" s="1"/>
      <c r="F893" s="1"/>
      <c r="G893" s="1"/>
      <c r="H893" s="26"/>
      <c r="I893" s="85"/>
    </row>
    <row r="894" spans="1:9" ht="14.25" customHeight="1" x14ac:dyDescent="0.2">
      <c r="A894" s="1"/>
      <c r="B894" s="1"/>
      <c r="C894" s="1"/>
      <c r="D894" s="1"/>
      <c r="E894" s="1"/>
      <c r="F894" s="1"/>
      <c r="G894" s="1"/>
      <c r="H894" s="26"/>
      <c r="I894" s="85"/>
    </row>
    <row r="895" spans="1:9" ht="14.25" customHeight="1" x14ac:dyDescent="0.2">
      <c r="A895" s="1"/>
      <c r="B895" s="1"/>
      <c r="C895" s="1"/>
      <c r="D895" s="1"/>
      <c r="E895" s="1"/>
      <c r="F895" s="1"/>
      <c r="G895" s="1"/>
      <c r="H895" s="26"/>
      <c r="I895" s="85"/>
    </row>
    <row r="896" spans="1:9" ht="14.25" customHeight="1" x14ac:dyDescent="0.2">
      <c r="A896" s="1"/>
      <c r="B896" s="1"/>
      <c r="C896" s="1"/>
      <c r="D896" s="1"/>
      <c r="E896" s="1"/>
      <c r="F896" s="1"/>
      <c r="G896" s="1"/>
      <c r="H896" s="26"/>
      <c r="I896" s="85"/>
    </row>
    <row r="897" spans="1:9" ht="14.25" customHeight="1" x14ac:dyDescent="0.2">
      <c r="A897" s="1"/>
      <c r="B897" s="1"/>
      <c r="C897" s="1"/>
      <c r="D897" s="1"/>
      <c r="E897" s="1"/>
      <c r="F897" s="1"/>
      <c r="G897" s="1"/>
      <c r="H897" s="26"/>
      <c r="I897" s="85"/>
    </row>
    <row r="898" spans="1:9" ht="14.25" customHeight="1" x14ac:dyDescent="0.2">
      <c r="A898" s="1"/>
      <c r="B898" s="1"/>
      <c r="C898" s="1"/>
      <c r="D898" s="1"/>
      <c r="E898" s="1"/>
      <c r="F898" s="1"/>
      <c r="G898" s="1"/>
      <c r="H898" s="26"/>
      <c r="I898" s="85"/>
    </row>
    <row r="899" spans="1:9" ht="14.25" customHeight="1" x14ac:dyDescent="0.2">
      <c r="A899" s="1"/>
      <c r="B899" s="1"/>
      <c r="C899" s="1"/>
      <c r="D899" s="1"/>
      <c r="E899" s="1"/>
      <c r="F899" s="1"/>
      <c r="G899" s="1"/>
      <c r="H899" s="26"/>
      <c r="I899" s="85"/>
    </row>
    <row r="900" spans="1:9" ht="14.25" customHeight="1" x14ac:dyDescent="0.2">
      <c r="A900" s="1"/>
      <c r="B900" s="1"/>
      <c r="C900" s="1"/>
      <c r="D900" s="1"/>
      <c r="E900" s="1"/>
      <c r="F900" s="1"/>
      <c r="G900" s="1"/>
      <c r="H900" s="26"/>
      <c r="I900" s="85"/>
    </row>
    <row r="901" spans="1:9" ht="14.25" customHeight="1" x14ac:dyDescent="0.2">
      <c r="A901" s="1"/>
      <c r="B901" s="1"/>
      <c r="C901" s="1"/>
      <c r="D901" s="1"/>
      <c r="E901" s="1"/>
      <c r="F901" s="1"/>
      <c r="G901" s="1"/>
      <c r="H901" s="26"/>
      <c r="I901" s="85"/>
    </row>
    <row r="902" spans="1:9" ht="14.25" customHeight="1" x14ac:dyDescent="0.2">
      <c r="A902" s="1"/>
      <c r="B902" s="1"/>
      <c r="C902" s="1"/>
      <c r="D902" s="1"/>
      <c r="E902" s="1"/>
      <c r="F902" s="1"/>
      <c r="G902" s="1"/>
      <c r="H902" s="26"/>
      <c r="I902" s="85"/>
    </row>
    <row r="903" spans="1:9" ht="14.25" customHeight="1" x14ac:dyDescent="0.2">
      <c r="A903" s="1"/>
      <c r="B903" s="1"/>
      <c r="C903" s="1"/>
      <c r="D903" s="1"/>
      <c r="E903" s="1"/>
      <c r="F903" s="1"/>
      <c r="G903" s="1"/>
      <c r="H903" s="26"/>
      <c r="I903" s="85"/>
    </row>
    <row r="904" spans="1:9" ht="14.25" customHeight="1" x14ac:dyDescent="0.2">
      <c r="A904" s="1"/>
      <c r="B904" s="1"/>
      <c r="C904" s="1"/>
      <c r="D904" s="1"/>
      <c r="E904" s="1"/>
      <c r="F904" s="1"/>
      <c r="G904" s="1"/>
      <c r="H904" s="26"/>
      <c r="I904" s="85"/>
    </row>
    <row r="905" spans="1:9" ht="14.25" customHeight="1" x14ac:dyDescent="0.2">
      <c r="A905" s="1"/>
      <c r="B905" s="1"/>
      <c r="C905" s="1"/>
      <c r="D905" s="1"/>
      <c r="E905" s="1"/>
      <c r="F905" s="1"/>
      <c r="G905" s="1"/>
      <c r="H905" s="26"/>
      <c r="I905" s="85"/>
    </row>
    <row r="906" spans="1:9" ht="14.25" customHeight="1" x14ac:dyDescent="0.2">
      <c r="A906" s="1"/>
      <c r="B906" s="1"/>
      <c r="C906" s="1"/>
      <c r="D906" s="1"/>
      <c r="E906" s="1"/>
      <c r="F906" s="1"/>
      <c r="G906" s="1"/>
      <c r="H906" s="26"/>
      <c r="I906" s="85"/>
    </row>
    <row r="907" spans="1:9" ht="14.25" customHeight="1" x14ac:dyDescent="0.2">
      <c r="A907" s="1"/>
      <c r="B907" s="1"/>
      <c r="C907" s="1"/>
      <c r="D907" s="1"/>
      <c r="E907" s="1"/>
      <c r="F907" s="1"/>
      <c r="G907" s="1"/>
      <c r="H907" s="26"/>
      <c r="I907" s="85"/>
    </row>
    <row r="908" spans="1:9" ht="14.25" customHeight="1" x14ac:dyDescent="0.2">
      <c r="A908" s="1"/>
      <c r="B908" s="1"/>
      <c r="C908" s="1"/>
      <c r="D908" s="1"/>
      <c r="E908" s="1"/>
      <c r="F908" s="1"/>
      <c r="G908" s="1"/>
      <c r="H908" s="26"/>
      <c r="I908" s="85"/>
    </row>
    <row r="909" spans="1:9" ht="14.25" customHeight="1" x14ac:dyDescent="0.2">
      <c r="A909" s="1"/>
      <c r="B909" s="1"/>
      <c r="C909" s="1"/>
      <c r="D909" s="1"/>
      <c r="E909" s="1"/>
      <c r="F909" s="1"/>
      <c r="G909" s="1"/>
      <c r="H909" s="26"/>
      <c r="I909" s="85"/>
    </row>
    <row r="910" spans="1:9" ht="14.25" customHeight="1" x14ac:dyDescent="0.2">
      <c r="A910" s="1"/>
      <c r="B910" s="1"/>
      <c r="C910" s="1"/>
      <c r="D910" s="1"/>
      <c r="E910" s="1"/>
      <c r="F910" s="1"/>
      <c r="G910" s="1"/>
      <c r="H910" s="26"/>
      <c r="I910" s="85"/>
    </row>
    <row r="911" spans="1:9" ht="14.25" customHeight="1" x14ac:dyDescent="0.2">
      <c r="A911" s="1"/>
      <c r="B911" s="1"/>
      <c r="C911" s="1"/>
      <c r="D911" s="1"/>
      <c r="E911" s="1"/>
      <c r="F911" s="1"/>
      <c r="G911" s="1"/>
      <c r="H911" s="26"/>
      <c r="I911" s="85"/>
    </row>
    <row r="912" spans="1:9" ht="14.25" customHeight="1" x14ac:dyDescent="0.2">
      <c r="A912" s="1"/>
      <c r="B912" s="1"/>
      <c r="C912" s="1"/>
      <c r="D912" s="1"/>
      <c r="E912" s="1"/>
      <c r="F912" s="1"/>
      <c r="G912" s="1"/>
      <c r="H912" s="26"/>
      <c r="I912" s="85"/>
    </row>
    <row r="913" spans="1:9" ht="14.25" customHeight="1" x14ac:dyDescent="0.2">
      <c r="A913" s="1"/>
      <c r="B913" s="1"/>
      <c r="C913" s="1"/>
      <c r="D913" s="1"/>
      <c r="E913" s="1"/>
      <c r="F913" s="1"/>
      <c r="G913" s="1"/>
      <c r="H913" s="26"/>
      <c r="I913" s="85"/>
    </row>
    <row r="914" spans="1:9" ht="14.25" customHeight="1" x14ac:dyDescent="0.2">
      <c r="A914" s="1"/>
      <c r="B914" s="1"/>
      <c r="C914" s="1"/>
      <c r="D914" s="1"/>
      <c r="E914" s="1"/>
      <c r="F914" s="1"/>
      <c r="G914" s="1"/>
      <c r="H914" s="26"/>
      <c r="I914" s="85"/>
    </row>
    <row r="915" spans="1:9" ht="14.25" customHeight="1" x14ac:dyDescent="0.2">
      <c r="A915" s="1"/>
      <c r="B915" s="1"/>
      <c r="C915" s="1"/>
      <c r="D915" s="1"/>
      <c r="E915" s="1"/>
      <c r="F915" s="1"/>
      <c r="G915" s="1"/>
      <c r="H915" s="26"/>
      <c r="I915" s="85"/>
    </row>
    <row r="916" spans="1:9" ht="14.25" customHeight="1" x14ac:dyDescent="0.2">
      <c r="A916" s="1"/>
      <c r="B916" s="1"/>
      <c r="C916" s="1"/>
      <c r="D916" s="1"/>
      <c r="E916" s="1"/>
      <c r="F916" s="1"/>
      <c r="G916" s="1"/>
      <c r="H916" s="26"/>
      <c r="I916" s="85"/>
    </row>
    <row r="917" spans="1:9" ht="14.25" customHeight="1" x14ac:dyDescent="0.2">
      <c r="A917" s="1"/>
      <c r="B917" s="1"/>
      <c r="C917" s="1"/>
      <c r="D917" s="1"/>
      <c r="E917" s="1"/>
      <c r="F917" s="1"/>
      <c r="G917" s="1"/>
      <c r="H917" s="26"/>
      <c r="I917" s="85"/>
    </row>
    <row r="918" spans="1:9" ht="14.25" customHeight="1" x14ac:dyDescent="0.2">
      <c r="A918" s="1"/>
      <c r="B918" s="1"/>
      <c r="C918" s="1"/>
      <c r="D918" s="1"/>
      <c r="E918" s="1"/>
      <c r="F918" s="1"/>
      <c r="G918" s="1"/>
      <c r="H918" s="26"/>
      <c r="I918" s="85"/>
    </row>
    <row r="919" spans="1:9" ht="14.25" customHeight="1" x14ac:dyDescent="0.2">
      <c r="A919" s="1"/>
      <c r="B919" s="1"/>
      <c r="C919" s="1"/>
      <c r="D919" s="1"/>
      <c r="E919" s="1"/>
      <c r="F919" s="1"/>
      <c r="G919" s="1"/>
      <c r="H919" s="26"/>
      <c r="I919" s="85"/>
    </row>
    <row r="920" spans="1:9" ht="14.25" customHeight="1" x14ac:dyDescent="0.2">
      <c r="A920" s="1"/>
      <c r="B920" s="1"/>
      <c r="C920" s="1"/>
      <c r="D920" s="1"/>
      <c r="E920" s="1"/>
      <c r="F920" s="1"/>
      <c r="G920" s="1"/>
      <c r="H920" s="26"/>
      <c r="I920" s="85"/>
    </row>
    <row r="921" spans="1:9" ht="14.25" customHeight="1" x14ac:dyDescent="0.2">
      <c r="A921" s="1"/>
      <c r="B921" s="1"/>
      <c r="C921" s="1"/>
      <c r="D921" s="1"/>
      <c r="E921" s="1"/>
      <c r="F921" s="1"/>
      <c r="G921" s="1"/>
      <c r="H921" s="26"/>
      <c r="I921" s="85"/>
    </row>
    <row r="922" spans="1:9" ht="14.25" customHeight="1" x14ac:dyDescent="0.2">
      <c r="A922" s="1"/>
      <c r="B922" s="1"/>
      <c r="C922" s="1"/>
      <c r="D922" s="1"/>
      <c r="E922" s="1"/>
      <c r="F922" s="1"/>
      <c r="G922" s="1"/>
      <c r="H922" s="26"/>
      <c r="I922" s="85"/>
    </row>
    <row r="923" spans="1:9" ht="14.25" customHeight="1" x14ac:dyDescent="0.2">
      <c r="A923" s="1"/>
      <c r="B923" s="1"/>
      <c r="C923" s="1"/>
      <c r="D923" s="1"/>
      <c r="E923" s="1"/>
      <c r="F923" s="1"/>
      <c r="G923" s="1"/>
      <c r="H923" s="26"/>
      <c r="I923" s="85"/>
    </row>
    <row r="924" spans="1:9" ht="14.25" customHeight="1" x14ac:dyDescent="0.2">
      <c r="A924" s="1"/>
      <c r="B924" s="1"/>
      <c r="C924" s="1"/>
      <c r="D924" s="1"/>
      <c r="E924" s="1"/>
      <c r="F924" s="1"/>
      <c r="G924" s="1"/>
      <c r="H924" s="26"/>
      <c r="I924" s="85"/>
    </row>
    <row r="925" spans="1:9" ht="14.25" customHeight="1" x14ac:dyDescent="0.2">
      <c r="A925" s="1"/>
      <c r="B925" s="1"/>
      <c r="C925" s="1"/>
      <c r="D925" s="1"/>
      <c r="E925" s="1"/>
      <c r="F925" s="1"/>
      <c r="G925" s="1"/>
      <c r="H925" s="26"/>
      <c r="I925" s="85"/>
    </row>
    <row r="926" spans="1:9" ht="14.25" customHeight="1" x14ac:dyDescent="0.2">
      <c r="A926" s="1"/>
      <c r="B926" s="1"/>
      <c r="C926" s="1"/>
      <c r="D926" s="1"/>
      <c r="E926" s="1"/>
      <c r="F926" s="1"/>
      <c r="G926" s="1"/>
      <c r="H926" s="26"/>
      <c r="I926" s="85"/>
    </row>
    <row r="927" spans="1:9" ht="14.25" customHeight="1" x14ac:dyDescent="0.2">
      <c r="A927" s="1"/>
      <c r="B927" s="1"/>
      <c r="C927" s="1"/>
      <c r="D927" s="1"/>
      <c r="E927" s="1"/>
      <c r="F927" s="1"/>
      <c r="G927" s="1"/>
      <c r="H927" s="26"/>
      <c r="I927" s="85"/>
    </row>
    <row r="928" spans="1:9" ht="14.25" customHeight="1" x14ac:dyDescent="0.2">
      <c r="A928" s="1"/>
      <c r="B928" s="1"/>
      <c r="C928" s="1"/>
      <c r="D928" s="1"/>
      <c r="E928" s="1"/>
      <c r="F928" s="1"/>
      <c r="G928" s="1"/>
      <c r="H928" s="26"/>
      <c r="I928" s="85"/>
    </row>
    <row r="929" spans="1:9" ht="14.25" customHeight="1" x14ac:dyDescent="0.2">
      <c r="A929" s="1"/>
      <c r="B929" s="1"/>
      <c r="C929" s="1"/>
      <c r="D929" s="1"/>
      <c r="E929" s="1"/>
      <c r="F929" s="1"/>
      <c r="G929" s="1"/>
      <c r="H929" s="26"/>
      <c r="I929" s="85"/>
    </row>
    <row r="930" spans="1:9" ht="14.25" customHeight="1" x14ac:dyDescent="0.2">
      <c r="A930" s="1"/>
      <c r="B930" s="1"/>
      <c r="C930" s="1"/>
      <c r="D930" s="1"/>
      <c r="E930" s="1"/>
      <c r="F930" s="1"/>
      <c r="G930" s="1"/>
      <c r="H930" s="26"/>
      <c r="I930" s="85"/>
    </row>
    <row r="931" spans="1:9" ht="14.25" customHeight="1" x14ac:dyDescent="0.2">
      <c r="A931" s="1"/>
      <c r="B931" s="1"/>
      <c r="C931" s="1"/>
      <c r="D931" s="1"/>
      <c r="E931" s="1"/>
      <c r="F931" s="1"/>
      <c r="G931" s="1"/>
      <c r="H931" s="26"/>
      <c r="I931" s="85"/>
    </row>
    <row r="932" spans="1:9" ht="14.25" customHeight="1" x14ac:dyDescent="0.2">
      <c r="A932" s="1"/>
      <c r="B932" s="1"/>
      <c r="C932" s="1"/>
      <c r="D932" s="1"/>
      <c r="E932" s="1"/>
      <c r="F932" s="1"/>
      <c r="G932" s="1"/>
      <c r="H932" s="26"/>
      <c r="I932" s="85"/>
    </row>
    <row r="933" spans="1:9" ht="14.25" customHeight="1" x14ac:dyDescent="0.2">
      <c r="A933" s="1"/>
      <c r="B933" s="1"/>
      <c r="C933" s="1"/>
      <c r="D933" s="1"/>
      <c r="E933" s="1"/>
      <c r="F933" s="1"/>
      <c r="G933" s="1"/>
      <c r="H933" s="26"/>
      <c r="I933" s="85"/>
    </row>
    <row r="934" spans="1:9" ht="14.25" customHeight="1" x14ac:dyDescent="0.2">
      <c r="A934" s="1"/>
      <c r="B934" s="1"/>
      <c r="C934" s="1"/>
      <c r="D934" s="1"/>
      <c r="E934" s="1"/>
      <c r="F934" s="1"/>
      <c r="G934" s="1"/>
      <c r="H934" s="26"/>
      <c r="I934" s="85"/>
    </row>
    <row r="935" spans="1:9" ht="14.25" customHeight="1" x14ac:dyDescent="0.2">
      <c r="A935" s="1"/>
      <c r="B935" s="1"/>
      <c r="C935" s="1"/>
      <c r="D935" s="1"/>
      <c r="E935" s="1"/>
      <c r="F935" s="1"/>
      <c r="G935" s="1"/>
      <c r="H935" s="26"/>
      <c r="I935" s="85"/>
    </row>
    <row r="936" spans="1:9" ht="14.25" customHeight="1" x14ac:dyDescent="0.2">
      <c r="A936" s="1"/>
      <c r="B936" s="1"/>
      <c r="C936" s="1"/>
      <c r="D936" s="1"/>
      <c r="E936" s="1"/>
      <c r="F936" s="1"/>
      <c r="G936" s="1"/>
      <c r="H936" s="26"/>
      <c r="I936" s="85"/>
    </row>
    <row r="937" spans="1:9" ht="14.25" customHeight="1" x14ac:dyDescent="0.2">
      <c r="A937" s="1"/>
      <c r="B937" s="1"/>
      <c r="C937" s="1"/>
      <c r="D937" s="1"/>
      <c r="E937" s="1"/>
      <c r="F937" s="1"/>
      <c r="G937" s="1"/>
      <c r="H937" s="26"/>
      <c r="I937" s="85"/>
    </row>
    <row r="938" spans="1:9" ht="14.25" customHeight="1" x14ac:dyDescent="0.2">
      <c r="A938" s="1"/>
      <c r="B938" s="1"/>
      <c r="C938" s="1"/>
      <c r="D938" s="1"/>
      <c r="E938" s="1"/>
      <c r="F938" s="1"/>
      <c r="G938" s="1"/>
      <c r="H938" s="26"/>
      <c r="I938" s="85"/>
    </row>
    <row r="939" spans="1:9" ht="14.25" customHeight="1" x14ac:dyDescent="0.2">
      <c r="A939" s="1"/>
      <c r="B939" s="1"/>
      <c r="C939" s="1"/>
      <c r="D939" s="1"/>
      <c r="E939" s="1"/>
      <c r="F939" s="1"/>
      <c r="G939" s="1"/>
      <c r="H939" s="26"/>
      <c r="I939" s="85"/>
    </row>
    <row r="940" spans="1:9" ht="14.25" customHeight="1" x14ac:dyDescent="0.2">
      <c r="A940" s="1"/>
      <c r="B940" s="1"/>
      <c r="C940" s="1"/>
      <c r="D940" s="1"/>
      <c r="E940" s="1"/>
      <c r="F940" s="1"/>
      <c r="G940" s="1"/>
      <c r="H940" s="26"/>
      <c r="I940" s="85"/>
    </row>
    <row r="941" spans="1:9" ht="14.25" customHeight="1" x14ac:dyDescent="0.2">
      <c r="A941" s="1"/>
      <c r="B941" s="1"/>
      <c r="C941" s="1"/>
      <c r="D941" s="1"/>
      <c r="E941" s="1"/>
      <c r="F941" s="1"/>
      <c r="G941" s="1"/>
      <c r="H941" s="26"/>
      <c r="I941" s="85"/>
    </row>
    <row r="942" spans="1:9" ht="14.25" customHeight="1" x14ac:dyDescent="0.2">
      <c r="A942" s="1"/>
      <c r="B942" s="1"/>
      <c r="C942" s="1"/>
      <c r="D942" s="1"/>
      <c r="E942" s="1"/>
      <c r="F942" s="1"/>
      <c r="G942" s="1"/>
      <c r="H942" s="26"/>
      <c r="I942" s="85"/>
    </row>
    <row r="943" spans="1:9" ht="14.25" customHeight="1" x14ac:dyDescent="0.2">
      <c r="A943" s="1"/>
      <c r="B943" s="1"/>
      <c r="C943" s="1"/>
      <c r="D943" s="1"/>
      <c r="E943" s="1"/>
      <c r="F943" s="1"/>
      <c r="G943" s="1"/>
      <c r="H943" s="26"/>
      <c r="I943" s="85"/>
    </row>
    <row r="944" spans="1:9" ht="14.25" customHeight="1" x14ac:dyDescent="0.2">
      <c r="A944" s="1"/>
      <c r="B944" s="1"/>
      <c r="C944" s="1"/>
      <c r="D944" s="1"/>
      <c r="E944" s="1"/>
      <c r="F944" s="1"/>
      <c r="G944" s="1"/>
      <c r="H944" s="26"/>
      <c r="I944" s="85"/>
    </row>
    <row r="945" spans="1:9" ht="14.25" customHeight="1" x14ac:dyDescent="0.2">
      <c r="A945" s="1"/>
      <c r="B945" s="1"/>
      <c r="C945" s="1"/>
      <c r="D945" s="1"/>
      <c r="E945" s="1"/>
      <c r="F945" s="1"/>
      <c r="G945" s="1"/>
      <c r="H945" s="26"/>
      <c r="I945" s="85"/>
    </row>
    <row r="946" spans="1:9" ht="14.25" customHeight="1" x14ac:dyDescent="0.2">
      <c r="A946" s="1"/>
      <c r="B946" s="1"/>
      <c r="C946" s="1"/>
      <c r="D946" s="1"/>
      <c r="E946" s="1"/>
      <c r="F946" s="1"/>
      <c r="G946" s="1"/>
      <c r="H946" s="26"/>
      <c r="I946" s="85"/>
    </row>
    <row r="947" spans="1:9" ht="14.25" customHeight="1" x14ac:dyDescent="0.2">
      <c r="A947" s="1"/>
      <c r="B947" s="1"/>
      <c r="C947" s="1"/>
      <c r="D947" s="1"/>
      <c r="E947" s="1"/>
      <c r="F947" s="1"/>
      <c r="G947" s="1"/>
      <c r="H947" s="26"/>
      <c r="I947" s="85"/>
    </row>
    <row r="948" spans="1:9" ht="14.25" customHeight="1" x14ac:dyDescent="0.2">
      <c r="A948" s="1"/>
      <c r="B948" s="1"/>
      <c r="C948" s="1"/>
      <c r="D948" s="1"/>
      <c r="E948" s="1"/>
      <c r="F948" s="1"/>
      <c r="G948" s="1"/>
      <c r="H948" s="26"/>
      <c r="I948" s="85"/>
    </row>
    <row r="949" spans="1:9" ht="14.25" customHeight="1" x14ac:dyDescent="0.2">
      <c r="A949" s="1"/>
      <c r="B949" s="1"/>
      <c r="C949" s="1"/>
      <c r="D949" s="1"/>
      <c r="E949" s="1"/>
      <c r="F949" s="1"/>
      <c r="G949" s="1"/>
      <c r="H949" s="26"/>
      <c r="I949" s="85"/>
    </row>
    <row r="950" spans="1:9" ht="14.25" customHeight="1" x14ac:dyDescent="0.2">
      <c r="A950" s="1"/>
      <c r="B950" s="1"/>
      <c r="C950" s="1"/>
      <c r="D950" s="1"/>
      <c r="E950" s="1"/>
      <c r="F950" s="1"/>
      <c r="G950" s="1"/>
      <c r="H950" s="26"/>
      <c r="I950" s="85"/>
    </row>
    <row r="951" spans="1:9" ht="14.25" customHeight="1" x14ac:dyDescent="0.2">
      <c r="A951" s="1"/>
      <c r="B951" s="1"/>
      <c r="C951" s="1"/>
      <c r="D951" s="1"/>
      <c r="E951" s="1"/>
      <c r="F951" s="1"/>
      <c r="G951" s="1"/>
      <c r="H951" s="26"/>
      <c r="I951" s="85"/>
    </row>
    <row r="952" spans="1:9" ht="14.25" customHeight="1" x14ac:dyDescent="0.2">
      <c r="A952" s="1"/>
      <c r="B952" s="1"/>
      <c r="C952" s="1"/>
      <c r="D952" s="1"/>
      <c r="E952" s="1"/>
      <c r="F952" s="1"/>
      <c r="G952" s="1"/>
      <c r="H952" s="26"/>
      <c r="I952" s="85"/>
    </row>
    <row r="953" spans="1:9" ht="14.25" customHeight="1" x14ac:dyDescent="0.2">
      <c r="A953" s="1"/>
      <c r="B953" s="1"/>
      <c r="C953" s="1"/>
      <c r="D953" s="1"/>
      <c r="E953" s="1"/>
      <c r="F953" s="1"/>
      <c r="G953" s="1"/>
      <c r="H953" s="26"/>
      <c r="I953" s="85"/>
    </row>
    <row r="954" spans="1:9" ht="14.25" customHeight="1" x14ac:dyDescent="0.2">
      <c r="A954" s="1"/>
      <c r="B954" s="1"/>
      <c r="C954" s="1"/>
      <c r="D954" s="1"/>
      <c r="E954" s="1"/>
      <c r="F954" s="1"/>
      <c r="G954" s="1"/>
      <c r="H954" s="26"/>
      <c r="I954" s="85"/>
    </row>
    <row r="955" spans="1:9" ht="14.25" customHeight="1" x14ac:dyDescent="0.2">
      <c r="A955" s="1"/>
      <c r="B955" s="1"/>
      <c r="C955" s="1"/>
      <c r="D955" s="1"/>
      <c r="E955" s="1"/>
      <c r="F955" s="1"/>
      <c r="G955" s="1"/>
      <c r="H955" s="26"/>
      <c r="I955" s="85"/>
    </row>
    <row r="956" spans="1:9" ht="14.25" customHeight="1" x14ac:dyDescent="0.2">
      <c r="A956" s="1"/>
      <c r="B956" s="1"/>
      <c r="C956" s="1"/>
      <c r="D956" s="1"/>
      <c r="E956" s="1"/>
      <c r="F956" s="1"/>
      <c r="G956" s="1"/>
      <c r="H956" s="26"/>
      <c r="I956" s="85"/>
    </row>
    <row r="957" spans="1:9" ht="14.25" customHeight="1" x14ac:dyDescent="0.2">
      <c r="A957" s="1"/>
      <c r="B957" s="1"/>
      <c r="C957" s="1"/>
      <c r="D957" s="1"/>
      <c r="E957" s="1"/>
      <c r="F957" s="1"/>
      <c r="G957" s="1"/>
      <c r="H957" s="26"/>
      <c r="I957" s="85"/>
    </row>
    <row r="958" spans="1:9" ht="14.25" customHeight="1" x14ac:dyDescent="0.2">
      <c r="A958" s="1"/>
      <c r="B958" s="1"/>
      <c r="C958" s="1"/>
      <c r="D958" s="1"/>
      <c r="E958" s="1"/>
      <c r="F958" s="1"/>
      <c r="G958" s="1"/>
      <c r="H958" s="26"/>
      <c r="I958" s="85"/>
    </row>
    <row r="959" spans="1:9" ht="14.25" customHeight="1" x14ac:dyDescent="0.2">
      <c r="A959" s="1"/>
      <c r="B959" s="1"/>
      <c r="C959" s="1"/>
      <c r="D959" s="1"/>
      <c r="E959" s="1"/>
      <c r="F959" s="1"/>
      <c r="G959" s="1"/>
      <c r="H959" s="26"/>
      <c r="I959" s="85"/>
    </row>
    <row r="960" spans="1:9" ht="14.25" customHeight="1" x14ac:dyDescent="0.2">
      <c r="A960" s="1"/>
      <c r="B960" s="1"/>
      <c r="C960" s="1"/>
      <c r="D960" s="1"/>
      <c r="E960" s="1"/>
      <c r="F960" s="1"/>
      <c r="G960" s="1"/>
      <c r="H960" s="26"/>
      <c r="I960" s="85"/>
    </row>
    <row r="961" spans="1:9" ht="14.25" customHeight="1" x14ac:dyDescent="0.2">
      <c r="A961" s="1"/>
      <c r="B961" s="1"/>
      <c r="C961" s="1"/>
      <c r="D961" s="1"/>
      <c r="E961" s="1"/>
      <c r="F961" s="1"/>
      <c r="G961" s="1"/>
      <c r="H961" s="26"/>
      <c r="I961" s="85"/>
    </row>
    <row r="962" spans="1:9" ht="14.25" customHeight="1" x14ac:dyDescent="0.2">
      <c r="A962" s="1"/>
      <c r="B962" s="1"/>
      <c r="C962" s="1"/>
      <c r="D962" s="1"/>
      <c r="E962" s="1"/>
      <c r="F962" s="1"/>
      <c r="G962" s="1"/>
      <c r="H962" s="26"/>
      <c r="I962" s="85"/>
    </row>
    <row r="963" spans="1:9" ht="14.25" customHeight="1" x14ac:dyDescent="0.2">
      <c r="A963" s="1"/>
      <c r="B963" s="1"/>
      <c r="C963" s="1"/>
      <c r="D963" s="1"/>
      <c r="E963" s="1"/>
      <c r="F963" s="1"/>
      <c r="G963" s="1"/>
      <c r="H963" s="26"/>
      <c r="I963" s="85"/>
    </row>
    <row r="964" spans="1:9" ht="14.25" customHeight="1" x14ac:dyDescent="0.2">
      <c r="A964" s="1"/>
      <c r="B964" s="1"/>
      <c r="C964" s="1"/>
      <c r="D964" s="1"/>
      <c r="E964" s="1"/>
      <c r="F964" s="1"/>
      <c r="G964" s="1"/>
      <c r="H964" s="26"/>
      <c r="I964" s="85"/>
    </row>
    <row r="965" spans="1:9" ht="14.25" customHeight="1" x14ac:dyDescent="0.2">
      <c r="A965" s="1"/>
      <c r="B965" s="1"/>
      <c r="C965" s="1"/>
      <c r="D965" s="1"/>
      <c r="E965" s="1"/>
      <c r="F965" s="1"/>
      <c r="G965" s="1"/>
      <c r="H965" s="26"/>
      <c r="I965" s="85"/>
    </row>
    <row r="966" spans="1:9" ht="14.25" customHeight="1" x14ac:dyDescent="0.2">
      <c r="A966" s="1"/>
      <c r="B966" s="1"/>
      <c r="C966" s="1"/>
      <c r="D966" s="1"/>
      <c r="E966" s="1"/>
      <c r="F966" s="1"/>
      <c r="G966" s="1"/>
      <c r="H966" s="26"/>
      <c r="I966" s="85"/>
    </row>
    <row r="967" spans="1:9" ht="14.25" customHeight="1" x14ac:dyDescent="0.2">
      <c r="A967" s="1"/>
      <c r="B967" s="1"/>
      <c r="C967" s="1"/>
      <c r="D967" s="1"/>
      <c r="E967" s="1"/>
      <c r="F967" s="1"/>
      <c r="G967" s="1"/>
      <c r="H967" s="26"/>
      <c r="I967" s="85"/>
    </row>
    <row r="968" spans="1:9" ht="14.25" customHeight="1" x14ac:dyDescent="0.2">
      <c r="A968" s="1"/>
      <c r="B968" s="1"/>
      <c r="C968" s="1"/>
      <c r="D968" s="1"/>
      <c r="E968" s="1"/>
      <c r="F968" s="1"/>
      <c r="G968" s="1"/>
      <c r="H968" s="26"/>
      <c r="I968" s="85"/>
    </row>
    <row r="969" spans="1:9" ht="14.25" customHeight="1" x14ac:dyDescent="0.2">
      <c r="A969" s="1"/>
      <c r="B969" s="1"/>
      <c r="C969" s="1"/>
      <c r="D969" s="1"/>
      <c r="E969" s="1"/>
      <c r="F969" s="1"/>
      <c r="G969" s="1"/>
      <c r="H969" s="26"/>
      <c r="I969" s="85"/>
    </row>
    <row r="970" spans="1:9" ht="14.25" customHeight="1" x14ac:dyDescent="0.2">
      <c r="A970" s="1"/>
      <c r="B970" s="1"/>
      <c r="C970" s="1"/>
      <c r="D970" s="1"/>
      <c r="E970" s="1"/>
      <c r="F970" s="1"/>
      <c r="G970" s="1"/>
      <c r="H970" s="26"/>
      <c r="I970" s="85"/>
    </row>
    <row r="971" spans="1:9" ht="14.25" customHeight="1" x14ac:dyDescent="0.2">
      <c r="A971" s="1"/>
      <c r="B971" s="1"/>
      <c r="C971" s="1"/>
      <c r="D971" s="1"/>
      <c r="E971" s="1"/>
      <c r="F971" s="1"/>
      <c r="G971" s="1"/>
      <c r="H971" s="26"/>
      <c r="I971" s="85"/>
    </row>
    <row r="972" spans="1:9" ht="14.25" customHeight="1" x14ac:dyDescent="0.2">
      <c r="A972" s="1"/>
      <c r="B972" s="1"/>
      <c r="C972" s="1"/>
      <c r="D972" s="1"/>
      <c r="E972" s="1"/>
      <c r="F972" s="1"/>
      <c r="G972" s="1"/>
      <c r="H972" s="26"/>
      <c r="I972" s="85"/>
    </row>
    <row r="973" spans="1:9" ht="14.25" customHeight="1" x14ac:dyDescent="0.2">
      <c r="A973" s="1"/>
      <c r="B973" s="1"/>
      <c r="C973" s="1"/>
      <c r="D973" s="1"/>
      <c r="E973" s="1"/>
      <c r="F973" s="1"/>
      <c r="G973" s="1"/>
      <c r="H973" s="26"/>
      <c r="I973" s="85"/>
    </row>
    <row r="974" spans="1:9" ht="14.25" customHeight="1" x14ac:dyDescent="0.2">
      <c r="A974" s="1"/>
      <c r="B974" s="1"/>
      <c r="C974" s="1"/>
      <c r="D974" s="1"/>
      <c r="E974" s="1"/>
      <c r="F974" s="1"/>
      <c r="G974" s="1"/>
      <c r="H974" s="26"/>
      <c r="I974" s="85"/>
    </row>
    <row r="975" spans="1:9" ht="14.25" customHeight="1" x14ac:dyDescent="0.2">
      <c r="A975" s="1"/>
      <c r="B975" s="1"/>
      <c r="C975" s="1"/>
      <c r="D975" s="1"/>
      <c r="E975" s="1"/>
      <c r="F975" s="1"/>
      <c r="G975" s="1"/>
      <c r="H975" s="26"/>
      <c r="I975" s="85"/>
    </row>
    <row r="976" spans="1:9" ht="14.25" customHeight="1" x14ac:dyDescent="0.2">
      <c r="A976" s="1"/>
      <c r="B976" s="1"/>
      <c r="C976" s="1"/>
      <c r="D976" s="1"/>
      <c r="E976" s="1"/>
      <c r="F976" s="1"/>
      <c r="G976" s="1"/>
      <c r="H976" s="26"/>
      <c r="I976" s="85"/>
    </row>
    <row r="977" spans="1:9" ht="14.25" customHeight="1" x14ac:dyDescent="0.2">
      <c r="A977" s="1"/>
      <c r="B977" s="1"/>
      <c r="C977" s="1"/>
      <c r="D977" s="1"/>
      <c r="E977" s="1"/>
      <c r="F977" s="1"/>
      <c r="G977" s="1"/>
      <c r="H977" s="26"/>
      <c r="I977" s="85"/>
    </row>
    <row r="978" spans="1:9" ht="14.25" customHeight="1" x14ac:dyDescent="0.2">
      <c r="A978" s="1"/>
      <c r="B978" s="1"/>
      <c r="C978" s="1"/>
      <c r="D978" s="1"/>
      <c r="E978" s="1"/>
      <c r="F978" s="1"/>
      <c r="G978" s="1"/>
      <c r="H978" s="26"/>
      <c r="I978" s="85"/>
    </row>
    <row r="979" spans="1:9" ht="14.25" customHeight="1" x14ac:dyDescent="0.2">
      <c r="A979" s="1"/>
      <c r="B979" s="1"/>
      <c r="C979" s="1"/>
      <c r="D979" s="1"/>
      <c r="E979" s="1"/>
      <c r="F979" s="1"/>
      <c r="G979" s="1"/>
      <c r="H979" s="26"/>
      <c r="I979" s="85"/>
    </row>
    <row r="980" spans="1:9" ht="14.25" customHeight="1" x14ac:dyDescent="0.2">
      <c r="A980" s="1"/>
      <c r="B980" s="1"/>
      <c r="C980" s="1"/>
      <c r="D980" s="1"/>
      <c r="E980" s="1"/>
      <c r="F980" s="1"/>
      <c r="G980" s="1"/>
      <c r="H980" s="26"/>
      <c r="I980" s="85"/>
    </row>
    <row r="981" spans="1:9" ht="14.25" customHeight="1" x14ac:dyDescent="0.2">
      <c r="A981" s="1"/>
      <c r="B981" s="1"/>
      <c r="C981" s="1"/>
      <c r="D981" s="1"/>
      <c r="E981" s="1"/>
      <c r="F981" s="1"/>
      <c r="G981" s="1"/>
      <c r="H981" s="26"/>
      <c r="I981" s="85"/>
    </row>
    <row r="982" spans="1:9" ht="14.25" customHeight="1" x14ac:dyDescent="0.2">
      <c r="A982" s="1"/>
      <c r="B982" s="1"/>
      <c r="C982" s="1"/>
      <c r="D982" s="1"/>
      <c r="E982" s="1"/>
      <c r="F982" s="1"/>
      <c r="G982" s="1"/>
      <c r="H982" s="26"/>
      <c r="I982" s="85"/>
    </row>
    <row r="983" spans="1:9" ht="14.25" customHeight="1" x14ac:dyDescent="0.2">
      <c r="A983" s="1"/>
      <c r="B983" s="1"/>
      <c r="C983" s="1"/>
      <c r="D983" s="1"/>
      <c r="E983" s="1"/>
      <c r="F983" s="1"/>
      <c r="G983" s="1"/>
      <c r="H983" s="26"/>
      <c r="I983" s="85"/>
    </row>
    <row r="984" spans="1:9" ht="14.25" customHeight="1" x14ac:dyDescent="0.2">
      <c r="A984" s="1"/>
      <c r="B984" s="1"/>
      <c r="C984" s="1"/>
      <c r="D984" s="1"/>
      <c r="E984" s="1"/>
      <c r="F984" s="1"/>
      <c r="G984" s="1"/>
      <c r="H984" s="26"/>
      <c r="I984" s="85"/>
    </row>
    <row r="985" spans="1:9" ht="14.25" customHeight="1" x14ac:dyDescent="0.2">
      <c r="A985" s="1"/>
      <c r="B985" s="1"/>
      <c r="C985" s="1"/>
      <c r="D985" s="1"/>
      <c r="E985" s="1"/>
      <c r="F985" s="1"/>
      <c r="G985" s="1"/>
      <c r="H985" s="26"/>
      <c r="I985" s="85"/>
    </row>
    <row r="986" spans="1:9" ht="14.25" customHeight="1" x14ac:dyDescent="0.2">
      <c r="A986" s="1"/>
      <c r="B986" s="1"/>
      <c r="C986" s="1"/>
      <c r="D986" s="1"/>
      <c r="E986" s="1"/>
      <c r="F986" s="1"/>
      <c r="G986" s="1"/>
      <c r="H986" s="26"/>
      <c r="I986" s="85"/>
    </row>
    <row r="987" spans="1:9" ht="14.25" customHeight="1" x14ac:dyDescent="0.2">
      <c r="A987" s="1"/>
      <c r="B987" s="1"/>
      <c r="C987" s="1"/>
      <c r="D987" s="1"/>
      <c r="E987" s="1"/>
      <c r="F987" s="1"/>
      <c r="G987" s="1"/>
      <c r="H987" s="26"/>
      <c r="I987" s="85"/>
    </row>
    <row r="988" spans="1:9" ht="14.25" customHeight="1" x14ac:dyDescent="0.2">
      <c r="A988" s="1"/>
      <c r="B988" s="1"/>
      <c r="C988" s="1"/>
      <c r="D988" s="1"/>
      <c r="E988" s="1"/>
      <c r="F988" s="1"/>
      <c r="G988" s="1"/>
      <c r="H988" s="26"/>
      <c r="I988" s="85"/>
    </row>
    <row r="989" spans="1:9" ht="14.25" customHeight="1" x14ac:dyDescent="0.2">
      <c r="A989" s="1"/>
      <c r="B989" s="1"/>
      <c r="C989" s="1"/>
      <c r="D989" s="1"/>
      <c r="E989" s="1"/>
      <c r="F989" s="1"/>
      <c r="G989" s="1"/>
      <c r="H989" s="26"/>
      <c r="I989" s="85"/>
    </row>
    <row r="990" spans="1:9" ht="14.25" customHeight="1" x14ac:dyDescent="0.2">
      <c r="A990" s="1"/>
      <c r="B990" s="1"/>
      <c r="C990" s="1"/>
      <c r="D990" s="1"/>
      <c r="E990" s="1"/>
      <c r="F990" s="1"/>
      <c r="G990" s="1"/>
      <c r="H990" s="26"/>
      <c r="I990" s="85"/>
    </row>
    <row r="991" spans="1:9" ht="14.25" customHeight="1" x14ac:dyDescent="0.2">
      <c r="A991" s="1"/>
      <c r="B991" s="1"/>
      <c r="C991" s="1"/>
      <c r="D991" s="1"/>
      <c r="E991" s="1"/>
      <c r="F991" s="1"/>
      <c r="G991" s="1"/>
      <c r="H991" s="26"/>
      <c r="I991" s="85"/>
    </row>
    <row r="992" spans="1:9" ht="14.25" customHeight="1" x14ac:dyDescent="0.2">
      <c r="A992" s="1"/>
      <c r="B992" s="1"/>
      <c r="C992" s="1"/>
      <c r="D992" s="1"/>
      <c r="E992" s="1"/>
      <c r="F992" s="1"/>
      <c r="G992" s="1"/>
      <c r="H992" s="26"/>
      <c r="I992" s="85"/>
    </row>
    <row r="993" spans="1:9" ht="14.25" customHeight="1" x14ac:dyDescent="0.2">
      <c r="A993" s="1"/>
      <c r="B993" s="1"/>
      <c r="C993" s="1"/>
      <c r="D993" s="1"/>
      <c r="E993" s="1"/>
      <c r="F993" s="1"/>
      <c r="G993" s="1"/>
      <c r="H993" s="26"/>
      <c r="I993" s="85"/>
    </row>
    <row r="994" spans="1:9" ht="14.25" customHeight="1" x14ac:dyDescent="0.2">
      <c r="A994" s="1"/>
      <c r="B994" s="1"/>
      <c r="C994" s="1"/>
      <c r="D994" s="1"/>
      <c r="E994" s="1"/>
      <c r="F994" s="1"/>
      <c r="G994" s="1"/>
      <c r="H994" s="26"/>
      <c r="I994" s="85"/>
    </row>
    <row r="995" spans="1:9" ht="14.25" customHeight="1" x14ac:dyDescent="0.2">
      <c r="A995" s="1"/>
      <c r="B995" s="1"/>
      <c r="C995" s="1"/>
      <c r="D995" s="1"/>
      <c r="E995" s="1"/>
      <c r="F995" s="1"/>
      <c r="G995" s="1"/>
      <c r="H995" s="26"/>
      <c r="I995" s="85"/>
    </row>
    <row r="996" spans="1:9" ht="14.25" customHeight="1" x14ac:dyDescent="0.2">
      <c r="A996" s="1"/>
      <c r="B996" s="1"/>
      <c r="C996" s="1"/>
      <c r="D996" s="1"/>
      <c r="E996" s="1"/>
      <c r="F996" s="1"/>
      <c r="G996" s="1"/>
      <c r="H996" s="26"/>
      <c r="I996" s="85"/>
    </row>
    <row r="997" spans="1:9" ht="14.25" customHeight="1" x14ac:dyDescent="0.2">
      <c r="A997" s="1"/>
      <c r="B997" s="1"/>
      <c r="C997" s="1"/>
      <c r="D997" s="1"/>
      <c r="E997" s="1"/>
      <c r="F997" s="1"/>
      <c r="G997" s="1"/>
      <c r="H997" s="26"/>
      <c r="I997" s="85"/>
    </row>
    <row r="998" spans="1:9" ht="14.25" customHeight="1" x14ac:dyDescent="0.2">
      <c r="A998" s="1"/>
      <c r="B998" s="1"/>
      <c r="C998" s="1"/>
      <c r="D998" s="1"/>
      <c r="E998" s="1"/>
      <c r="F998" s="1"/>
      <c r="G998" s="1"/>
      <c r="H998" s="26"/>
      <c r="I998" s="85"/>
    </row>
    <row r="999" spans="1:9" ht="14.25" customHeight="1" x14ac:dyDescent="0.2">
      <c r="A999" s="1"/>
      <c r="B999" s="1"/>
      <c r="C999" s="1"/>
      <c r="D999" s="1"/>
      <c r="E999" s="1"/>
      <c r="F999" s="1"/>
      <c r="G999" s="1"/>
      <c r="H999" s="26"/>
      <c r="I999" s="85"/>
    </row>
    <row r="1000" spans="1:9" ht="14.25" customHeight="1" x14ac:dyDescent="0.2">
      <c r="A1000" s="1"/>
      <c r="B1000" s="1"/>
      <c r="C1000" s="1"/>
      <c r="D1000" s="1"/>
      <c r="E1000" s="1"/>
      <c r="F1000" s="1"/>
      <c r="G1000" s="1"/>
      <c r="H1000" s="26"/>
      <c r="I1000" s="85"/>
    </row>
  </sheetData>
  <mergeCells count="6">
    <mergeCell ref="A40:A44"/>
    <mergeCell ref="A4:A8"/>
    <mergeCell ref="H4:H8"/>
    <mergeCell ref="A13:A17"/>
    <mergeCell ref="A22:A26"/>
    <mergeCell ref="A31:A35"/>
  </mergeCells>
  <pageMargins left="0.7" right="0.7" top="0.75" bottom="0.75" header="0" footer="0"/>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EE0000"/>
  </sheetPr>
  <dimension ref="A1:AN1001"/>
  <sheetViews>
    <sheetView showGridLines="0" workbookViewId="0">
      <pane xSplit="3" ySplit="3" topLeftCell="D4" activePane="bottomRight" state="frozen"/>
      <selection pane="topRight" activeCell="D1" sqref="D1"/>
      <selection pane="bottomLeft" activeCell="A4" sqref="A4"/>
      <selection pane="bottomRight" activeCell="D62" sqref="D62:P62"/>
    </sheetView>
  </sheetViews>
  <sheetFormatPr baseColWidth="10" defaultColWidth="14.5" defaultRowHeight="15" customHeight="1" outlineLevelRow="1" x14ac:dyDescent="0.2"/>
  <cols>
    <col min="1" max="1" width="2.6640625" customWidth="1"/>
    <col min="2" max="2" width="54.6640625" customWidth="1"/>
    <col min="3" max="3" width="31.33203125" customWidth="1"/>
    <col min="4" max="4" width="16.6640625" customWidth="1"/>
    <col min="5" max="6" width="15.33203125" customWidth="1"/>
    <col min="7" max="15" width="15.83203125" customWidth="1"/>
    <col min="16" max="16" width="16.5" customWidth="1"/>
    <col min="17" max="17" width="14" customWidth="1"/>
    <col min="18" max="40" width="16.5" customWidth="1"/>
  </cols>
  <sheetData>
    <row r="1" spans="2:40" ht="14.25" customHeight="1" x14ac:dyDescent="0.2">
      <c r="C1" s="15"/>
      <c r="D1" s="16">
        <v>1</v>
      </c>
      <c r="E1" s="16">
        <f t="shared" ref="E1:P1" si="0">D1+1</f>
        <v>2</v>
      </c>
      <c r="F1" s="16">
        <f t="shared" si="0"/>
        <v>3</v>
      </c>
      <c r="G1" s="16">
        <f t="shared" si="0"/>
        <v>4</v>
      </c>
      <c r="H1" s="16">
        <f t="shared" si="0"/>
        <v>5</v>
      </c>
      <c r="I1" s="16">
        <f t="shared" si="0"/>
        <v>6</v>
      </c>
      <c r="J1" s="16">
        <f t="shared" si="0"/>
        <v>7</v>
      </c>
      <c r="K1" s="16">
        <f t="shared" si="0"/>
        <v>8</v>
      </c>
      <c r="L1" s="16">
        <f t="shared" si="0"/>
        <v>9</v>
      </c>
      <c r="M1" s="16">
        <f t="shared" si="0"/>
        <v>10</v>
      </c>
      <c r="N1" s="16">
        <f t="shared" si="0"/>
        <v>11</v>
      </c>
      <c r="O1" s="16">
        <f t="shared" si="0"/>
        <v>12</v>
      </c>
      <c r="P1" s="16">
        <f t="shared" si="0"/>
        <v>13</v>
      </c>
      <c r="Q1" s="17" t="s">
        <v>503</v>
      </c>
    </row>
    <row r="2" spans="2:40" ht="14.25" customHeight="1" x14ac:dyDescent="0.2">
      <c r="B2" s="18" t="s">
        <v>504</v>
      </c>
      <c r="C2" s="19" t="s">
        <v>273</v>
      </c>
      <c r="D2" s="20" t="str">
        <f t="shared" ref="D2:P2" si="1">"Week"&amp;" "&amp;D1</f>
        <v>Week 1</v>
      </c>
      <c r="E2" s="20" t="str">
        <f t="shared" si="1"/>
        <v>Week 2</v>
      </c>
      <c r="F2" s="20" t="str">
        <f t="shared" si="1"/>
        <v>Week 3</v>
      </c>
      <c r="G2" s="20" t="str">
        <f t="shared" si="1"/>
        <v>Week 4</v>
      </c>
      <c r="H2" s="20" t="str">
        <f t="shared" si="1"/>
        <v>Week 5</v>
      </c>
      <c r="I2" s="20" t="str">
        <f t="shared" si="1"/>
        <v>Week 6</v>
      </c>
      <c r="J2" s="20" t="str">
        <f t="shared" si="1"/>
        <v>Week 7</v>
      </c>
      <c r="K2" s="20" t="str">
        <f t="shared" si="1"/>
        <v>Week 8</v>
      </c>
      <c r="L2" s="20" t="str">
        <f t="shared" si="1"/>
        <v>Week 9</v>
      </c>
      <c r="M2" s="20" t="str">
        <f t="shared" si="1"/>
        <v>Week 10</v>
      </c>
      <c r="N2" s="20" t="str">
        <f t="shared" si="1"/>
        <v>Week 11</v>
      </c>
      <c r="O2" s="20" t="str">
        <f t="shared" si="1"/>
        <v>Week 12</v>
      </c>
      <c r="P2" s="20" t="str">
        <f t="shared" si="1"/>
        <v>Week 13</v>
      </c>
      <c r="R2" s="20" t="str">
        <f t="shared" ref="R2:AN2" si="2">"Week"&amp;" "&amp;R1</f>
        <v xml:space="preserve">Week </v>
      </c>
      <c r="S2" s="20" t="str">
        <f t="shared" si="2"/>
        <v xml:space="preserve">Week </v>
      </c>
      <c r="T2" s="20" t="str">
        <f t="shared" si="2"/>
        <v xml:space="preserve">Week </v>
      </c>
      <c r="U2" s="20" t="str">
        <f t="shared" si="2"/>
        <v xml:space="preserve">Week </v>
      </c>
      <c r="V2" s="20" t="str">
        <f t="shared" si="2"/>
        <v xml:space="preserve">Week </v>
      </c>
      <c r="W2" s="20" t="str">
        <f t="shared" si="2"/>
        <v xml:space="preserve">Week </v>
      </c>
      <c r="X2" s="20" t="str">
        <f t="shared" si="2"/>
        <v xml:space="preserve">Week </v>
      </c>
      <c r="Y2" s="20" t="str">
        <f t="shared" si="2"/>
        <v xml:space="preserve">Week </v>
      </c>
      <c r="Z2" s="20" t="str">
        <f t="shared" si="2"/>
        <v xml:space="preserve">Week </v>
      </c>
      <c r="AA2" s="20" t="str">
        <f t="shared" si="2"/>
        <v xml:space="preserve">Week </v>
      </c>
      <c r="AB2" s="20" t="str">
        <f t="shared" si="2"/>
        <v xml:space="preserve">Week </v>
      </c>
      <c r="AC2" s="20" t="str">
        <f t="shared" si="2"/>
        <v xml:space="preserve">Week </v>
      </c>
      <c r="AD2" s="20" t="str">
        <f t="shared" si="2"/>
        <v xml:space="preserve">Week </v>
      </c>
      <c r="AE2" s="20" t="str">
        <f t="shared" si="2"/>
        <v xml:space="preserve">Week </v>
      </c>
      <c r="AF2" s="20" t="str">
        <f t="shared" si="2"/>
        <v xml:space="preserve">Week </v>
      </c>
      <c r="AG2" s="20" t="str">
        <f t="shared" si="2"/>
        <v xml:space="preserve">Week </v>
      </c>
      <c r="AH2" s="20" t="str">
        <f t="shared" si="2"/>
        <v xml:space="preserve">Week </v>
      </c>
      <c r="AI2" s="20" t="str">
        <f t="shared" si="2"/>
        <v xml:space="preserve">Week </v>
      </c>
      <c r="AJ2" s="20" t="str">
        <f t="shared" si="2"/>
        <v xml:space="preserve">Week </v>
      </c>
      <c r="AK2" s="20" t="str">
        <f t="shared" si="2"/>
        <v xml:space="preserve">Week </v>
      </c>
      <c r="AL2" s="20" t="str">
        <f t="shared" si="2"/>
        <v xml:space="preserve">Week </v>
      </c>
      <c r="AM2" s="20" t="str">
        <f t="shared" si="2"/>
        <v xml:space="preserve">Week </v>
      </c>
      <c r="AN2" s="20" t="str">
        <f t="shared" si="2"/>
        <v xml:space="preserve">Week </v>
      </c>
    </row>
    <row r="3" spans="2:40" ht="14.25" customHeight="1" x14ac:dyDescent="0.2">
      <c r="B3" s="18"/>
      <c r="C3" s="19" t="s">
        <v>218</v>
      </c>
      <c r="D3" s="21">
        <f>'CURRENT FORECAST START DATE'!C4</f>
        <v>45971</v>
      </c>
      <c r="E3" s="21">
        <f t="shared" ref="E3:P3" si="3">D3+7</f>
        <v>45978</v>
      </c>
      <c r="F3" s="21">
        <f t="shared" si="3"/>
        <v>45985</v>
      </c>
      <c r="G3" s="21">
        <f t="shared" si="3"/>
        <v>45992</v>
      </c>
      <c r="H3" s="21">
        <f t="shared" si="3"/>
        <v>45999</v>
      </c>
      <c r="I3" s="21">
        <f t="shared" si="3"/>
        <v>46006</v>
      </c>
      <c r="J3" s="21">
        <f t="shared" si="3"/>
        <v>46013</v>
      </c>
      <c r="K3" s="21">
        <f t="shared" si="3"/>
        <v>46020</v>
      </c>
      <c r="L3" s="21">
        <f t="shared" si="3"/>
        <v>46027</v>
      </c>
      <c r="M3" s="21">
        <f t="shared" si="3"/>
        <v>46034</v>
      </c>
      <c r="N3" s="21">
        <f t="shared" si="3"/>
        <v>46041</v>
      </c>
      <c r="O3" s="21">
        <f t="shared" si="3"/>
        <v>46048</v>
      </c>
      <c r="P3" s="21">
        <f t="shared" si="3"/>
        <v>46055</v>
      </c>
      <c r="R3" s="21">
        <f>P3+7</f>
        <v>46062</v>
      </c>
      <c r="S3" s="21">
        <f t="shared" ref="S3:AN3" si="4">R3+7</f>
        <v>46069</v>
      </c>
      <c r="T3" s="21">
        <f t="shared" si="4"/>
        <v>46076</v>
      </c>
      <c r="U3" s="21">
        <f t="shared" si="4"/>
        <v>46083</v>
      </c>
      <c r="V3" s="21">
        <f t="shared" si="4"/>
        <v>46090</v>
      </c>
      <c r="W3" s="21">
        <f t="shared" si="4"/>
        <v>46097</v>
      </c>
      <c r="X3" s="21">
        <f t="shared" si="4"/>
        <v>46104</v>
      </c>
      <c r="Y3" s="21">
        <f t="shared" si="4"/>
        <v>46111</v>
      </c>
      <c r="Z3" s="21">
        <f t="shared" si="4"/>
        <v>46118</v>
      </c>
      <c r="AA3" s="21">
        <f t="shared" si="4"/>
        <v>46125</v>
      </c>
      <c r="AB3" s="21">
        <f t="shared" si="4"/>
        <v>46132</v>
      </c>
      <c r="AC3" s="21">
        <f t="shared" si="4"/>
        <v>46139</v>
      </c>
      <c r="AD3" s="21">
        <f t="shared" si="4"/>
        <v>46146</v>
      </c>
      <c r="AE3" s="21">
        <f t="shared" si="4"/>
        <v>46153</v>
      </c>
      <c r="AF3" s="21">
        <f t="shared" si="4"/>
        <v>46160</v>
      </c>
      <c r="AG3" s="21">
        <f t="shared" si="4"/>
        <v>46167</v>
      </c>
      <c r="AH3" s="21">
        <f t="shared" si="4"/>
        <v>46174</v>
      </c>
      <c r="AI3" s="21">
        <f t="shared" si="4"/>
        <v>46181</v>
      </c>
      <c r="AJ3" s="21">
        <f t="shared" si="4"/>
        <v>46188</v>
      </c>
      <c r="AK3" s="21">
        <f t="shared" si="4"/>
        <v>46195</v>
      </c>
      <c r="AL3" s="21">
        <f t="shared" si="4"/>
        <v>46202</v>
      </c>
      <c r="AM3" s="21">
        <f t="shared" si="4"/>
        <v>46209</v>
      </c>
      <c r="AN3" s="21">
        <f t="shared" si="4"/>
        <v>46216</v>
      </c>
    </row>
    <row r="4" spans="2:40" ht="14.25" customHeight="1" x14ac:dyDescent="0.2">
      <c r="B4" s="22" t="s">
        <v>2</v>
      </c>
      <c r="C4" s="198"/>
      <c r="D4" s="23"/>
      <c r="E4" s="23"/>
      <c r="F4" s="23"/>
      <c r="G4" s="23"/>
      <c r="H4" s="23"/>
      <c r="I4" s="23"/>
      <c r="J4" s="23"/>
      <c r="K4" s="23"/>
      <c r="L4" s="23"/>
      <c r="M4" s="23"/>
      <c r="N4" s="23"/>
      <c r="O4" s="23"/>
      <c r="P4" s="23"/>
      <c r="R4" s="23"/>
      <c r="S4" s="23"/>
      <c r="T4" s="23"/>
      <c r="U4" s="23"/>
      <c r="V4" s="23"/>
      <c r="W4" s="23"/>
      <c r="X4" s="23"/>
      <c r="Y4" s="23"/>
      <c r="Z4" s="23"/>
      <c r="AA4" s="23"/>
      <c r="AB4" s="23"/>
      <c r="AC4" s="23"/>
      <c r="AD4" s="23"/>
      <c r="AE4" s="23"/>
      <c r="AF4" s="23"/>
      <c r="AG4" s="23"/>
      <c r="AH4" s="23"/>
      <c r="AI4" s="23"/>
      <c r="AJ4" s="23"/>
      <c r="AK4" s="23"/>
      <c r="AL4" s="23"/>
      <c r="AM4" s="23"/>
      <c r="AN4" s="23"/>
    </row>
    <row r="5" spans="2:40" ht="14.25" customHeight="1" x14ac:dyDescent="0.2">
      <c r="B5" s="24" t="s">
        <v>3</v>
      </c>
      <c r="C5" s="199"/>
      <c r="D5" s="25"/>
      <c r="E5" s="25"/>
      <c r="F5" s="25"/>
      <c r="G5" s="25"/>
      <c r="H5" s="25"/>
      <c r="I5" s="25"/>
      <c r="J5" s="25"/>
      <c r="K5" s="25"/>
      <c r="L5" s="25"/>
      <c r="M5" s="25"/>
      <c r="N5" s="25"/>
      <c r="O5" s="25"/>
      <c r="P5" s="25"/>
      <c r="R5" s="25"/>
      <c r="S5" s="25"/>
      <c r="T5" s="25"/>
      <c r="U5" s="25"/>
      <c r="V5" s="25"/>
      <c r="W5" s="25"/>
      <c r="X5" s="25"/>
      <c r="Y5" s="25"/>
      <c r="Z5" s="25"/>
      <c r="AA5" s="25"/>
      <c r="AB5" s="25"/>
      <c r="AC5" s="25"/>
      <c r="AD5" s="25"/>
      <c r="AE5" s="25"/>
      <c r="AF5" s="25"/>
      <c r="AG5" s="25"/>
      <c r="AH5" s="25"/>
      <c r="AI5" s="25"/>
      <c r="AJ5" s="25"/>
      <c r="AK5" s="25"/>
      <c r="AL5" s="25"/>
      <c r="AM5" s="25"/>
      <c r="AN5" s="25"/>
    </row>
    <row r="6" spans="2:40" ht="14.25" customHeight="1" x14ac:dyDescent="0.2">
      <c r="B6" s="26" t="s">
        <v>4</v>
      </c>
      <c r="C6" s="15" t="s">
        <v>219</v>
      </c>
      <c r="D6" s="80">
        <f>'Cash in detail'!K30</f>
        <v>56250</v>
      </c>
      <c r="E6" s="80">
        <f>'Cash in detail'!L30</f>
        <v>56250</v>
      </c>
      <c r="F6" s="80">
        <f>'Cash in detail'!M30</f>
        <v>80000</v>
      </c>
      <c r="G6" s="80">
        <f>'Cash in detail'!N30</f>
        <v>80000</v>
      </c>
      <c r="H6" s="80">
        <f>'Cash in detail'!O30</f>
        <v>80000</v>
      </c>
      <c r="I6" s="80">
        <f>'Cash in detail'!P30</f>
        <v>80000</v>
      </c>
      <c r="J6" s="80">
        <f>'Cash in detail'!Q30</f>
        <v>125000</v>
      </c>
      <c r="K6" s="80">
        <f>'Cash in detail'!R30</f>
        <v>125000</v>
      </c>
      <c r="L6" s="80">
        <f>'Cash in detail'!S30</f>
        <v>125000</v>
      </c>
      <c r="M6" s="80">
        <f>'Cash in detail'!T30</f>
        <v>125000</v>
      </c>
      <c r="N6" s="80">
        <f>'Cash in detail'!U30</f>
        <v>212500</v>
      </c>
      <c r="O6" s="80">
        <f>'Cash in detail'!V30</f>
        <v>212500</v>
      </c>
      <c r="P6" s="80">
        <f>'Cash in detail'!W30</f>
        <v>212500</v>
      </c>
      <c r="R6" s="80">
        <f>'Cash in detail'!X30</f>
        <v>212500</v>
      </c>
      <c r="S6" s="80">
        <f>'Cash in detail'!Y30</f>
        <v>225000</v>
      </c>
      <c r="T6" s="80">
        <f>'Cash in detail'!Z30</f>
        <v>225000</v>
      </c>
      <c r="U6" s="80">
        <f>'Cash in detail'!AA30</f>
        <v>225000</v>
      </c>
      <c r="V6" s="80">
        <f>'Cash in detail'!AB30</f>
        <v>225000</v>
      </c>
      <c r="W6" s="80">
        <f>'Cash in detail'!AC30</f>
        <v>250000</v>
      </c>
      <c r="X6" s="80">
        <f>'Cash in detail'!AD30</f>
        <v>250000</v>
      </c>
      <c r="Y6" s="80">
        <f>'Cash in detail'!AE30</f>
        <v>250000</v>
      </c>
      <c r="Z6" s="80">
        <f>'Cash in detail'!AF30</f>
        <v>250000</v>
      </c>
      <c r="AA6" s="80">
        <f>'Cash in detail'!AG30</f>
        <v>125000</v>
      </c>
      <c r="AB6" s="80">
        <f>'Cash in detail'!AH30</f>
        <v>125000</v>
      </c>
      <c r="AC6" s="108">
        <f>_xlfn.XLOOKUP(AC3, 'Cash in detail'!$G$5:$CU$5, 'Cash in detail'!$G$8:$CU$8)</f>
        <v>857127.77435000008</v>
      </c>
      <c r="AD6" s="108">
        <f>_xlfn.XLOOKUP(AD3, 'Cash in detail'!$G$5:$CU$5, 'Cash in detail'!$G$8:$CU$8)</f>
        <v>1437228.3051875001</v>
      </c>
      <c r="AE6" s="108">
        <f>_xlfn.XLOOKUP(AE3, 'Cash in detail'!$G$5:$CU$5, 'Cash in detail'!$G$8:$CU$8)</f>
        <v>1437228.3051875001</v>
      </c>
      <c r="AF6" s="108">
        <f>_xlfn.XLOOKUP(AF3, 'Cash in detail'!$G$5:$CU$5, 'Cash in detail'!$G$8:$CU$8)</f>
        <v>1437228.3051875001</v>
      </c>
      <c r="AG6" s="108">
        <f>_xlfn.XLOOKUP(AG3, 'Cash in detail'!$G$5:$CU$5, 'Cash in detail'!$G$8:$CU$8)</f>
        <v>1437228.3051875001</v>
      </c>
      <c r="AH6" s="108">
        <f>_xlfn.XLOOKUP(AH3, 'Cash in detail'!$G$5:$CU$5, 'Cash in detail'!$G$8:$CU$8)</f>
        <v>1414237.5509299999</v>
      </c>
      <c r="AI6" s="108">
        <f>_xlfn.XLOOKUP(AI3, 'Cash in detail'!$G$5:$CU$5, 'Cash in detail'!$G$8:$CU$8)</f>
        <v>1414237.5509299999</v>
      </c>
      <c r="AJ6" s="108">
        <f>_xlfn.XLOOKUP(AJ3, 'Cash in detail'!$G$5:$CU$5, 'Cash in detail'!$G$8:$CU$8)</f>
        <v>1414237.5509299999</v>
      </c>
      <c r="AK6" s="108">
        <f>_xlfn.XLOOKUP(AK3, 'Cash in detail'!$G$5:$CU$5, 'Cash in detail'!$G$8:$CU$8)</f>
        <v>1414237.5509299999</v>
      </c>
      <c r="AL6" s="108">
        <f>_xlfn.XLOOKUP(AL3, 'Cash in detail'!$G$5:$CU$5, 'Cash in detail'!$G$8:$CU$8)</f>
        <v>1414237.5509299999</v>
      </c>
      <c r="AM6" s="108">
        <f>_xlfn.XLOOKUP(AM3, 'Cash in detail'!$G$5:$CU$5, 'Cash in detail'!$G$8:$CU$8)</f>
        <v>1920654.6869999999</v>
      </c>
      <c r="AN6" s="108">
        <f>_xlfn.XLOOKUP(AN3, 'Cash in detail'!$G$5:$CU$5, 'Cash in detail'!$G$8:$CU$8)</f>
        <v>1920654.6869999999</v>
      </c>
    </row>
    <row r="7" spans="2:40" ht="14.25" customHeight="1" x14ac:dyDescent="0.2">
      <c r="B7" s="26" t="s">
        <v>6</v>
      </c>
      <c r="C7" s="15" t="s">
        <v>220</v>
      </c>
      <c r="D7" s="27"/>
      <c r="E7" s="27"/>
      <c r="F7" s="27"/>
      <c r="G7" s="27"/>
      <c r="H7" s="27"/>
      <c r="I7" s="27"/>
      <c r="J7" s="27"/>
      <c r="K7" s="27">
        <v>0</v>
      </c>
      <c r="L7" s="27">
        <v>0</v>
      </c>
      <c r="M7" s="27">
        <v>0</v>
      </c>
      <c r="N7" s="27">
        <v>0</v>
      </c>
      <c r="O7" s="27">
        <v>0</v>
      </c>
      <c r="P7" s="27">
        <v>0</v>
      </c>
      <c r="R7" s="27">
        <v>1</v>
      </c>
      <c r="S7" s="27">
        <v>2</v>
      </c>
      <c r="T7" s="27">
        <v>3</v>
      </c>
      <c r="U7" s="27">
        <v>4</v>
      </c>
      <c r="V7" s="27">
        <v>5</v>
      </c>
      <c r="W7" s="27">
        <v>6</v>
      </c>
      <c r="X7" s="27">
        <v>7</v>
      </c>
      <c r="Y7" s="27">
        <v>8</v>
      </c>
      <c r="Z7" s="27">
        <v>9</v>
      </c>
      <c r="AA7" s="27">
        <v>10</v>
      </c>
      <c r="AB7" s="27">
        <v>11</v>
      </c>
      <c r="AC7" s="27">
        <v>12</v>
      </c>
      <c r="AD7" s="27">
        <v>13</v>
      </c>
      <c r="AE7" s="27">
        <v>14</v>
      </c>
      <c r="AF7" s="27">
        <v>15</v>
      </c>
      <c r="AG7" s="27">
        <v>16</v>
      </c>
      <c r="AH7" s="27">
        <v>17</v>
      </c>
      <c r="AI7" s="27">
        <v>18</v>
      </c>
      <c r="AJ7" s="27">
        <v>19</v>
      </c>
      <c r="AK7" s="27">
        <v>20</v>
      </c>
      <c r="AL7" s="27">
        <v>21</v>
      </c>
      <c r="AM7" s="27">
        <v>22</v>
      </c>
      <c r="AN7" s="27">
        <v>23</v>
      </c>
    </row>
    <row r="8" spans="2:40" ht="14.25" customHeight="1" x14ac:dyDescent="0.2">
      <c r="B8" s="26" t="s">
        <v>8</v>
      </c>
      <c r="C8" s="15" t="s">
        <v>221</v>
      </c>
      <c r="D8" s="27"/>
      <c r="E8" s="27"/>
      <c r="F8" s="27"/>
      <c r="G8" s="27"/>
      <c r="H8" s="27"/>
      <c r="I8" s="27"/>
      <c r="J8" s="27"/>
      <c r="K8" s="27"/>
      <c r="L8" s="27"/>
      <c r="M8" s="27"/>
      <c r="N8" s="27"/>
      <c r="O8" s="27"/>
      <c r="P8" s="27"/>
      <c r="R8" s="27"/>
      <c r="S8" s="27"/>
      <c r="T8" s="27"/>
      <c r="U8" s="27"/>
      <c r="V8" s="27"/>
      <c r="W8" s="27"/>
      <c r="X8" s="27"/>
      <c r="Y8" s="27"/>
      <c r="Z8" s="27"/>
      <c r="AA8" s="27"/>
      <c r="AB8" s="27"/>
      <c r="AC8" s="27"/>
      <c r="AD8" s="27"/>
      <c r="AE8" s="27"/>
      <c r="AF8" s="27"/>
      <c r="AG8" s="27"/>
      <c r="AH8" s="27"/>
      <c r="AI8" s="27"/>
      <c r="AJ8" s="27"/>
      <c r="AK8" s="27"/>
      <c r="AL8" s="27"/>
      <c r="AM8" s="27"/>
      <c r="AN8" s="27"/>
    </row>
    <row r="9" spans="2:40" ht="14.25" customHeight="1" x14ac:dyDescent="0.2">
      <c r="B9" s="200" t="s">
        <v>10</v>
      </c>
      <c r="C9" s="201" t="s">
        <v>222</v>
      </c>
      <c r="D9" s="202">
        <v>0</v>
      </c>
      <c r="E9" s="202">
        <v>0</v>
      </c>
      <c r="F9" s="202">
        <v>0</v>
      </c>
      <c r="G9" s="202">
        <v>0</v>
      </c>
      <c r="H9" s="202">
        <v>0</v>
      </c>
      <c r="I9" s="202">
        <v>0</v>
      </c>
      <c r="J9" s="202">
        <v>0</v>
      </c>
      <c r="K9" s="202"/>
      <c r="L9" s="202"/>
      <c r="M9" s="202"/>
      <c r="N9" s="202"/>
      <c r="O9" s="202"/>
      <c r="P9" s="202"/>
      <c r="R9" s="202"/>
      <c r="S9" s="202"/>
      <c r="T9" s="202"/>
      <c r="U9" s="202"/>
      <c r="V9" s="202"/>
      <c r="W9" s="202"/>
      <c r="X9" s="202"/>
      <c r="Y9" s="202"/>
      <c r="Z9" s="202"/>
      <c r="AA9" s="202"/>
      <c r="AB9" s="202"/>
      <c r="AC9" s="202"/>
      <c r="AD9" s="202"/>
      <c r="AE9" s="202"/>
      <c r="AF9" s="202"/>
      <c r="AG9" s="202"/>
      <c r="AH9" s="202"/>
      <c r="AI9" s="202"/>
      <c r="AJ9" s="202"/>
      <c r="AK9" s="202"/>
      <c r="AL9" s="202"/>
      <c r="AM9" s="202"/>
      <c r="AN9" s="202"/>
    </row>
    <row r="10" spans="2:40" ht="14.25" customHeight="1" x14ac:dyDescent="0.2">
      <c r="B10" s="24" t="s">
        <v>12</v>
      </c>
      <c r="C10" s="15"/>
      <c r="D10" s="28">
        <f t="shared" ref="D10:P10" si="5">SUM(D6:D9)</f>
        <v>56250</v>
      </c>
      <c r="E10" s="28">
        <f t="shared" si="5"/>
        <v>56250</v>
      </c>
      <c r="F10" s="28">
        <f t="shared" si="5"/>
        <v>80000</v>
      </c>
      <c r="G10" s="28">
        <f t="shared" si="5"/>
        <v>80000</v>
      </c>
      <c r="H10" s="28">
        <f t="shared" si="5"/>
        <v>80000</v>
      </c>
      <c r="I10" s="28">
        <f t="shared" si="5"/>
        <v>80000</v>
      </c>
      <c r="J10" s="28">
        <f t="shared" si="5"/>
        <v>125000</v>
      </c>
      <c r="K10" s="28">
        <f t="shared" si="5"/>
        <v>125000</v>
      </c>
      <c r="L10" s="28">
        <f t="shared" si="5"/>
        <v>125000</v>
      </c>
      <c r="M10" s="28">
        <f t="shared" si="5"/>
        <v>125000</v>
      </c>
      <c r="N10" s="28">
        <f t="shared" si="5"/>
        <v>212500</v>
      </c>
      <c r="O10" s="28">
        <f t="shared" si="5"/>
        <v>212500</v>
      </c>
      <c r="P10" s="28">
        <f t="shared" si="5"/>
        <v>212500</v>
      </c>
      <c r="R10" s="28">
        <f t="shared" ref="R10:AN10" si="6">SUM(R6:R9)</f>
        <v>212501</v>
      </c>
      <c r="S10" s="28">
        <f t="shared" si="6"/>
        <v>225002</v>
      </c>
      <c r="T10" s="28">
        <f t="shared" si="6"/>
        <v>225003</v>
      </c>
      <c r="U10" s="28">
        <f t="shared" si="6"/>
        <v>225004</v>
      </c>
      <c r="V10" s="28">
        <f t="shared" si="6"/>
        <v>225005</v>
      </c>
      <c r="W10" s="28">
        <f t="shared" si="6"/>
        <v>250006</v>
      </c>
      <c r="X10" s="28">
        <f t="shared" si="6"/>
        <v>250007</v>
      </c>
      <c r="Y10" s="28">
        <f t="shared" si="6"/>
        <v>250008</v>
      </c>
      <c r="Z10" s="28">
        <f t="shared" si="6"/>
        <v>250009</v>
      </c>
      <c r="AA10" s="28">
        <f t="shared" si="6"/>
        <v>125010</v>
      </c>
      <c r="AB10" s="28">
        <f t="shared" si="6"/>
        <v>125011</v>
      </c>
      <c r="AC10" s="28">
        <f t="shared" si="6"/>
        <v>857139.77435000008</v>
      </c>
      <c r="AD10" s="28">
        <f t="shared" si="6"/>
        <v>1437241.3051875001</v>
      </c>
      <c r="AE10" s="28">
        <f t="shared" si="6"/>
        <v>1437242.3051875001</v>
      </c>
      <c r="AF10" s="28">
        <f t="shared" si="6"/>
        <v>1437243.3051875001</v>
      </c>
      <c r="AG10" s="28">
        <f t="shared" si="6"/>
        <v>1437244.3051875001</v>
      </c>
      <c r="AH10" s="28">
        <f t="shared" si="6"/>
        <v>1414254.5509299999</v>
      </c>
      <c r="AI10" s="28">
        <f t="shared" si="6"/>
        <v>1414255.5509299999</v>
      </c>
      <c r="AJ10" s="28">
        <f t="shared" si="6"/>
        <v>1414256.5509299999</v>
      </c>
      <c r="AK10" s="28">
        <f t="shared" si="6"/>
        <v>1414257.5509299999</v>
      </c>
      <c r="AL10" s="28">
        <f t="shared" si="6"/>
        <v>1414258.5509299999</v>
      </c>
      <c r="AM10" s="28">
        <f t="shared" si="6"/>
        <v>1920676.6869999999</v>
      </c>
      <c r="AN10" s="28">
        <f t="shared" si="6"/>
        <v>1920677.6869999999</v>
      </c>
    </row>
    <row r="11" spans="2:40" ht="14.25" customHeight="1" x14ac:dyDescent="0.2">
      <c r="B11" s="24"/>
      <c r="C11" s="15"/>
      <c r="D11" s="27"/>
      <c r="E11" s="27"/>
      <c r="F11" s="27"/>
      <c r="G11" s="27"/>
      <c r="H11" s="27"/>
      <c r="I11" s="27"/>
      <c r="J11" s="27"/>
      <c r="K11" s="27"/>
      <c r="L11" s="27"/>
      <c r="M11" s="27"/>
      <c r="N11" s="27"/>
      <c r="O11" s="27"/>
      <c r="P11" s="27"/>
      <c r="R11" s="27"/>
      <c r="S11" s="27"/>
      <c r="T11" s="27"/>
      <c r="U11" s="27"/>
      <c r="V11" s="27"/>
      <c r="W11" s="27"/>
      <c r="X11" s="27"/>
      <c r="Y11" s="27"/>
      <c r="Z11" s="27"/>
      <c r="AA11" s="27"/>
      <c r="AB11" s="27"/>
      <c r="AC11" s="27"/>
      <c r="AD11" s="27"/>
      <c r="AE11" s="27"/>
      <c r="AF11" s="27"/>
      <c r="AG11" s="27"/>
      <c r="AH11" s="27"/>
      <c r="AI11" s="27"/>
      <c r="AJ11" s="27"/>
      <c r="AK11" s="27"/>
      <c r="AL11" s="27"/>
      <c r="AM11" s="27"/>
      <c r="AN11" s="27"/>
    </row>
    <row r="12" spans="2:40" ht="14.25" hidden="1" customHeight="1" x14ac:dyDescent="0.2">
      <c r="B12" s="22" t="s">
        <v>13</v>
      </c>
      <c r="C12" s="29"/>
      <c r="D12" s="30"/>
      <c r="E12" s="30"/>
      <c r="F12" s="30"/>
      <c r="G12" s="30"/>
      <c r="H12" s="30"/>
      <c r="I12" s="30"/>
      <c r="J12" s="30"/>
      <c r="K12" s="30"/>
      <c r="L12" s="30"/>
      <c r="M12" s="30"/>
      <c r="N12" s="30"/>
      <c r="O12" s="30"/>
      <c r="P12" s="30"/>
      <c r="R12" s="30"/>
      <c r="S12" s="30"/>
      <c r="T12" s="30"/>
      <c r="U12" s="30"/>
      <c r="V12" s="30"/>
      <c r="W12" s="30"/>
      <c r="X12" s="30"/>
      <c r="Y12" s="30"/>
      <c r="Z12" s="30"/>
      <c r="AA12" s="30"/>
      <c r="AB12" s="30"/>
      <c r="AC12" s="30"/>
      <c r="AD12" s="30"/>
      <c r="AE12" s="30"/>
      <c r="AF12" s="30"/>
      <c r="AG12" s="30"/>
      <c r="AH12" s="30"/>
      <c r="AI12" s="30"/>
      <c r="AJ12" s="30"/>
      <c r="AK12" s="30"/>
      <c r="AL12" s="30"/>
      <c r="AM12" s="30"/>
      <c r="AN12" s="30"/>
    </row>
    <row r="13" spans="2:40" ht="14.25" hidden="1" customHeight="1" x14ac:dyDescent="0.2">
      <c r="B13" s="24" t="s">
        <v>14</v>
      </c>
      <c r="C13" s="31"/>
      <c r="D13" s="27"/>
      <c r="E13" s="27"/>
      <c r="F13" s="27"/>
      <c r="G13" s="27"/>
      <c r="H13" s="27"/>
      <c r="I13" s="27"/>
      <c r="J13" s="27"/>
      <c r="K13" s="27"/>
      <c r="L13" s="27"/>
      <c r="M13" s="27"/>
      <c r="N13" s="27"/>
      <c r="O13" s="27"/>
      <c r="P13" s="27"/>
      <c r="R13" s="27"/>
      <c r="S13" s="27"/>
      <c r="T13" s="27"/>
      <c r="U13" s="27"/>
      <c r="V13" s="27"/>
      <c r="W13" s="27"/>
      <c r="X13" s="27"/>
      <c r="Y13" s="27"/>
      <c r="Z13" s="27"/>
      <c r="AA13" s="27"/>
      <c r="AB13" s="27"/>
      <c r="AC13" s="27"/>
      <c r="AD13" s="27"/>
      <c r="AE13" s="27"/>
      <c r="AF13" s="27"/>
      <c r="AG13" s="27"/>
      <c r="AH13" s="27"/>
      <c r="AI13" s="27"/>
      <c r="AJ13" s="27"/>
      <c r="AK13" s="27"/>
      <c r="AL13" s="27"/>
      <c r="AM13" s="27"/>
      <c r="AN13" s="27"/>
    </row>
    <row r="14" spans="2:40" ht="14.25" hidden="1" customHeight="1" x14ac:dyDescent="0.2">
      <c r="B14" s="26" t="s">
        <v>64</v>
      </c>
      <c r="C14" s="15" t="s">
        <v>223</v>
      </c>
      <c r="D14" s="27">
        <f t="array" ref="D14">INDEX('Weekly Spend'!$F$86:$CV$94,MATCH($B14,'Weekly Spend'!$F$86:$F$94,0),MATCH(D$3,'Weekly Spend'!$F$86:$CV$86,0))</f>
        <v>0</v>
      </c>
      <c r="E14" s="27">
        <f t="array" ref="E14">INDEX('Weekly Spend'!$F$86:$CV$94,MATCH($B14,'Weekly Spend'!$F$86:$F$94,0),MATCH(E$3,'Weekly Spend'!$F$86:$CV$86,0))</f>
        <v>86474.36230769231</v>
      </c>
      <c r="F14" s="27">
        <f t="array" ref="F14">INDEX('Weekly Spend'!$F$86:$CV$94,MATCH($B14,'Weekly Spend'!$F$86:$F$94,0),MATCH(F$3,'Weekly Spend'!$F$86:$CV$86,0))</f>
        <v>4500</v>
      </c>
      <c r="G14" s="27">
        <f t="array" ref="G14">INDEX('Weekly Spend'!$F$86:$CV$94,MATCH($B14,'Weekly Spend'!$F$86:$F$94,0),MATCH(G$3,'Weekly Spend'!$F$86:$CV$86,0))</f>
        <v>98566.692307692312</v>
      </c>
      <c r="H14" s="27">
        <f t="array" ref="H14">INDEX('Weekly Spend'!$F$86:$CV$94,MATCH($B14,'Weekly Spend'!$F$86:$F$94,0),MATCH(H$3,'Weekly Spend'!$F$86:$CV$86,0))</f>
        <v>0</v>
      </c>
      <c r="I14" s="27">
        <f t="array" ref="I14">INDEX('Weekly Spend'!$F$86:$CV$94,MATCH($B14,'Weekly Spend'!$F$86:$F$94,0),MATCH(I$3,'Weekly Spend'!$F$86:$CV$86,0))</f>
        <v>93566.692307692312</v>
      </c>
      <c r="J14" s="27">
        <f t="array" ref="J14">INDEX('Weekly Spend'!$F$86:$CV$94,MATCH($B14,'Weekly Spend'!$F$86:$F$94,0),MATCH(J$3,'Weekly Spend'!$F$86:$CV$86,0))</f>
        <v>0</v>
      </c>
      <c r="K14" s="27">
        <f t="array" ref="K14">INDEX('Weekly Spend'!$F$86:$CV$94,MATCH($B14,'Weekly Spend'!$F$86:$F$94,0),MATCH(K$3,'Weekly Spend'!$F$86:$CV$86,0))</f>
        <v>92316.692307692312</v>
      </c>
      <c r="L14" s="27">
        <f t="array" ref="L14">INDEX('Weekly Spend'!$F$86:$CV$94,MATCH($B14,'Weekly Spend'!$F$86:$F$94,0),MATCH(L$3,'Weekly Spend'!$F$86:$CV$86,0))</f>
        <v>0</v>
      </c>
      <c r="M14" s="27">
        <f t="array" ref="M14">INDEX('Weekly Spend'!$F$86:$CV$94,MATCH($B14,'Weekly Spend'!$F$86:$F$94,0),MATCH(M$3,'Weekly Spend'!$F$86:$CV$86,0))</f>
        <v>90816.692307692312</v>
      </c>
      <c r="N14" s="27">
        <f t="array" ref="N14">INDEX('Weekly Spend'!$F$86:$CV$94,MATCH($B14,'Weekly Spend'!$F$86:$F$94,0),MATCH(N$3,'Weekly Spend'!$F$86:$CV$86,0))</f>
        <v>0</v>
      </c>
      <c r="O14" s="27">
        <f t="array" ref="O14">INDEX('Weekly Spend'!$F$86:$CV$94,MATCH($B14,'Weekly Spend'!$F$86:$F$94,0),MATCH(O$3,'Weekly Spend'!$F$86:$CV$86,0))</f>
        <v>99816.692307692312</v>
      </c>
      <c r="P14" s="27">
        <f t="array" ref="P14">INDEX('Weekly Spend'!$F$86:$CV$94,MATCH($B14,'Weekly Spend'!$F$86:$F$94,0),MATCH(P$3,'Weekly Spend'!$F$86:$CV$86,0))</f>
        <v>0</v>
      </c>
      <c r="R14" s="27">
        <f t="array" ref="R14">INDEX('Weekly Spend'!$F$86:$CV$94,MATCH($B14,'Weekly Spend'!$F$86:$F$94,0),MATCH(R$3,'Weekly Spend'!$F$86:$CV$86,0))</f>
        <v>103716.69230769231</v>
      </c>
      <c r="S14" s="27">
        <f t="array" ref="S14">INDEX('Weekly Spend'!$F$86:$CV$94,MATCH($B14,'Weekly Spend'!$F$86:$F$94,0),MATCH(S$3,'Weekly Spend'!$F$86:$CV$86,0))</f>
        <v>0</v>
      </c>
      <c r="T14" s="27">
        <f t="array" ref="T14">INDEX('Weekly Spend'!$F$86:$CV$94,MATCH($B14,'Weekly Spend'!$F$86:$F$94,0),MATCH(T$3,'Weekly Spend'!$F$86:$CV$86,0))</f>
        <v>100813.69230769231</v>
      </c>
      <c r="U14" s="27">
        <f t="array" ref="U14">INDEX('Weekly Spend'!$F$86:$CV$94,MATCH($B14,'Weekly Spend'!$F$86:$F$94,0),MATCH(U$3,'Weekly Spend'!$F$86:$CV$86,0))</f>
        <v>0</v>
      </c>
      <c r="V14" s="27">
        <f t="array" ref="V14">INDEX('Weekly Spend'!$F$86:$CV$94,MATCH($B14,'Weekly Spend'!$F$86:$F$94,0),MATCH(V$3,'Weekly Spend'!$F$86:$CV$86,0))</f>
        <v>91813.692307692312</v>
      </c>
      <c r="W14" s="27">
        <f t="array" ref="W14">INDEX('Weekly Spend'!$F$86:$CV$94,MATCH($B14,'Weekly Spend'!$F$86:$F$94,0),MATCH(W$3,'Weekly Spend'!$F$86:$CV$86,0))</f>
        <v>0</v>
      </c>
      <c r="X14" s="27">
        <f t="array" ref="X14">INDEX('Weekly Spend'!$F$86:$CV$94,MATCH($B14,'Weekly Spend'!$F$86:$F$94,0),MATCH(X$3,'Weekly Spend'!$F$86:$CV$86,0))</f>
        <v>100813.69230769231</v>
      </c>
      <c r="Y14" s="27">
        <f t="array" ref="Y14">INDEX('Weekly Spend'!$F$86:$CV$94,MATCH($B14,'Weekly Spend'!$F$86:$F$94,0),MATCH(Y$3,'Weekly Spend'!$F$86:$CV$86,0))</f>
        <v>0</v>
      </c>
      <c r="Z14" s="27">
        <f t="array" ref="Z14">INDEX('Weekly Spend'!$F$86:$CV$94,MATCH($B14,'Weekly Spend'!$F$86:$F$94,0),MATCH(Z$3,'Weekly Spend'!$F$86:$CV$86,0))</f>
        <v>416086.29647435894</v>
      </c>
      <c r="AA14" s="27">
        <f t="array" ref="AA14">INDEX('Weekly Spend'!$F$86:$CV$94,MATCH($B14,'Weekly Spend'!$F$86:$F$94,0),MATCH(AA$3,'Weekly Spend'!$F$86:$CV$86,0))</f>
        <v>0</v>
      </c>
      <c r="AB14" s="27">
        <f t="array" ref="AB14">INDEX('Weekly Spend'!$F$86:$CV$94,MATCH($B14,'Weekly Spend'!$F$86:$F$94,0),MATCH(AB$3,'Weekly Spend'!$F$86:$CV$86,0))</f>
        <v>100813.69230769231</v>
      </c>
      <c r="AC14" s="27">
        <f t="array" ref="AC14">INDEX('Weekly Spend'!$F$86:$CV$94,MATCH($B14,'Weekly Spend'!$F$86:$F$94,0),MATCH(AC$3,'Weekly Spend'!$F$86:$CV$86,0))</f>
        <v>0</v>
      </c>
      <c r="AD14" s="27">
        <f t="array" ref="AD14">INDEX('Weekly Spend'!$F$86:$CV$94,MATCH($B14,'Weekly Spend'!$F$86:$F$94,0),MATCH(AD$3,'Weekly Spend'!$F$86:$CV$86,0))</f>
        <v>91813.692307692312</v>
      </c>
      <c r="AE14" s="27">
        <f t="array" ref="AE14">INDEX('Weekly Spend'!$F$86:$CV$94,MATCH($B14,'Weekly Spend'!$F$86:$F$94,0),MATCH(AE$3,'Weekly Spend'!$F$86:$CV$86,0))</f>
        <v>0</v>
      </c>
      <c r="AF14" s="27">
        <f t="array" ref="AF14">INDEX('Weekly Spend'!$F$86:$CV$94,MATCH($B14,'Weekly Spend'!$F$86:$F$94,0),MATCH(AF$3,'Weekly Spend'!$F$86:$CV$86,0))</f>
        <v>100813.69230769231</v>
      </c>
      <c r="AG14" s="27">
        <f t="array" ref="AG14">INDEX('Weekly Spend'!$F$86:$CV$94,MATCH($B14,'Weekly Spend'!$F$86:$F$94,0),MATCH(AG$3,'Weekly Spend'!$F$86:$CV$86,0))</f>
        <v>0</v>
      </c>
      <c r="AH14" s="27">
        <f t="array" ref="AH14">INDEX('Weekly Spend'!$F$86:$CV$94,MATCH($B14,'Weekly Spend'!$F$86:$F$94,0),MATCH(AH$3,'Weekly Spend'!$F$86:$CV$86,0))</f>
        <v>103813.69230769231</v>
      </c>
      <c r="AI14" s="27">
        <f t="array" ref="AI14">INDEX('Weekly Spend'!$F$86:$CV$94,MATCH($B14,'Weekly Spend'!$F$86:$F$94,0),MATCH(AI$3,'Weekly Spend'!$F$86:$CV$86,0))</f>
        <v>0</v>
      </c>
      <c r="AJ14" s="27">
        <f t="array" ref="AJ14">INDEX('Weekly Spend'!$F$86:$CV$94,MATCH($B14,'Weekly Spend'!$F$86:$F$94,0),MATCH(AJ$3,'Weekly Spend'!$F$86:$CV$86,0))</f>
        <v>91716.692307692312</v>
      </c>
      <c r="AK14" s="27">
        <f t="array" ref="AK14">INDEX('Weekly Spend'!$F$86:$CV$94,MATCH($B14,'Weekly Spend'!$F$86:$F$94,0),MATCH(AK$3,'Weekly Spend'!$F$86:$CV$86,0))</f>
        <v>0</v>
      </c>
      <c r="AL14" s="27">
        <f t="array" ref="AL14">INDEX('Weekly Spend'!$F$86:$CV$94,MATCH($B14,'Weekly Spend'!$F$86:$F$94,0),MATCH(AL$3,'Weekly Spend'!$F$86:$CV$86,0))</f>
        <v>100716.69230769231</v>
      </c>
      <c r="AM14" s="27">
        <f t="array" ref="AM14">INDEX('Weekly Spend'!$F$86:$CV$94,MATCH($B14,'Weekly Spend'!$F$86:$F$94,0),MATCH(AM$3,'Weekly Spend'!$F$86:$CV$86,0))</f>
        <v>0</v>
      </c>
      <c r="AN14" s="27">
        <f t="array" ref="AN14">INDEX('Weekly Spend'!$F$86:$CV$94,MATCH($B14,'Weekly Spend'!$F$86:$F$94,0),MATCH(AN$3,'Weekly Spend'!$F$86:$CV$86,0))</f>
        <v>91716.692307692312</v>
      </c>
    </row>
    <row r="15" spans="2:40" ht="14.25" hidden="1" customHeight="1" x14ac:dyDescent="0.2">
      <c r="B15" s="26" t="s">
        <v>126</v>
      </c>
      <c r="C15" s="15" t="s">
        <v>224</v>
      </c>
      <c r="D15" s="27">
        <f t="array" ref="D15">INDEX('Weekly Spend'!$F$86:$CV$94,MATCH($B15,'Weekly Spend'!$F$86:$F$94,0),MATCH(D$3,'Weekly Spend'!$F$86:$CV$86,0))</f>
        <v>5505.8</v>
      </c>
      <c r="E15" s="27">
        <f t="array" ref="E15">INDEX('Weekly Spend'!$F$86:$CV$94,MATCH($B15,'Weekly Spend'!$F$86:$F$94,0),MATCH(E$3,'Weekly Spend'!$F$86:$CV$86,0))</f>
        <v>5287</v>
      </c>
      <c r="F15" s="27">
        <f t="array" ref="F15">INDEX('Weekly Spend'!$F$86:$CV$94,MATCH($B15,'Weekly Spend'!$F$86:$F$94,0),MATCH(F$3,'Weekly Spend'!$F$86:$CV$86,0))</f>
        <v>20097.5</v>
      </c>
      <c r="G15" s="27">
        <f t="array" ref="G15">INDEX('Weekly Spend'!$F$86:$CV$94,MATCH($B15,'Weekly Spend'!$F$86:$F$94,0),MATCH(G$3,'Weekly Spend'!$F$86:$CV$86,0))</f>
        <v>67163</v>
      </c>
      <c r="H15" s="27">
        <f t="array" ref="H15">INDEX('Weekly Spend'!$F$86:$CV$94,MATCH($B15,'Weekly Spend'!$F$86:$F$94,0),MATCH(H$3,'Weekly Spend'!$F$86:$CV$86,0))</f>
        <v>4500</v>
      </c>
      <c r="I15" s="27">
        <f t="array" ref="I15">INDEX('Weekly Spend'!$F$86:$CV$94,MATCH($B15,'Weekly Spend'!$F$86:$F$94,0),MATCH(I$3,'Weekly Spend'!$F$86:$CV$86,0))</f>
        <v>14500</v>
      </c>
      <c r="J15" s="27">
        <f t="array" ref="J15">INDEX('Weekly Spend'!$F$86:$CV$94,MATCH($B15,'Weekly Spend'!$F$86:$F$94,0),MATCH(J$3,'Weekly Spend'!$F$86:$CV$86,0))</f>
        <v>54500</v>
      </c>
      <c r="K15" s="27">
        <f t="array" ref="K15">INDEX('Weekly Spend'!$F$86:$CV$94,MATCH($B15,'Weekly Spend'!$F$86:$F$94,0),MATCH(K$3,'Weekly Spend'!$F$86:$CV$86,0))</f>
        <v>26500</v>
      </c>
      <c r="L15" s="27">
        <f t="array" ref="L15">INDEX('Weekly Spend'!$F$86:$CV$94,MATCH($B15,'Weekly Spend'!$F$86:$F$94,0),MATCH(L$3,'Weekly Spend'!$F$86:$CV$86,0))</f>
        <v>44906.25</v>
      </c>
      <c r="M15" s="27">
        <f t="array" ref="M15">INDEX('Weekly Spend'!$F$86:$CV$94,MATCH($B15,'Weekly Spend'!$F$86:$F$94,0),MATCH(M$3,'Weekly Spend'!$F$86:$CV$86,0))</f>
        <v>4906.25</v>
      </c>
      <c r="N15" s="27">
        <f t="array" ref="N15">INDEX('Weekly Spend'!$F$86:$CV$94,MATCH($B15,'Weekly Spend'!$F$86:$F$94,0),MATCH(N$3,'Weekly Spend'!$F$86:$CV$86,0))</f>
        <v>24906.25</v>
      </c>
      <c r="O15" s="27">
        <f t="array" ref="O15">INDEX('Weekly Spend'!$F$86:$CV$94,MATCH($B15,'Weekly Spend'!$F$86:$F$94,0),MATCH(O$3,'Weekly Spend'!$F$86:$CV$86,0))</f>
        <v>26906.25</v>
      </c>
      <c r="P15" s="27">
        <f t="array" ref="P15">INDEX('Weekly Spend'!$F$86:$CV$94,MATCH($B15,'Weekly Spend'!$F$86:$F$94,0),MATCH(P$3,'Weekly Spend'!$F$86:$CV$86,0))</f>
        <v>49625</v>
      </c>
      <c r="R15" s="27">
        <f t="array" ref="R15">INDEX('Weekly Spend'!$F$86:$CV$94,MATCH($B15,'Weekly Spend'!$F$86:$F$94,0),MATCH(R$3,'Weekly Spend'!$F$86:$CV$86,0))</f>
        <v>4625</v>
      </c>
      <c r="S15" s="27">
        <f t="array" ref="S15">INDEX('Weekly Spend'!$F$86:$CV$94,MATCH($B15,'Weekly Spend'!$F$86:$F$94,0),MATCH(S$3,'Weekly Spend'!$F$86:$CV$86,0))</f>
        <v>4625</v>
      </c>
      <c r="T15" s="27">
        <f t="array" ref="T15">INDEX('Weekly Spend'!$F$86:$CV$94,MATCH($B15,'Weekly Spend'!$F$86:$F$94,0),MATCH(T$3,'Weekly Spend'!$F$86:$CV$86,0))</f>
        <v>46625</v>
      </c>
      <c r="U15" s="27">
        <f t="array" ref="U15">INDEX('Weekly Spend'!$F$86:$CV$94,MATCH($B15,'Weekly Spend'!$F$86:$F$94,0),MATCH(U$3,'Weekly Spend'!$F$86:$CV$86,0))</f>
        <v>47940.800000000003</v>
      </c>
      <c r="V15" s="27">
        <f t="array" ref="V15">INDEX('Weekly Spend'!$F$86:$CV$94,MATCH($B15,'Weekly Spend'!$F$86:$F$94,0),MATCH(V$3,'Weekly Spend'!$F$86:$CV$86,0))</f>
        <v>7940.8</v>
      </c>
      <c r="W15" s="27">
        <f t="array" ref="W15">INDEX('Weekly Spend'!$F$86:$CV$94,MATCH($B15,'Weekly Spend'!$F$86:$F$94,0),MATCH(W$3,'Weekly Spend'!$F$86:$CV$86,0))</f>
        <v>7940.8</v>
      </c>
      <c r="X15" s="27">
        <f t="array" ref="X15">INDEX('Weekly Spend'!$F$86:$CV$94,MATCH($B15,'Weekly Spend'!$F$86:$F$94,0),MATCH(X$3,'Weekly Spend'!$F$86:$CV$86,0))</f>
        <v>7940.8</v>
      </c>
      <c r="Y15" s="27">
        <f t="array" ref="Y15">INDEX('Weekly Spend'!$F$86:$CV$94,MATCH($B15,'Weekly Spend'!$F$86:$F$94,0),MATCH(Y$3,'Weekly Spend'!$F$86:$CV$86,0))</f>
        <v>39940.800000000003</v>
      </c>
      <c r="Z15" s="27">
        <f t="array" ref="Z15">INDEX('Weekly Spend'!$F$86:$CV$94,MATCH($B15,'Weekly Spend'!$F$86:$F$94,0),MATCH(Z$3,'Weekly Spend'!$F$86:$CV$86,0))</f>
        <v>44625</v>
      </c>
      <c r="AA15" s="27">
        <f t="array" ref="AA15">INDEX('Weekly Spend'!$F$86:$CV$94,MATCH($B15,'Weekly Spend'!$F$86:$F$94,0),MATCH(AA$3,'Weekly Spend'!$F$86:$CV$86,0))</f>
        <v>4625</v>
      </c>
      <c r="AB15" s="27">
        <f t="array" ref="AB15">INDEX('Weekly Spend'!$F$86:$CV$94,MATCH($B15,'Weekly Spend'!$F$86:$F$94,0),MATCH(AB$3,'Weekly Spend'!$F$86:$CV$86,0))</f>
        <v>4625</v>
      </c>
      <c r="AC15" s="27">
        <f t="array" ref="AC15">INDEX('Weekly Spend'!$F$86:$CV$94,MATCH($B15,'Weekly Spend'!$F$86:$F$94,0),MATCH(AC$3,'Weekly Spend'!$F$86:$CV$86,0))</f>
        <v>22625</v>
      </c>
      <c r="AD15" s="27">
        <f t="array" ref="AD15">INDEX('Weekly Spend'!$F$86:$CV$94,MATCH($B15,'Weekly Spend'!$F$86:$F$94,0),MATCH(AD$3,'Weekly Spend'!$F$86:$CV$86,0))</f>
        <v>45906.25</v>
      </c>
      <c r="AE15" s="27">
        <f t="array" ref="AE15">INDEX('Weekly Spend'!$F$86:$CV$94,MATCH($B15,'Weekly Spend'!$F$86:$F$94,0),MATCH(AE$3,'Weekly Spend'!$F$86:$CV$86,0))</f>
        <v>4906.25</v>
      </c>
      <c r="AF15" s="27">
        <f t="array" ref="AF15">INDEX('Weekly Spend'!$F$86:$CV$94,MATCH($B15,'Weekly Spend'!$F$86:$F$94,0),MATCH(AF$3,'Weekly Spend'!$F$86:$CV$86,0))</f>
        <v>4906.25</v>
      </c>
      <c r="AG15" s="27">
        <f t="array" ref="AG15">INDEX('Weekly Spend'!$F$86:$CV$94,MATCH($B15,'Weekly Spend'!$F$86:$F$94,0),MATCH(AG$3,'Weekly Spend'!$F$86:$CV$86,0))</f>
        <v>26906.25</v>
      </c>
      <c r="AH15" s="27">
        <f t="array" ref="AH15">INDEX('Weekly Spend'!$F$86:$CV$94,MATCH($B15,'Weekly Spend'!$F$86:$F$94,0),MATCH(AH$3,'Weekly Spend'!$F$86:$CV$86,0))</f>
        <v>74500</v>
      </c>
      <c r="AI15" s="27">
        <f t="array" ref="AI15">INDEX('Weekly Spend'!$F$86:$CV$94,MATCH($B15,'Weekly Spend'!$F$86:$F$94,0),MATCH(AI$3,'Weekly Spend'!$F$86:$CV$86,0))</f>
        <v>4500</v>
      </c>
      <c r="AJ15" s="27">
        <f t="array" ref="AJ15">INDEX('Weekly Spend'!$F$86:$CV$94,MATCH($B15,'Weekly Spend'!$F$86:$F$94,0),MATCH(AJ$3,'Weekly Spend'!$F$86:$CV$86,0))</f>
        <v>4500</v>
      </c>
      <c r="AK15" s="27">
        <f t="array" ref="AK15">INDEX('Weekly Spend'!$F$86:$CV$94,MATCH($B15,'Weekly Spend'!$F$86:$F$94,0),MATCH(AK$3,'Weekly Spend'!$F$86:$CV$86,0))</f>
        <v>4500</v>
      </c>
      <c r="AL15" s="27">
        <f t="array" ref="AL15">INDEX('Weekly Spend'!$F$86:$CV$94,MATCH($B15,'Weekly Spend'!$F$86:$F$94,0),MATCH(AL$3,'Weekly Spend'!$F$86:$CV$86,0))</f>
        <v>26500</v>
      </c>
      <c r="AM15" s="27">
        <f t="array" ref="AM15">INDEX('Weekly Spend'!$F$86:$CV$94,MATCH($B15,'Weekly Spend'!$F$86:$F$94,0),MATCH(AM$3,'Weekly Spend'!$F$86:$CV$86,0))</f>
        <v>7245</v>
      </c>
      <c r="AN15" s="27">
        <f t="array" ref="AN15">INDEX('Weekly Spend'!$F$86:$CV$94,MATCH($B15,'Weekly Spend'!$F$86:$F$94,0),MATCH(AN$3,'Weekly Spend'!$F$86:$CV$86,0))</f>
        <v>7245</v>
      </c>
    </row>
    <row r="16" spans="2:40" ht="14.25" hidden="1" customHeight="1" x14ac:dyDescent="0.2">
      <c r="B16" s="26" t="s">
        <v>197</v>
      </c>
      <c r="C16" s="15" t="s">
        <v>224</v>
      </c>
      <c r="D16" s="27">
        <f t="array" ref="D16">INDEX('Weekly Spend'!$F$86:$CV$94,MATCH($B16,'Weekly Spend'!$F$86:$F$94,0),MATCH(D$3,'Weekly Spend'!$F$86:$CV$86,0))</f>
        <v>0</v>
      </c>
      <c r="E16" s="27">
        <f t="array" ref="E16">INDEX('Weekly Spend'!$F$86:$CV$94,MATCH($B16,'Weekly Spend'!$F$86:$F$94,0),MATCH(E$3,'Weekly Spend'!$F$86:$CV$86,0))</f>
        <v>0</v>
      </c>
      <c r="F16" s="27">
        <f t="array" ref="F16">INDEX('Weekly Spend'!$F$86:$CV$94,MATCH($B16,'Weekly Spend'!$F$86:$F$94,0),MATCH(F$3,'Weekly Spend'!$F$86:$CV$86,0))</f>
        <v>0</v>
      </c>
      <c r="G16" s="27">
        <f t="array" ref="G16">INDEX('Weekly Spend'!$F$86:$CV$94,MATCH($B16,'Weekly Spend'!$F$86:$F$94,0),MATCH(G$3,'Weekly Spend'!$F$86:$CV$86,0))</f>
        <v>0</v>
      </c>
      <c r="H16" s="27">
        <f t="array" ref="H16">INDEX('Weekly Spend'!$F$86:$CV$94,MATCH($B16,'Weekly Spend'!$F$86:$F$94,0),MATCH(H$3,'Weekly Spend'!$F$86:$CV$86,0))</f>
        <v>0</v>
      </c>
      <c r="I16" s="27">
        <f t="array" ref="I16">INDEX('Weekly Spend'!$F$86:$CV$94,MATCH($B16,'Weekly Spend'!$F$86:$F$94,0),MATCH(I$3,'Weekly Spend'!$F$86:$CV$86,0))</f>
        <v>0</v>
      </c>
      <c r="J16" s="27">
        <f t="array" ref="J16">INDEX('Weekly Spend'!$F$86:$CV$94,MATCH($B16,'Weekly Spend'!$F$86:$F$94,0),MATCH(J$3,'Weekly Spend'!$F$86:$CV$86,0))</f>
        <v>0</v>
      </c>
      <c r="K16" s="27">
        <f t="array" ref="K16">INDEX('Weekly Spend'!$F$86:$CV$94,MATCH($B16,'Weekly Spend'!$F$86:$F$94,0),MATCH(K$3,'Weekly Spend'!$F$86:$CV$86,0))</f>
        <v>0</v>
      </c>
      <c r="L16" s="27">
        <f t="array" ref="L16">INDEX('Weekly Spend'!$F$86:$CV$94,MATCH($B16,'Weekly Spend'!$F$86:$F$94,0),MATCH(L$3,'Weekly Spend'!$F$86:$CV$86,0))</f>
        <v>0</v>
      </c>
      <c r="M16" s="27">
        <f t="array" ref="M16">INDEX('Weekly Spend'!$F$86:$CV$94,MATCH($B16,'Weekly Spend'!$F$86:$F$94,0),MATCH(M$3,'Weekly Spend'!$F$86:$CV$86,0))</f>
        <v>0</v>
      </c>
      <c r="N16" s="27">
        <f t="array" ref="N16">INDEX('Weekly Spend'!$F$86:$CV$94,MATCH($B16,'Weekly Spend'!$F$86:$F$94,0),MATCH(N$3,'Weekly Spend'!$F$86:$CV$86,0))</f>
        <v>0</v>
      </c>
      <c r="O16" s="27">
        <f t="array" ref="O16">INDEX('Weekly Spend'!$F$86:$CV$94,MATCH($B16,'Weekly Spend'!$F$86:$F$94,0),MATCH(O$3,'Weekly Spend'!$F$86:$CV$86,0))</f>
        <v>0</v>
      </c>
      <c r="P16" s="27">
        <f t="array" ref="P16">INDEX('Weekly Spend'!$F$86:$CV$94,MATCH($B16,'Weekly Spend'!$F$86:$F$94,0),MATCH(P$3,'Weekly Spend'!$F$86:$CV$86,0))</f>
        <v>0</v>
      </c>
      <c r="R16" s="27">
        <f t="array" ref="R16">INDEX('Weekly Spend'!$F$86:$CV$94,MATCH($B16,'Weekly Spend'!$F$86:$F$94,0),MATCH(R$3,'Weekly Spend'!$F$86:$CV$86,0))</f>
        <v>0</v>
      </c>
      <c r="S16" s="27">
        <f t="array" ref="S16">INDEX('Weekly Spend'!$F$86:$CV$94,MATCH($B16,'Weekly Spend'!$F$86:$F$94,0),MATCH(S$3,'Weekly Spend'!$F$86:$CV$86,0))</f>
        <v>0</v>
      </c>
      <c r="T16" s="27">
        <f t="array" ref="T16">INDEX('Weekly Spend'!$F$86:$CV$94,MATCH($B16,'Weekly Spend'!$F$86:$F$94,0),MATCH(T$3,'Weekly Spend'!$F$86:$CV$86,0))</f>
        <v>0</v>
      </c>
      <c r="U16" s="27">
        <f t="array" ref="U16">INDEX('Weekly Spend'!$F$86:$CV$94,MATCH($B16,'Weekly Spend'!$F$86:$F$94,0),MATCH(U$3,'Weekly Spend'!$F$86:$CV$86,0))</f>
        <v>0</v>
      </c>
      <c r="V16" s="27">
        <f t="array" ref="V16">INDEX('Weekly Spend'!$F$86:$CV$94,MATCH($B16,'Weekly Spend'!$F$86:$F$94,0),MATCH(V$3,'Weekly Spend'!$F$86:$CV$86,0))</f>
        <v>0</v>
      </c>
      <c r="W16" s="27">
        <f t="array" ref="W16">INDEX('Weekly Spend'!$F$86:$CV$94,MATCH($B16,'Weekly Spend'!$F$86:$F$94,0),MATCH(W$3,'Weekly Spend'!$F$86:$CV$86,0))</f>
        <v>0</v>
      </c>
      <c r="X16" s="27">
        <f t="array" ref="X16">INDEX('Weekly Spend'!$F$86:$CV$94,MATCH($B16,'Weekly Spend'!$F$86:$F$94,0),MATCH(X$3,'Weekly Spend'!$F$86:$CV$86,0))</f>
        <v>0</v>
      </c>
      <c r="Y16" s="27">
        <f t="array" ref="Y16">INDEX('Weekly Spend'!$F$86:$CV$94,MATCH($B16,'Weekly Spend'!$F$86:$F$94,0),MATCH(Y$3,'Weekly Spend'!$F$86:$CV$86,0))</f>
        <v>0</v>
      </c>
      <c r="Z16" s="27">
        <f t="array" ref="Z16">INDEX('Weekly Spend'!$F$86:$CV$94,MATCH($B16,'Weekly Spend'!$F$86:$F$94,0),MATCH(Z$3,'Weekly Spend'!$F$86:$CV$86,0))</f>
        <v>0</v>
      </c>
      <c r="AA16" s="27">
        <f t="array" ref="AA16">INDEX('Weekly Spend'!$F$86:$CV$94,MATCH($B16,'Weekly Spend'!$F$86:$F$94,0),MATCH(AA$3,'Weekly Spend'!$F$86:$CV$86,0))</f>
        <v>0</v>
      </c>
      <c r="AB16" s="27">
        <f t="array" ref="AB16">INDEX('Weekly Spend'!$F$86:$CV$94,MATCH($B16,'Weekly Spend'!$F$86:$F$94,0),MATCH(AB$3,'Weekly Spend'!$F$86:$CV$86,0))</f>
        <v>0</v>
      </c>
      <c r="AC16" s="27">
        <f t="array" ref="AC16">INDEX('Weekly Spend'!$F$86:$CV$94,MATCH($B16,'Weekly Spend'!$F$86:$F$94,0),MATCH(AC$3,'Weekly Spend'!$F$86:$CV$86,0))</f>
        <v>0</v>
      </c>
      <c r="AD16" s="27">
        <f t="array" ref="AD16">INDEX('Weekly Spend'!$F$86:$CV$94,MATCH($B16,'Weekly Spend'!$F$86:$F$94,0),MATCH(AD$3,'Weekly Spend'!$F$86:$CV$86,0))</f>
        <v>0</v>
      </c>
      <c r="AE16" s="27">
        <f t="array" ref="AE16">INDEX('Weekly Spend'!$F$86:$CV$94,MATCH($B16,'Weekly Spend'!$F$86:$F$94,0),MATCH(AE$3,'Weekly Spend'!$F$86:$CV$86,0))</f>
        <v>0</v>
      </c>
      <c r="AF16" s="27">
        <f t="array" ref="AF16">INDEX('Weekly Spend'!$F$86:$CV$94,MATCH($B16,'Weekly Spend'!$F$86:$F$94,0),MATCH(AF$3,'Weekly Spend'!$F$86:$CV$86,0))</f>
        <v>0</v>
      </c>
      <c r="AG16" s="27">
        <f t="array" ref="AG16">INDEX('Weekly Spend'!$F$86:$CV$94,MATCH($B16,'Weekly Spend'!$F$86:$F$94,0),MATCH(AG$3,'Weekly Spend'!$F$86:$CV$86,0))</f>
        <v>0</v>
      </c>
      <c r="AH16" s="27">
        <f t="array" ref="AH16">INDEX('Weekly Spend'!$F$86:$CV$94,MATCH($B16,'Weekly Spend'!$F$86:$F$94,0),MATCH(AH$3,'Weekly Spend'!$F$86:$CV$86,0))</f>
        <v>0</v>
      </c>
      <c r="AI16" s="27">
        <f t="array" ref="AI16">INDEX('Weekly Spend'!$F$86:$CV$94,MATCH($B16,'Weekly Spend'!$F$86:$F$94,0),MATCH(AI$3,'Weekly Spend'!$F$86:$CV$86,0))</f>
        <v>0</v>
      </c>
      <c r="AJ16" s="27">
        <f t="array" ref="AJ16">INDEX('Weekly Spend'!$F$86:$CV$94,MATCH($B16,'Weekly Spend'!$F$86:$F$94,0),MATCH(AJ$3,'Weekly Spend'!$F$86:$CV$86,0))</f>
        <v>0</v>
      </c>
      <c r="AK16" s="27">
        <f t="array" ref="AK16">INDEX('Weekly Spend'!$F$86:$CV$94,MATCH($B16,'Weekly Spend'!$F$86:$F$94,0),MATCH(AK$3,'Weekly Spend'!$F$86:$CV$86,0))</f>
        <v>0</v>
      </c>
      <c r="AL16" s="27">
        <f t="array" ref="AL16">INDEX('Weekly Spend'!$F$86:$CV$94,MATCH($B16,'Weekly Spend'!$F$86:$F$94,0),MATCH(AL$3,'Weekly Spend'!$F$86:$CV$86,0))</f>
        <v>0</v>
      </c>
      <c r="AM16" s="27">
        <f t="array" ref="AM16">INDEX('Weekly Spend'!$F$86:$CV$94,MATCH($B16,'Weekly Spend'!$F$86:$F$94,0),MATCH(AM$3,'Weekly Spend'!$F$86:$CV$86,0))</f>
        <v>0</v>
      </c>
      <c r="AN16" s="27">
        <f t="array" ref="AN16">INDEX('Weekly Spend'!$F$86:$CV$94,MATCH($B16,'Weekly Spend'!$F$86:$F$94,0),MATCH(AN$3,'Weekly Spend'!$F$86:$CV$86,0))</f>
        <v>0</v>
      </c>
    </row>
    <row r="17" spans="2:40" ht="14.25" hidden="1" customHeight="1" x14ac:dyDescent="0.2">
      <c r="B17" s="26" t="s">
        <v>158</v>
      </c>
      <c r="C17" s="15" t="s">
        <v>224</v>
      </c>
      <c r="D17" s="27">
        <f t="array" ref="D17">INDEX('Weekly Spend'!$F$86:$CV$94,MATCH($B17,'Weekly Spend'!$F$86:$F$94,0),MATCH(D$3,'Weekly Spend'!$F$86:$CV$86,0))</f>
        <v>0</v>
      </c>
      <c r="E17" s="27">
        <f t="array" ref="E17">INDEX('Weekly Spend'!$F$86:$CV$94,MATCH($B17,'Weekly Spend'!$F$86:$F$94,0),MATCH(E$3,'Weekly Spend'!$F$86:$CV$86,0))</f>
        <v>5250</v>
      </c>
      <c r="F17" s="27">
        <f t="array" ref="F17">INDEX('Weekly Spend'!$F$86:$CV$94,MATCH($B17,'Weekly Spend'!$F$86:$F$94,0),MATCH(F$3,'Weekly Spend'!$F$86:$CV$86,0))</f>
        <v>44000</v>
      </c>
      <c r="G17" s="27">
        <f t="array" ref="G17">INDEX('Weekly Spend'!$F$86:$CV$94,MATCH($B17,'Weekly Spend'!$F$86:$F$94,0),MATCH(G$3,'Weekly Spend'!$F$86:$CV$86,0))</f>
        <v>0</v>
      </c>
      <c r="H17" s="27">
        <f t="array" ref="H17">INDEX('Weekly Spend'!$F$86:$CV$94,MATCH($B17,'Weekly Spend'!$F$86:$F$94,0),MATCH(H$3,'Weekly Spend'!$F$86:$CV$86,0))</f>
        <v>0</v>
      </c>
      <c r="I17" s="27">
        <f t="array" ref="I17">INDEX('Weekly Spend'!$F$86:$CV$94,MATCH($B17,'Weekly Spend'!$F$86:$F$94,0),MATCH(I$3,'Weekly Spend'!$F$86:$CV$86,0))</f>
        <v>0</v>
      </c>
      <c r="J17" s="27">
        <f t="array" ref="J17">INDEX('Weekly Spend'!$F$86:$CV$94,MATCH($B17,'Weekly Spend'!$F$86:$F$94,0),MATCH(J$3,'Weekly Spend'!$F$86:$CV$86,0))</f>
        <v>10700</v>
      </c>
      <c r="K17" s="27">
        <f t="array" ref="K17">INDEX('Weekly Spend'!$F$86:$CV$94,MATCH($B17,'Weekly Spend'!$F$86:$F$94,0),MATCH(K$3,'Weekly Spend'!$F$86:$CV$86,0))</f>
        <v>9500</v>
      </c>
      <c r="L17" s="27">
        <f t="array" ref="L17">INDEX('Weekly Spend'!$F$86:$CV$94,MATCH($B17,'Weekly Spend'!$F$86:$F$94,0),MATCH(L$3,'Weekly Spend'!$F$86:$CV$86,0))</f>
        <v>2500</v>
      </c>
      <c r="M17" s="27">
        <f t="array" ref="M17">INDEX('Weekly Spend'!$F$86:$CV$94,MATCH($B17,'Weekly Spend'!$F$86:$F$94,0),MATCH(M$3,'Weekly Spend'!$F$86:$CV$86,0))</f>
        <v>2500</v>
      </c>
      <c r="N17" s="27">
        <f t="array" ref="N17">INDEX('Weekly Spend'!$F$86:$CV$94,MATCH($B17,'Weekly Spend'!$F$86:$F$94,0),MATCH(N$3,'Weekly Spend'!$F$86:$CV$86,0))</f>
        <v>2500</v>
      </c>
      <c r="O17" s="27">
        <f t="array" ref="O17">INDEX('Weekly Spend'!$F$86:$CV$94,MATCH($B17,'Weekly Spend'!$F$86:$F$94,0),MATCH(O$3,'Weekly Spend'!$F$86:$CV$86,0))</f>
        <v>24000</v>
      </c>
      <c r="P17" s="27">
        <f t="array" ref="P17">INDEX('Weekly Spend'!$F$86:$CV$94,MATCH($B17,'Weekly Spend'!$F$86:$F$94,0),MATCH(P$3,'Weekly Spend'!$F$86:$CV$86,0))</f>
        <v>2800</v>
      </c>
      <c r="R17" s="27">
        <f t="array" ref="R17">INDEX('Weekly Spend'!$F$86:$CV$94,MATCH($B17,'Weekly Spend'!$F$86:$F$94,0),MATCH(R$3,'Weekly Spend'!$F$86:$CV$86,0))</f>
        <v>2500</v>
      </c>
      <c r="S17" s="27">
        <f t="array" ref="S17">INDEX('Weekly Spend'!$F$86:$CV$94,MATCH($B17,'Weekly Spend'!$F$86:$F$94,0),MATCH(S$3,'Weekly Spend'!$F$86:$CV$86,0))</f>
        <v>2500</v>
      </c>
      <c r="T17" s="27">
        <f t="array" ref="T17">INDEX('Weekly Spend'!$F$86:$CV$94,MATCH($B17,'Weekly Spend'!$F$86:$F$94,0),MATCH(T$3,'Weekly Spend'!$F$86:$CV$86,0))</f>
        <v>24500</v>
      </c>
      <c r="U17" s="27">
        <f t="array" ref="U17">INDEX('Weekly Spend'!$F$86:$CV$94,MATCH($B17,'Weekly Spend'!$F$86:$F$94,0),MATCH(U$3,'Weekly Spend'!$F$86:$CV$86,0))</f>
        <v>2000</v>
      </c>
      <c r="V17" s="27">
        <f t="array" ref="V17">INDEX('Weekly Spend'!$F$86:$CV$94,MATCH($B17,'Weekly Spend'!$F$86:$F$94,0),MATCH(V$3,'Weekly Spend'!$F$86:$CV$86,0))</f>
        <v>2000</v>
      </c>
      <c r="W17" s="27">
        <f t="array" ref="W17">INDEX('Weekly Spend'!$F$86:$CV$94,MATCH($B17,'Weekly Spend'!$F$86:$F$94,0),MATCH(W$3,'Weekly Spend'!$F$86:$CV$86,0))</f>
        <v>2000</v>
      </c>
      <c r="X17" s="27">
        <f t="array" ref="X17">INDEX('Weekly Spend'!$F$86:$CV$94,MATCH($B17,'Weekly Spend'!$F$86:$F$94,0),MATCH(X$3,'Weekly Spend'!$F$86:$CV$86,0))</f>
        <v>10700</v>
      </c>
      <c r="Y17" s="27">
        <f t="array" ref="Y17">INDEX('Weekly Spend'!$F$86:$CV$94,MATCH($B17,'Weekly Spend'!$F$86:$F$94,0),MATCH(Y$3,'Weekly Spend'!$F$86:$CV$86,0))</f>
        <v>5000</v>
      </c>
      <c r="Z17" s="27">
        <f t="array" ref="Z17">INDEX('Weekly Spend'!$F$86:$CV$94,MATCH($B17,'Weekly Spend'!$F$86:$F$94,0),MATCH(Z$3,'Weekly Spend'!$F$86:$CV$86,0))</f>
        <v>2500</v>
      </c>
      <c r="AA17" s="27">
        <f t="array" ref="AA17">INDEX('Weekly Spend'!$F$86:$CV$94,MATCH($B17,'Weekly Spend'!$F$86:$F$94,0),MATCH(AA$3,'Weekly Spend'!$F$86:$CV$86,0))</f>
        <v>0</v>
      </c>
      <c r="AB17" s="27">
        <f t="array" ref="AB17">INDEX('Weekly Spend'!$F$86:$CV$94,MATCH($B17,'Weekly Spend'!$F$86:$F$94,0),MATCH(AB$3,'Weekly Spend'!$F$86:$CV$86,0))</f>
        <v>0</v>
      </c>
      <c r="AC17" s="27">
        <f t="array" ref="AC17">INDEX('Weekly Spend'!$F$86:$CV$94,MATCH($B17,'Weekly Spend'!$F$86:$F$94,0),MATCH(AC$3,'Weekly Spend'!$F$86:$CV$86,0))</f>
        <v>0</v>
      </c>
      <c r="AD17" s="27">
        <f t="array" ref="AD17">INDEX('Weekly Spend'!$F$86:$CV$94,MATCH($B17,'Weekly Spend'!$F$86:$F$94,0),MATCH(AD$3,'Weekly Spend'!$F$86:$CV$86,0))</f>
        <v>0</v>
      </c>
      <c r="AE17" s="27">
        <f t="array" ref="AE17">INDEX('Weekly Spend'!$F$86:$CV$94,MATCH($B17,'Weekly Spend'!$F$86:$F$94,0),MATCH(AE$3,'Weekly Spend'!$F$86:$CV$86,0))</f>
        <v>0</v>
      </c>
      <c r="AF17" s="27">
        <f t="array" ref="AF17">INDEX('Weekly Spend'!$F$86:$CV$94,MATCH($B17,'Weekly Spend'!$F$86:$F$94,0),MATCH(AF$3,'Weekly Spend'!$F$86:$CV$86,0))</f>
        <v>2500</v>
      </c>
      <c r="AG17" s="27">
        <f t="array" ref="AG17">INDEX('Weekly Spend'!$F$86:$CV$94,MATCH($B17,'Weekly Spend'!$F$86:$F$94,0),MATCH(AG$3,'Weekly Spend'!$F$86:$CV$86,0))</f>
        <v>2500</v>
      </c>
      <c r="AH17" s="27">
        <f t="array" ref="AH17">INDEX('Weekly Spend'!$F$86:$CV$94,MATCH($B17,'Weekly Spend'!$F$86:$F$94,0),MATCH(AH$3,'Weekly Spend'!$F$86:$CV$86,0))</f>
        <v>2000</v>
      </c>
      <c r="AI17" s="27">
        <f t="array" ref="AI17">INDEX('Weekly Spend'!$F$86:$CV$94,MATCH($B17,'Weekly Spend'!$F$86:$F$94,0),MATCH(AI$3,'Weekly Spend'!$F$86:$CV$86,0))</f>
        <v>2000</v>
      </c>
      <c r="AJ17" s="27">
        <f t="array" ref="AJ17">INDEX('Weekly Spend'!$F$86:$CV$94,MATCH($B17,'Weekly Spend'!$F$86:$F$94,0),MATCH(AJ$3,'Weekly Spend'!$F$86:$CV$86,0))</f>
        <v>2000</v>
      </c>
      <c r="AK17" s="27">
        <f t="array" ref="AK17">INDEX('Weekly Spend'!$F$86:$CV$94,MATCH($B17,'Weekly Spend'!$F$86:$F$94,0),MATCH(AK$3,'Weekly Spend'!$F$86:$CV$86,0))</f>
        <v>2000</v>
      </c>
      <c r="AL17" s="27">
        <f t="array" ref="AL17">INDEX('Weekly Spend'!$F$86:$CV$94,MATCH($B17,'Weekly Spend'!$F$86:$F$94,0),MATCH(AL$3,'Weekly Spend'!$F$86:$CV$86,0))</f>
        <v>2000</v>
      </c>
      <c r="AM17" s="27">
        <f t="array" ref="AM17">INDEX('Weekly Spend'!$F$86:$CV$94,MATCH($B17,'Weekly Spend'!$F$86:$F$94,0),MATCH(AM$3,'Weekly Spend'!$F$86:$CV$86,0))</f>
        <v>2500</v>
      </c>
      <c r="AN17" s="27">
        <f t="array" ref="AN17">INDEX('Weekly Spend'!$F$86:$CV$94,MATCH($B17,'Weekly Spend'!$F$86:$F$94,0),MATCH(AN$3,'Weekly Spend'!$F$86:$CV$86,0))</f>
        <v>2500</v>
      </c>
    </row>
    <row r="18" spans="2:40" ht="14.25" hidden="1" customHeight="1" x14ac:dyDescent="0.2">
      <c r="B18" s="26" t="s">
        <v>198</v>
      </c>
      <c r="C18" s="15" t="s">
        <v>225</v>
      </c>
      <c r="D18" s="27">
        <f t="array" ref="D18">INDEX('Weekly Spend'!$F$86:$CV$94,MATCH($B18,'Weekly Spend'!$F$86:$F$94,0),MATCH(D$3,'Weekly Spend'!$F$86:$CV$86,0))</f>
        <v>0</v>
      </c>
      <c r="E18" s="27">
        <f t="array" ref="E18">INDEX('Weekly Spend'!$F$86:$CV$94,MATCH($B18,'Weekly Spend'!$F$86:$F$94,0),MATCH(E$3,'Weekly Spend'!$F$86:$CV$86,0))</f>
        <v>0</v>
      </c>
      <c r="F18" s="27">
        <f t="array" ref="F18">INDEX('Weekly Spend'!$F$86:$CV$94,MATCH($B18,'Weekly Spend'!$F$86:$F$94,0),MATCH(F$3,'Weekly Spend'!$F$86:$CV$86,0))</f>
        <v>0</v>
      </c>
      <c r="G18" s="27">
        <f t="array" ref="G18">INDEX('Weekly Spend'!$F$86:$CV$94,MATCH($B18,'Weekly Spend'!$F$86:$F$94,0),MATCH(G$3,'Weekly Spend'!$F$86:$CV$86,0))</f>
        <v>0</v>
      </c>
      <c r="H18" s="27">
        <f t="array" ref="H18">INDEX('Weekly Spend'!$F$86:$CV$94,MATCH($B18,'Weekly Spend'!$F$86:$F$94,0),MATCH(H$3,'Weekly Spend'!$F$86:$CV$86,0))</f>
        <v>0</v>
      </c>
      <c r="I18" s="27">
        <f t="array" ref="I18">INDEX('Weekly Spend'!$F$86:$CV$94,MATCH($B18,'Weekly Spend'!$F$86:$F$94,0),MATCH(I$3,'Weekly Spend'!$F$86:$CV$86,0))</f>
        <v>0</v>
      </c>
      <c r="J18" s="27">
        <f t="array" ref="J18">INDEX('Weekly Spend'!$F$86:$CV$94,MATCH($B18,'Weekly Spend'!$F$86:$F$94,0),MATCH(J$3,'Weekly Spend'!$F$86:$CV$86,0))</f>
        <v>0</v>
      </c>
      <c r="K18" s="27">
        <f t="array" ref="K18">INDEX('Weekly Spend'!$F$86:$CV$94,MATCH($B18,'Weekly Spend'!$F$86:$F$94,0),MATCH(K$3,'Weekly Spend'!$F$86:$CV$86,0))</f>
        <v>0</v>
      </c>
      <c r="L18" s="27">
        <f t="array" ref="L18">INDEX('Weekly Spend'!$F$86:$CV$94,MATCH($B18,'Weekly Spend'!$F$86:$F$94,0),MATCH(L$3,'Weekly Spend'!$F$86:$CV$86,0))</f>
        <v>0</v>
      </c>
      <c r="M18" s="27">
        <f t="array" ref="M18">INDEX('Weekly Spend'!$F$86:$CV$94,MATCH($B18,'Weekly Spend'!$F$86:$F$94,0),MATCH(M$3,'Weekly Spend'!$F$86:$CV$86,0))</f>
        <v>0</v>
      </c>
      <c r="N18" s="27">
        <f t="array" ref="N18">INDEX('Weekly Spend'!$F$86:$CV$94,MATCH($B18,'Weekly Spend'!$F$86:$F$94,0),MATCH(N$3,'Weekly Spend'!$F$86:$CV$86,0))</f>
        <v>0</v>
      </c>
      <c r="O18" s="27">
        <f t="array" ref="O18">INDEX('Weekly Spend'!$F$86:$CV$94,MATCH($B18,'Weekly Spend'!$F$86:$F$94,0),MATCH(O$3,'Weekly Spend'!$F$86:$CV$86,0))</f>
        <v>0</v>
      </c>
      <c r="P18" s="27">
        <f t="array" ref="P18">INDEX('Weekly Spend'!$F$86:$CV$94,MATCH($B18,'Weekly Spend'!$F$86:$F$94,0),MATCH(P$3,'Weekly Spend'!$F$86:$CV$86,0))</f>
        <v>0</v>
      </c>
      <c r="R18" s="27">
        <f t="array" ref="R18">INDEX('Weekly Spend'!$F$86:$CV$94,MATCH($B18,'Weekly Spend'!$F$86:$F$94,0),MATCH(R$3,'Weekly Spend'!$F$86:$CV$86,0))</f>
        <v>0</v>
      </c>
      <c r="S18" s="27">
        <f t="array" ref="S18">INDEX('Weekly Spend'!$F$86:$CV$94,MATCH($B18,'Weekly Spend'!$F$86:$F$94,0),MATCH(S$3,'Weekly Spend'!$F$86:$CV$86,0))</f>
        <v>0</v>
      </c>
      <c r="T18" s="27">
        <f t="array" ref="T18">INDEX('Weekly Spend'!$F$86:$CV$94,MATCH($B18,'Weekly Spend'!$F$86:$F$94,0),MATCH(T$3,'Weekly Spend'!$F$86:$CV$86,0))</f>
        <v>0</v>
      </c>
      <c r="U18" s="27">
        <f t="array" ref="U18">INDEX('Weekly Spend'!$F$86:$CV$94,MATCH($B18,'Weekly Spend'!$F$86:$F$94,0),MATCH(U$3,'Weekly Spend'!$F$86:$CV$86,0))</f>
        <v>0</v>
      </c>
      <c r="V18" s="27">
        <f t="array" ref="V18">INDEX('Weekly Spend'!$F$86:$CV$94,MATCH($B18,'Weekly Spend'!$F$86:$F$94,0),MATCH(V$3,'Weekly Spend'!$F$86:$CV$86,0))</f>
        <v>0</v>
      </c>
      <c r="W18" s="27">
        <f t="array" ref="W18">INDEX('Weekly Spend'!$F$86:$CV$94,MATCH($B18,'Weekly Spend'!$F$86:$F$94,0),MATCH(W$3,'Weekly Spend'!$F$86:$CV$86,0))</f>
        <v>0</v>
      </c>
      <c r="X18" s="27">
        <f t="array" ref="X18">INDEX('Weekly Spend'!$F$86:$CV$94,MATCH($B18,'Weekly Spend'!$F$86:$F$94,0),MATCH(X$3,'Weekly Spend'!$F$86:$CV$86,0))</f>
        <v>0</v>
      </c>
      <c r="Y18" s="27">
        <f t="array" ref="Y18">INDEX('Weekly Spend'!$F$86:$CV$94,MATCH($B18,'Weekly Spend'!$F$86:$F$94,0),MATCH(Y$3,'Weekly Spend'!$F$86:$CV$86,0))</f>
        <v>0</v>
      </c>
      <c r="Z18" s="27">
        <f t="array" ref="Z18">INDEX('Weekly Spend'!$F$86:$CV$94,MATCH($B18,'Weekly Spend'!$F$86:$F$94,0),MATCH(Z$3,'Weekly Spend'!$F$86:$CV$86,0))</f>
        <v>0</v>
      </c>
      <c r="AA18" s="27">
        <f t="array" ref="AA18">INDEX('Weekly Spend'!$F$86:$CV$94,MATCH($B18,'Weekly Spend'!$F$86:$F$94,0),MATCH(AA$3,'Weekly Spend'!$F$86:$CV$86,0))</f>
        <v>0</v>
      </c>
      <c r="AB18" s="27">
        <f t="array" ref="AB18">INDEX('Weekly Spend'!$F$86:$CV$94,MATCH($B18,'Weekly Spend'!$F$86:$F$94,0),MATCH(AB$3,'Weekly Spend'!$F$86:$CV$86,0))</f>
        <v>0</v>
      </c>
      <c r="AC18" s="27">
        <f t="array" ref="AC18">INDEX('Weekly Spend'!$F$86:$CV$94,MATCH($B18,'Weekly Spend'!$F$86:$F$94,0),MATCH(AC$3,'Weekly Spend'!$F$86:$CV$86,0))</f>
        <v>0</v>
      </c>
      <c r="AD18" s="27">
        <f t="array" ref="AD18">INDEX('Weekly Spend'!$F$86:$CV$94,MATCH($B18,'Weekly Spend'!$F$86:$F$94,0),MATCH(AD$3,'Weekly Spend'!$F$86:$CV$86,0))</f>
        <v>0</v>
      </c>
      <c r="AE18" s="27">
        <f t="array" ref="AE18">INDEX('Weekly Spend'!$F$86:$CV$94,MATCH($B18,'Weekly Spend'!$F$86:$F$94,0),MATCH(AE$3,'Weekly Spend'!$F$86:$CV$86,0))</f>
        <v>0</v>
      </c>
      <c r="AF18" s="27">
        <f t="array" ref="AF18">INDEX('Weekly Spend'!$F$86:$CV$94,MATCH($B18,'Weekly Spend'!$F$86:$F$94,0),MATCH(AF$3,'Weekly Spend'!$F$86:$CV$86,0))</f>
        <v>0</v>
      </c>
      <c r="AG18" s="27">
        <f t="array" ref="AG18">INDEX('Weekly Spend'!$F$86:$CV$94,MATCH($B18,'Weekly Spend'!$F$86:$F$94,0),MATCH(AG$3,'Weekly Spend'!$F$86:$CV$86,0))</f>
        <v>0</v>
      </c>
      <c r="AH18" s="27">
        <f t="array" ref="AH18">INDEX('Weekly Spend'!$F$86:$CV$94,MATCH($B18,'Weekly Spend'!$F$86:$F$94,0),MATCH(AH$3,'Weekly Spend'!$F$86:$CV$86,0))</f>
        <v>0</v>
      </c>
      <c r="AI18" s="27">
        <f t="array" ref="AI18">INDEX('Weekly Spend'!$F$86:$CV$94,MATCH($B18,'Weekly Spend'!$F$86:$F$94,0),MATCH(AI$3,'Weekly Spend'!$F$86:$CV$86,0))</f>
        <v>0</v>
      </c>
      <c r="AJ18" s="27">
        <f t="array" ref="AJ18">INDEX('Weekly Spend'!$F$86:$CV$94,MATCH($B18,'Weekly Spend'!$F$86:$F$94,0),MATCH(AJ$3,'Weekly Spend'!$F$86:$CV$86,0))</f>
        <v>0</v>
      </c>
      <c r="AK18" s="27">
        <f t="array" ref="AK18">INDEX('Weekly Spend'!$F$86:$CV$94,MATCH($B18,'Weekly Spend'!$F$86:$F$94,0),MATCH(AK$3,'Weekly Spend'!$F$86:$CV$86,0))</f>
        <v>0</v>
      </c>
      <c r="AL18" s="27">
        <f t="array" ref="AL18">INDEX('Weekly Spend'!$F$86:$CV$94,MATCH($B18,'Weekly Spend'!$F$86:$F$94,0),MATCH(AL$3,'Weekly Spend'!$F$86:$CV$86,0))</f>
        <v>0</v>
      </c>
      <c r="AM18" s="27">
        <f t="array" ref="AM18">INDEX('Weekly Spend'!$F$86:$CV$94,MATCH($B18,'Weekly Spend'!$F$86:$F$94,0),MATCH(AM$3,'Weekly Spend'!$F$86:$CV$86,0))</f>
        <v>0</v>
      </c>
      <c r="AN18" s="27">
        <f t="array" ref="AN18">INDEX('Weekly Spend'!$F$86:$CV$94,MATCH($B18,'Weekly Spend'!$F$86:$F$94,0),MATCH(AN$3,'Weekly Spend'!$F$86:$CV$86,0))</f>
        <v>0</v>
      </c>
    </row>
    <row r="19" spans="2:40" ht="14.25" hidden="1" customHeight="1" x14ac:dyDescent="0.2">
      <c r="B19" s="26" t="s">
        <v>79</v>
      </c>
      <c r="C19" s="15" t="s">
        <v>226</v>
      </c>
      <c r="D19" s="27">
        <f t="array" ref="D19">INDEX('Weekly Spend'!$F$86:$CV$94,MATCH($B19,'Weekly Spend'!$F$86:$F$94,0),MATCH(D$3,'Weekly Spend'!$F$86:$CV$86,0))</f>
        <v>59428</v>
      </c>
      <c r="E19" s="27">
        <f t="array" ref="E19">INDEX('Weekly Spend'!$F$86:$CV$94,MATCH($B19,'Weekly Spend'!$F$86:$F$94,0),MATCH(E$3,'Weekly Spend'!$F$86:$CV$86,0))</f>
        <v>0</v>
      </c>
      <c r="F19" s="27">
        <f t="array" ref="F19">INDEX('Weekly Spend'!$F$86:$CV$94,MATCH($B19,'Weekly Spend'!$F$86:$F$94,0),MATCH(F$3,'Weekly Spend'!$F$86:$CV$86,0))</f>
        <v>19000</v>
      </c>
      <c r="G19" s="27">
        <f t="array" ref="G19">INDEX('Weekly Spend'!$F$86:$CV$94,MATCH($B19,'Weekly Spend'!$F$86:$F$94,0),MATCH(G$3,'Weekly Spend'!$F$86:$CV$86,0))</f>
        <v>212100</v>
      </c>
      <c r="H19" s="27">
        <f t="array" ref="H19">INDEX('Weekly Spend'!$F$86:$CV$94,MATCH($B19,'Weekly Spend'!$F$86:$F$94,0),MATCH(H$3,'Weekly Spend'!$F$86:$CV$86,0))</f>
        <v>0</v>
      </c>
      <c r="I19" s="27">
        <f t="array" ref="I19">INDEX('Weekly Spend'!$F$86:$CV$94,MATCH($B19,'Weekly Spend'!$F$86:$F$94,0),MATCH(I$3,'Weekly Spend'!$F$86:$CV$86,0))</f>
        <v>132000</v>
      </c>
      <c r="J19" s="27">
        <f t="array" ref="J19">INDEX('Weekly Spend'!$F$86:$CV$94,MATCH($B19,'Weekly Spend'!$F$86:$F$94,0),MATCH(J$3,'Weekly Spend'!$F$86:$CV$86,0))</f>
        <v>19200</v>
      </c>
      <c r="K19" s="27">
        <f t="array" ref="K19">INDEX('Weekly Spend'!$F$86:$CV$94,MATCH($B19,'Weekly Spend'!$F$86:$F$94,0),MATCH(K$3,'Weekly Spend'!$F$86:$CV$86,0))</f>
        <v>430000</v>
      </c>
      <c r="L19" s="27">
        <f t="array" ref="L19">INDEX('Weekly Spend'!$F$86:$CV$94,MATCH($B19,'Weekly Spend'!$F$86:$F$94,0),MATCH(L$3,'Weekly Spend'!$F$86:$CV$86,0))</f>
        <v>221429</v>
      </c>
      <c r="M19" s="27">
        <f t="array" ref="M19">INDEX('Weekly Spend'!$F$86:$CV$94,MATCH($B19,'Weekly Spend'!$F$86:$F$94,0),MATCH(M$3,'Weekly Spend'!$F$86:$CV$86,0))</f>
        <v>601044</v>
      </c>
      <c r="N19" s="27">
        <f t="array" ref="N19">INDEX('Weekly Spend'!$F$86:$CV$94,MATCH($B19,'Weekly Spend'!$F$86:$F$94,0),MATCH(N$3,'Weekly Spend'!$F$86:$CV$86,0))</f>
        <v>14400</v>
      </c>
      <c r="O19" s="27">
        <f t="array" ref="O19">INDEX('Weekly Spend'!$F$86:$CV$94,MATCH($B19,'Weekly Spend'!$F$86:$F$94,0),MATCH(O$3,'Weekly Spend'!$F$86:$CV$86,0))</f>
        <v>50000</v>
      </c>
      <c r="P19" s="27">
        <f t="array" ref="P19">INDEX('Weekly Spend'!$F$86:$CV$94,MATCH($B19,'Weekly Spend'!$F$86:$F$94,0),MATCH(P$3,'Weekly Spend'!$F$86:$CV$86,0))</f>
        <v>0</v>
      </c>
      <c r="R19" s="27">
        <f t="array" ref="R19">INDEX('Weekly Spend'!$F$86:$CV$94,MATCH($B19,'Weekly Spend'!$F$86:$F$94,0),MATCH(R$3,'Weekly Spend'!$F$86:$CV$86,0))</f>
        <v>0</v>
      </c>
      <c r="S19" s="27">
        <f t="array" ref="S19">INDEX('Weekly Spend'!$F$86:$CV$94,MATCH($B19,'Weekly Spend'!$F$86:$F$94,0),MATCH(S$3,'Weekly Spend'!$F$86:$CV$86,0))</f>
        <v>0</v>
      </c>
      <c r="T19" s="27">
        <f t="array" ref="T19">INDEX('Weekly Spend'!$F$86:$CV$94,MATCH($B19,'Weekly Spend'!$F$86:$F$94,0),MATCH(T$3,'Weekly Spend'!$F$86:$CV$86,0))</f>
        <v>215900</v>
      </c>
      <c r="U19" s="27">
        <f t="array" ref="U19">INDEX('Weekly Spend'!$F$86:$CV$94,MATCH($B19,'Weekly Spend'!$F$86:$F$94,0),MATCH(U$3,'Weekly Spend'!$F$86:$CV$86,0))</f>
        <v>221429</v>
      </c>
      <c r="V19" s="27">
        <f t="array" ref="V19">INDEX('Weekly Spend'!$F$86:$CV$94,MATCH($B19,'Weekly Spend'!$F$86:$F$94,0),MATCH(V$3,'Weekly Spend'!$F$86:$CV$86,0))</f>
        <v>460200</v>
      </c>
      <c r="W19" s="27">
        <f t="array" ref="W19">INDEX('Weekly Spend'!$F$86:$CV$94,MATCH($B19,'Weekly Spend'!$F$86:$F$94,0),MATCH(W$3,'Weekly Spend'!$F$86:$CV$86,0))</f>
        <v>0</v>
      </c>
      <c r="X19" s="27">
        <f t="array" ref="X19">INDEX('Weekly Spend'!$F$86:$CV$94,MATCH($B19,'Weekly Spend'!$F$86:$F$94,0),MATCH(X$3,'Weekly Spend'!$F$86:$CV$86,0))</f>
        <v>0</v>
      </c>
      <c r="Y19" s="27">
        <f t="array" ref="Y19">INDEX('Weekly Spend'!$F$86:$CV$94,MATCH($B19,'Weekly Spend'!$F$86:$F$94,0),MATCH(Y$3,'Weekly Spend'!$F$86:$CV$86,0))</f>
        <v>33600</v>
      </c>
      <c r="Z19" s="27">
        <f t="array" ref="Z19">INDEX('Weekly Spend'!$F$86:$CV$94,MATCH($B19,'Weekly Spend'!$F$86:$F$94,0),MATCH(Z$3,'Weekly Spend'!$F$86:$CV$86,0))</f>
        <v>102786</v>
      </c>
      <c r="AA19" s="27">
        <f t="array" ref="AA19">INDEX('Weekly Spend'!$F$86:$CV$94,MATCH($B19,'Weekly Spend'!$F$86:$F$94,0),MATCH(AA$3,'Weekly Spend'!$F$86:$CV$86,0))</f>
        <v>0</v>
      </c>
      <c r="AB19" s="27">
        <f t="array" ref="AB19">INDEX('Weekly Spend'!$F$86:$CV$94,MATCH($B19,'Weekly Spend'!$F$86:$F$94,0),MATCH(AB$3,'Weekly Spend'!$F$86:$CV$86,0))</f>
        <v>0</v>
      </c>
      <c r="AC19" s="27">
        <f t="array" ref="AC19">INDEX('Weekly Spend'!$F$86:$CV$94,MATCH($B19,'Weekly Spend'!$F$86:$F$94,0),MATCH(AC$3,'Weekly Spend'!$F$86:$CV$86,0))</f>
        <v>0</v>
      </c>
      <c r="AD19" s="27">
        <f t="array" ref="AD19">INDEX('Weekly Spend'!$F$86:$CV$94,MATCH($B19,'Weekly Spend'!$F$86:$F$94,0),MATCH(AD$3,'Weekly Spend'!$F$86:$CV$86,0))</f>
        <v>617429</v>
      </c>
      <c r="AE19" s="27">
        <f t="array" ref="AE19">INDEX('Weekly Spend'!$F$86:$CV$94,MATCH($B19,'Weekly Spend'!$F$86:$F$94,0),MATCH(AE$3,'Weekly Spend'!$F$86:$CV$86,0))</f>
        <v>0</v>
      </c>
      <c r="AF19" s="27">
        <f t="array" ref="AF19">INDEX('Weekly Spend'!$F$86:$CV$94,MATCH($B19,'Weekly Spend'!$F$86:$F$94,0),MATCH(AF$3,'Weekly Spend'!$F$86:$CV$86,0))</f>
        <v>0</v>
      </c>
      <c r="AG19" s="27">
        <f t="array" ref="AG19">INDEX('Weekly Spend'!$F$86:$CV$94,MATCH($B19,'Weekly Spend'!$F$86:$F$94,0),MATCH(AG$3,'Weekly Spend'!$F$86:$CV$86,0))</f>
        <v>0</v>
      </c>
      <c r="AH19" s="27">
        <f t="array" ref="AH19">INDEX('Weekly Spend'!$F$86:$CV$94,MATCH($B19,'Weekly Spend'!$F$86:$F$94,0),MATCH(AH$3,'Weekly Spend'!$F$86:$CV$86,0))</f>
        <v>0</v>
      </c>
      <c r="AI19" s="27">
        <f t="array" ref="AI19">INDEX('Weekly Spend'!$F$86:$CV$94,MATCH($B19,'Weekly Spend'!$F$86:$F$94,0),MATCH(AI$3,'Weekly Spend'!$F$86:$CV$86,0))</f>
        <v>0</v>
      </c>
      <c r="AJ19" s="27">
        <f t="array" ref="AJ19">INDEX('Weekly Spend'!$F$86:$CV$94,MATCH($B19,'Weekly Spend'!$F$86:$F$94,0),MATCH(AJ$3,'Weekly Spend'!$F$86:$CV$86,0))</f>
        <v>0</v>
      </c>
      <c r="AK19" s="27">
        <f t="array" ref="AK19">INDEX('Weekly Spend'!$F$86:$CV$94,MATCH($B19,'Weekly Spend'!$F$86:$F$94,0),MATCH(AK$3,'Weekly Spend'!$F$86:$CV$86,0))</f>
        <v>0</v>
      </c>
      <c r="AL19" s="27">
        <f t="array" ref="AL19">INDEX('Weekly Spend'!$F$86:$CV$94,MATCH($B19,'Weekly Spend'!$F$86:$F$94,0),MATCH(AL$3,'Weekly Spend'!$F$86:$CV$86,0))</f>
        <v>288498</v>
      </c>
      <c r="AM19" s="27">
        <f t="array" ref="AM19">INDEX('Weekly Spend'!$F$86:$CV$94,MATCH($B19,'Weekly Spend'!$F$86:$F$94,0),MATCH(AM$3,'Weekly Spend'!$F$86:$CV$86,0))</f>
        <v>0</v>
      </c>
      <c r="AN19" s="27">
        <f t="array" ref="AN19">INDEX('Weekly Spend'!$F$86:$CV$94,MATCH($B19,'Weekly Spend'!$F$86:$F$94,0),MATCH(AN$3,'Weekly Spend'!$F$86:$CV$86,0))</f>
        <v>0</v>
      </c>
    </row>
    <row r="20" spans="2:40" ht="14.25" hidden="1" customHeight="1" x14ac:dyDescent="0.2">
      <c r="B20" s="26" t="s">
        <v>505</v>
      </c>
      <c r="C20" s="15" t="s">
        <v>226</v>
      </c>
      <c r="D20" s="27" t="e">
        <f t="array" ref="D20">INDEX('Weekly Spend'!$F$86:$CV$94,MATCH($B20,'Weekly Spend'!$F$86:$F$94,0),MATCH(D$3,'Weekly Spend'!$F$86:$CV$86,0))</f>
        <v>#N/A</v>
      </c>
      <c r="E20" s="27" t="e">
        <f t="array" ref="E20">INDEX('Weekly Spend'!$F$86:$CV$94,MATCH($B20,'Weekly Spend'!$F$86:$F$94,0),MATCH(E$3,'Weekly Spend'!$F$86:$CV$86,0))</f>
        <v>#N/A</v>
      </c>
      <c r="F20" s="27" t="e">
        <f t="array" ref="F20">INDEX('Weekly Spend'!$F$86:$CV$94,MATCH($B20,'Weekly Spend'!$F$86:$F$94,0),MATCH(F$3,'Weekly Spend'!$F$86:$CV$86,0))</f>
        <v>#N/A</v>
      </c>
      <c r="G20" s="27" t="e">
        <f t="array" ref="G20">INDEX('Weekly Spend'!$F$86:$CV$94,MATCH($B20,'Weekly Spend'!$F$86:$F$94,0),MATCH(G$3,'Weekly Spend'!$F$86:$CV$86,0))</f>
        <v>#N/A</v>
      </c>
      <c r="H20" s="27" t="e">
        <f t="array" ref="H20">INDEX('Weekly Spend'!$F$86:$CV$94,MATCH($B20,'Weekly Spend'!$F$86:$F$94,0),MATCH(H$3,'Weekly Spend'!$F$86:$CV$86,0))</f>
        <v>#N/A</v>
      </c>
      <c r="I20" s="27" t="e">
        <f t="array" ref="I20">INDEX('Weekly Spend'!$F$86:$CV$94,MATCH($B20,'Weekly Spend'!$F$86:$F$94,0),MATCH(I$3,'Weekly Spend'!$F$86:$CV$86,0))</f>
        <v>#N/A</v>
      </c>
      <c r="J20" s="27" t="e">
        <f t="array" ref="J20">INDEX('Weekly Spend'!$F$86:$CV$94,MATCH($B20,'Weekly Spend'!$F$86:$F$94,0),MATCH(J$3,'Weekly Spend'!$F$86:$CV$86,0))</f>
        <v>#N/A</v>
      </c>
      <c r="K20" s="27" t="e">
        <f t="array" ref="K20">INDEX('Weekly Spend'!$F$86:$CV$94,MATCH($B20,'Weekly Spend'!$F$86:$F$94,0),MATCH(K$3,'Weekly Spend'!$F$86:$CV$86,0))</f>
        <v>#N/A</v>
      </c>
      <c r="L20" s="27" t="e">
        <f t="array" ref="L20">INDEX('Weekly Spend'!$F$86:$CV$94,MATCH($B20,'Weekly Spend'!$F$86:$F$94,0),MATCH(L$3,'Weekly Spend'!$F$86:$CV$86,0))</f>
        <v>#N/A</v>
      </c>
      <c r="M20" s="27" t="e">
        <f t="array" ref="M20">INDEX('Weekly Spend'!$F$86:$CV$94,MATCH($B20,'Weekly Spend'!$F$86:$F$94,0),MATCH(M$3,'Weekly Spend'!$F$86:$CV$86,0))</f>
        <v>#N/A</v>
      </c>
      <c r="N20" s="27" t="e">
        <f t="array" ref="N20">INDEX('Weekly Spend'!$F$86:$CV$94,MATCH($B20,'Weekly Spend'!$F$86:$F$94,0),MATCH(N$3,'Weekly Spend'!$F$86:$CV$86,0))</f>
        <v>#N/A</v>
      </c>
      <c r="O20" s="27" t="e">
        <f t="array" ref="O20">INDEX('Weekly Spend'!$F$86:$CV$94,MATCH($B20,'Weekly Spend'!$F$86:$F$94,0),MATCH(O$3,'Weekly Spend'!$F$86:$CV$86,0))</f>
        <v>#N/A</v>
      </c>
      <c r="P20" s="27" t="e">
        <f t="array" ref="P20">INDEX('Weekly Spend'!$F$86:$CV$94,MATCH($B20,'Weekly Spend'!$F$86:$F$94,0),MATCH(P$3,'Weekly Spend'!$F$86:$CV$86,0))</f>
        <v>#N/A</v>
      </c>
      <c r="R20" s="27" t="e">
        <f t="array" ref="R20">INDEX('Weekly Spend'!$F$86:$CV$94,MATCH($B20,'Weekly Spend'!$F$86:$F$94,0),MATCH(R$3,'Weekly Spend'!$F$86:$CV$86,0))</f>
        <v>#N/A</v>
      </c>
      <c r="S20" s="27" t="e">
        <f t="array" ref="S20">INDEX('Weekly Spend'!$F$86:$CV$94,MATCH($B20,'Weekly Spend'!$F$86:$F$94,0),MATCH(S$3,'Weekly Spend'!$F$86:$CV$86,0))</f>
        <v>#N/A</v>
      </c>
      <c r="T20" s="27" t="e">
        <f t="array" ref="T20">INDEX('Weekly Spend'!$F$86:$CV$94,MATCH($B20,'Weekly Spend'!$F$86:$F$94,0),MATCH(T$3,'Weekly Spend'!$F$86:$CV$86,0))</f>
        <v>#N/A</v>
      </c>
      <c r="U20" s="27" t="e">
        <f t="array" ref="U20">INDEX('Weekly Spend'!$F$86:$CV$94,MATCH($B20,'Weekly Spend'!$F$86:$F$94,0),MATCH(U$3,'Weekly Spend'!$F$86:$CV$86,0))</f>
        <v>#N/A</v>
      </c>
      <c r="V20" s="27" t="e">
        <f t="array" ref="V20">INDEX('Weekly Spend'!$F$86:$CV$94,MATCH($B20,'Weekly Spend'!$F$86:$F$94,0),MATCH(V$3,'Weekly Spend'!$F$86:$CV$86,0))</f>
        <v>#N/A</v>
      </c>
      <c r="W20" s="27" t="e">
        <f t="array" ref="W20">INDEX('Weekly Spend'!$F$86:$CV$94,MATCH($B20,'Weekly Spend'!$F$86:$F$94,0),MATCH(W$3,'Weekly Spend'!$F$86:$CV$86,0))</f>
        <v>#N/A</v>
      </c>
      <c r="X20" s="27" t="e">
        <f t="array" ref="X20">INDEX('Weekly Spend'!$F$86:$CV$94,MATCH($B20,'Weekly Spend'!$F$86:$F$94,0),MATCH(X$3,'Weekly Spend'!$F$86:$CV$86,0))</f>
        <v>#N/A</v>
      </c>
      <c r="Y20" s="27" t="e">
        <f t="array" ref="Y20">INDEX('Weekly Spend'!$F$86:$CV$94,MATCH($B20,'Weekly Spend'!$F$86:$F$94,0),MATCH(Y$3,'Weekly Spend'!$F$86:$CV$86,0))</f>
        <v>#N/A</v>
      </c>
      <c r="Z20" s="27" t="e">
        <f t="array" ref="Z20">INDEX('Weekly Spend'!$F$86:$CV$94,MATCH($B20,'Weekly Spend'!$F$86:$F$94,0),MATCH(Z$3,'Weekly Spend'!$F$86:$CV$86,0))</f>
        <v>#N/A</v>
      </c>
      <c r="AA20" s="27" t="e">
        <f t="array" ref="AA20">INDEX('Weekly Spend'!$F$86:$CV$94,MATCH($B20,'Weekly Spend'!$F$86:$F$94,0),MATCH(AA$3,'Weekly Spend'!$F$86:$CV$86,0))</f>
        <v>#N/A</v>
      </c>
      <c r="AB20" s="27" t="e">
        <f t="array" ref="AB20">INDEX('Weekly Spend'!$F$86:$CV$94,MATCH($B20,'Weekly Spend'!$F$86:$F$94,0),MATCH(AB$3,'Weekly Spend'!$F$86:$CV$86,0))</f>
        <v>#N/A</v>
      </c>
      <c r="AC20" s="27" t="e">
        <f t="array" ref="AC20">INDEX('Weekly Spend'!$F$86:$CV$94,MATCH($B20,'Weekly Spend'!$F$86:$F$94,0),MATCH(AC$3,'Weekly Spend'!$F$86:$CV$86,0))</f>
        <v>#N/A</v>
      </c>
      <c r="AD20" s="27" t="e">
        <f t="array" ref="AD20">INDEX('Weekly Spend'!$F$86:$CV$94,MATCH($B20,'Weekly Spend'!$F$86:$F$94,0),MATCH(AD$3,'Weekly Spend'!$F$86:$CV$86,0))</f>
        <v>#N/A</v>
      </c>
      <c r="AE20" s="27" t="e">
        <f t="array" ref="AE20">INDEX('Weekly Spend'!$F$86:$CV$94,MATCH($B20,'Weekly Spend'!$F$86:$F$94,0),MATCH(AE$3,'Weekly Spend'!$F$86:$CV$86,0))</f>
        <v>#N/A</v>
      </c>
      <c r="AF20" s="27" t="e">
        <f t="array" ref="AF20">INDEX('Weekly Spend'!$F$86:$CV$94,MATCH($B20,'Weekly Spend'!$F$86:$F$94,0),MATCH(AF$3,'Weekly Spend'!$F$86:$CV$86,0))</f>
        <v>#N/A</v>
      </c>
      <c r="AG20" s="27" t="e">
        <f t="array" ref="AG20">INDEX('Weekly Spend'!$F$86:$CV$94,MATCH($B20,'Weekly Spend'!$F$86:$F$94,0),MATCH(AG$3,'Weekly Spend'!$F$86:$CV$86,0))</f>
        <v>#N/A</v>
      </c>
      <c r="AH20" s="27" t="e">
        <f t="array" ref="AH20">INDEX('Weekly Spend'!$F$86:$CV$94,MATCH($B20,'Weekly Spend'!$F$86:$F$94,0),MATCH(AH$3,'Weekly Spend'!$F$86:$CV$86,0))</f>
        <v>#N/A</v>
      </c>
      <c r="AI20" s="27" t="e">
        <f t="array" ref="AI20">INDEX('Weekly Spend'!$F$86:$CV$94,MATCH($B20,'Weekly Spend'!$F$86:$F$94,0),MATCH(AI$3,'Weekly Spend'!$F$86:$CV$86,0))</f>
        <v>#N/A</v>
      </c>
      <c r="AJ20" s="27" t="e">
        <f t="array" ref="AJ20">INDEX('Weekly Spend'!$F$86:$CV$94,MATCH($B20,'Weekly Spend'!$F$86:$F$94,0),MATCH(AJ$3,'Weekly Spend'!$F$86:$CV$86,0))</f>
        <v>#N/A</v>
      </c>
      <c r="AK20" s="27" t="e">
        <f t="array" ref="AK20">INDEX('Weekly Spend'!$F$86:$CV$94,MATCH($B20,'Weekly Spend'!$F$86:$F$94,0),MATCH(AK$3,'Weekly Spend'!$F$86:$CV$86,0))</f>
        <v>#N/A</v>
      </c>
      <c r="AL20" s="27" t="e">
        <f t="array" ref="AL20">INDEX('Weekly Spend'!$F$86:$CV$94,MATCH($B20,'Weekly Spend'!$F$86:$F$94,0),MATCH(AL$3,'Weekly Spend'!$F$86:$CV$86,0))</f>
        <v>#N/A</v>
      </c>
      <c r="AM20" s="27" t="e">
        <f t="array" ref="AM20">INDEX('Weekly Spend'!$F$86:$CV$94,MATCH($B20,'Weekly Spend'!$F$86:$F$94,0),MATCH(AM$3,'Weekly Spend'!$F$86:$CV$86,0))</f>
        <v>#N/A</v>
      </c>
      <c r="AN20" s="27" t="e">
        <f t="array" ref="AN20">INDEX('Weekly Spend'!$F$86:$CV$94,MATCH($B20,'Weekly Spend'!$F$86:$F$94,0),MATCH(AN$3,'Weekly Spend'!$F$86:$CV$86,0))</f>
        <v>#N/A</v>
      </c>
    </row>
    <row r="21" spans="2:40" ht="14.25" hidden="1" customHeight="1" x14ac:dyDescent="0.2">
      <c r="B21" s="200" t="s">
        <v>25</v>
      </c>
      <c r="C21" s="201" t="s">
        <v>222</v>
      </c>
      <c r="D21" s="202"/>
      <c r="E21" s="202"/>
      <c r="F21" s="202"/>
      <c r="G21" s="202"/>
      <c r="H21" s="202"/>
      <c r="I21" s="202"/>
      <c r="J21" s="202"/>
      <c r="K21" s="202"/>
      <c r="L21" s="202"/>
      <c r="M21" s="202"/>
      <c r="N21" s="202"/>
      <c r="O21" s="202"/>
      <c r="P21" s="202"/>
      <c r="R21" s="202"/>
      <c r="S21" s="202"/>
      <c r="T21" s="202"/>
      <c r="U21" s="202"/>
      <c r="V21" s="202"/>
      <c r="W21" s="202"/>
      <c r="X21" s="202"/>
      <c r="Y21" s="202"/>
      <c r="Z21" s="202"/>
      <c r="AA21" s="202"/>
      <c r="AB21" s="202"/>
      <c r="AC21" s="202"/>
      <c r="AD21" s="202"/>
      <c r="AE21" s="202"/>
      <c r="AF21" s="202"/>
      <c r="AG21" s="202"/>
      <c r="AH21" s="202"/>
      <c r="AI21" s="202"/>
      <c r="AJ21" s="202"/>
      <c r="AK21" s="202"/>
      <c r="AL21" s="202"/>
      <c r="AM21" s="202"/>
      <c r="AN21" s="202"/>
    </row>
    <row r="22" spans="2:40" ht="14.25" hidden="1" customHeight="1" x14ac:dyDescent="0.2">
      <c r="B22" s="24" t="s">
        <v>27</v>
      </c>
      <c r="C22" s="15"/>
      <c r="D22" s="28" t="e">
        <f t="shared" ref="D22:P22" si="7">SUM(D14:D21)</f>
        <v>#N/A</v>
      </c>
      <c r="E22" s="28" t="e">
        <f t="shared" si="7"/>
        <v>#N/A</v>
      </c>
      <c r="F22" s="28" t="e">
        <f t="shared" si="7"/>
        <v>#N/A</v>
      </c>
      <c r="G22" s="28" t="e">
        <f t="shared" si="7"/>
        <v>#N/A</v>
      </c>
      <c r="H22" s="28" t="e">
        <f t="shared" si="7"/>
        <v>#N/A</v>
      </c>
      <c r="I22" s="28" t="e">
        <f t="shared" si="7"/>
        <v>#N/A</v>
      </c>
      <c r="J22" s="28" t="e">
        <f t="shared" si="7"/>
        <v>#N/A</v>
      </c>
      <c r="K22" s="28" t="e">
        <f t="shared" si="7"/>
        <v>#N/A</v>
      </c>
      <c r="L22" s="28" t="e">
        <f t="shared" si="7"/>
        <v>#N/A</v>
      </c>
      <c r="M22" s="28" t="e">
        <f t="shared" si="7"/>
        <v>#N/A</v>
      </c>
      <c r="N22" s="28" t="e">
        <f t="shared" si="7"/>
        <v>#N/A</v>
      </c>
      <c r="O22" s="28" t="e">
        <f t="shared" si="7"/>
        <v>#N/A</v>
      </c>
      <c r="P22" s="28" t="e">
        <f t="shared" si="7"/>
        <v>#N/A</v>
      </c>
      <c r="R22" s="28" t="e">
        <f t="shared" ref="R22:AN22" si="8">SUM(R14:R21)</f>
        <v>#N/A</v>
      </c>
      <c r="S22" s="28" t="e">
        <f t="shared" si="8"/>
        <v>#N/A</v>
      </c>
      <c r="T22" s="28" t="e">
        <f t="shared" si="8"/>
        <v>#N/A</v>
      </c>
      <c r="U22" s="28" t="e">
        <f t="shared" si="8"/>
        <v>#N/A</v>
      </c>
      <c r="V22" s="28" t="e">
        <f t="shared" si="8"/>
        <v>#N/A</v>
      </c>
      <c r="W22" s="28" t="e">
        <f t="shared" si="8"/>
        <v>#N/A</v>
      </c>
      <c r="X22" s="28" t="e">
        <f t="shared" si="8"/>
        <v>#N/A</v>
      </c>
      <c r="Y22" s="28" t="e">
        <f t="shared" si="8"/>
        <v>#N/A</v>
      </c>
      <c r="Z22" s="28" t="e">
        <f t="shared" si="8"/>
        <v>#N/A</v>
      </c>
      <c r="AA22" s="28" t="e">
        <f t="shared" si="8"/>
        <v>#N/A</v>
      </c>
      <c r="AB22" s="28" t="e">
        <f t="shared" si="8"/>
        <v>#N/A</v>
      </c>
      <c r="AC22" s="28" t="e">
        <f t="shared" si="8"/>
        <v>#N/A</v>
      </c>
      <c r="AD22" s="28" t="e">
        <f t="shared" si="8"/>
        <v>#N/A</v>
      </c>
      <c r="AE22" s="28" t="e">
        <f t="shared" si="8"/>
        <v>#N/A</v>
      </c>
      <c r="AF22" s="28" t="e">
        <f t="shared" si="8"/>
        <v>#N/A</v>
      </c>
      <c r="AG22" s="28" t="e">
        <f t="shared" si="8"/>
        <v>#N/A</v>
      </c>
      <c r="AH22" s="28" t="e">
        <f t="shared" si="8"/>
        <v>#N/A</v>
      </c>
      <c r="AI22" s="28" t="e">
        <f t="shared" si="8"/>
        <v>#N/A</v>
      </c>
      <c r="AJ22" s="28" t="e">
        <f t="shared" si="8"/>
        <v>#N/A</v>
      </c>
      <c r="AK22" s="28" t="e">
        <f t="shared" si="8"/>
        <v>#N/A</v>
      </c>
      <c r="AL22" s="28" t="e">
        <f t="shared" si="8"/>
        <v>#N/A</v>
      </c>
      <c r="AM22" s="28" t="e">
        <f t="shared" si="8"/>
        <v>#N/A</v>
      </c>
      <c r="AN22" s="28" t="e">
        <f t="shared" si="8"/>
        <v>#N/A</v>
      </c>
    </row>
    <row r="23" spans="2:40" ht="14.25" hidden="1" customHeight="1" x14ac:dyDescent="0.2">
      <c r="B23" s="24" t="s">
        <v>28</v>
      </c>
      <c r="C23" s="15"/>
      <c r="D23" s="27"/>
      <c r="E23" s="27"/>
      <c r="F23" s="27"/>
      <c r="G23" s="27"/>
      <c r="H23" s="27"/>
      <c r="I23" s="27"/>
      <c r="J23" s="27"/>
      <c r="K23" s="27"/>
      <c r="L23" s="27"/>
      <c r="M23" s="27"/>
      <c r="N23" s="27"/>
      <c r="O23" s="27"/>
      <c r="P23" s="27"/>
      <c r="R23" s="27"/>
      <c r="S23" s="27"/>
      <c r="T23" s="27"/>
      <c r="U23" s="27"/>
      <c r="V23" s="27"/>
      <c r="W23" s="27"/>
      <c r="X23" s="27"/>
      <c r="Y23" s="27"/>
      <c r="Z23" s="27"/>
      <c r="AA23" s="27"/>
      <c r="AB23" s="27"/>
      <c r="AC23" s="27"/>
      <c r="AD23" s="27"/>
      <c r="AE23" s="27"/>
      <c r="AF23" s="27"/>
      <c r="AG23" s="27"/>
      <c r="AH23" s="27"/>
      <c r="AI23" s="27"/>
      <c r="AJ23" s="27"/>
      <c r="AK23" s="27"/>
      <c r="AL23" s="27"/>
      <c r="AM23" s="27"/>
      <c r="AN23" s="27"/>
    </row>
    <row r="24" spans="2:40" ht="14.25" hidden="1" customHeight="1" outlineLevel="1" x14ac:dyDescent="0.2">
      <c r="B24" s="26" t="s">
        <v>29</v>
      </c>
      <c r="C24" s="15" t="s">
        <v>227</v>
      </c>
      <c r="D24" s="27"/>
      <c r="E24" s="27"/>
      <c r="F24" s="27"/>
      <c r="G24" s="27"/>
      <c r="H24" s="27"/>
      <c r="I24" s="27"/>
      <c r="J24" s="27"/>
      <c r="K24" s="27"/>
      <c r="L24" s="27"/>
      <c r="M24" s="27"/>
      <c r="N24" s="27"/>
      <c r="O24" s="27"/>
      <c r="P24" s="27"/>
      <c r="R24" s="27"/>
      <c r="S24" s="27"/>
      <c r="T24" s="27"/>
      <c r="U24" s="27"/>
      <c r="V24" s="27"/>
      <c r="W24" s="27"/>
      <c r="X24" s="27"/>
      <c r="Y24" s="27"/>
      <c r="Z24" s="27"/>
      <c r="AA24" s="27"/>
      <c r="AB24" s="27"/>
      <c r="AC24" s="27"/>
      <c r="AD24" s="27"/>
      <c r="AE24" s="27"/>
      <c r="AF24" s="27"/>
      <c r="AG24" s="27"/>
      <c r="AH24" s="27"/>
      <c r="AI24" s="27"/>
      <c r="AJ24" s="27"/>
      <c r="AK24" s="27"/>
      <c r="AL24" s="27"/>
      <c r="AM24" s="27"/>
      <c r="AN24" s="27"/>
    </row>
    <row r="25" spans="2:40" ht="14.25" hidden="1" customHeight="1" outlineLevel="1" x14ac:dyDescent="0.2">
      <c r="B25" s="26" t="s">
        <v>31</v>
      </c>
      <c r="C25" s="15" t="s">
        <v>228</v>
      </c>
      <c r="D25" s="27"/>
      <c r="E25" s="27"/>
      <c r="F25" s="27"/>
      <c r="G25" s="27"/>
      <c r="H25" s="27"/>
      <c r="I25" s="27"/>
      <c r="J25" s="27"/>
      <c r="K25" s="27"/>
      <c r="L25" s="27"/>
      <c r="M25" s="27"/>
      <c r="N25" s="27"/>
      <c r="O25" s="27"/>
      <c r="P25" s="27"/>
      <c r="R25" s="27"/>
      <c r="S25" s="27"/>
      <c r="T25" s="27"/>
      <c r="U25" s="27"/>
      <c r="V25" s="27"/>
      <c r="W25" s="27"/>
      <c r="X25" s="27"/>
      <c r="Y25" s="27"/>
      <c r="Z25" s="27"/>
      <c r="AA25" s="27"/>
      <c r="AB25" s="27"/>
      <c r="AC25" s="27"/>
      <c r="AD25" s="27"/>
      <c r="AE25" s="27"/>
      <c r="AF25" s="27"/>
      <c r="AG25" s="27"/>
      <c r="AH25" s="27"/>
      <c r="AI25" s="27"/>
      <c r="AJ25" s="27"/>
      <c r="AK25" s="27"/>
      <c r="AL25" s="27"/>
      <c r="AM25" s="27"/>
      <c r="AN25" s="27"/>
    </row>
    <row r="26" spans="2:40" ht="14.25" hidden="1" customHeight="1" outlineLevel="1" x14ac:dyDescent="0.2">
      <c r="B26" s="26" t="s">
        <v>33</v>
      </c>
      <c r="C26" s="15" t="s">
        <v>229</v>
      </c>
      <c r="D26" s="27"/>
      <c r="E26" s="27"/>
      <c r="F26" s="27"/>
      <c r="G26" s="27"/>
      <c r="H26" s="27"/>
      <c r="I26" s="27"/>
      <c r="J26" s="27"/>
      <c r="K26" s="27"/>
      <c r="L26" s="27"/>
      <c r="M26" s="27"/>
      <c r="N26" s="27"/>
      <c r="O26" s="27"/>
      <c r="P26" s="27"/>
      <c r="R26" s="27"/>
      <c r="S26" s="27"/>
      <c r="T26" s="27"/>
      <c r="U26" s="27"/>
      <c r="V26" s="27"/>
      <c r="W26" s="27"/>
      <c r="X26" s="27"/>
      <c r="Y26" s="27"/>
      <c r="Z26" s="27"/>
      <c r="AA26" s="27"/>
      <c r="AB26" s="27"/>
      <c r="AC26" s="27"/>
      <c r="AD26" s="27"/>
      <c r="AE26" s="27"/>
      <c r="AF26" s="27"/>
      <c r="AG26" s="27"/>
      <c r="AH26" s="27"/>
      <c r="AI26" s="27"/>
      <c r="AJ26" s="27"/>
      <c r="AK26" s="27"/>
      <c r="AL26" s="27"/>
      <c r="AM26" s="27"/>
      <c r="AN26" s="27"/>
    </row>
    <row r="27" spans="2:40" ht="14.25" hidden="1" customHeight="1" outlineLevel="1" x14ac:dyDescent="0.2">
      <c r="B27" s="200" t="s">
        <v>35</v>
      </c>
      <c r="C27" s="201" t="s">
        <v>230</v>
      </c>
      <c r="D27" s="202"/>
      <c r="E27" s="202"/>
      <c r="F27" s="202"/>
      <c r="G27" s="202"/>
      <c r="H27" s="202"/>
      <c r="I27" s="202"/>
      <c r="J27" s="202"/>
      <c r="K27" s="202"/>
      <c r="L27" s="202"/>
      <c r="M27" s="202"/>
      <c r="N27" s="202"/>
      <c r="O27" s="202"/>
      <c r="P27" s="202"/>
      <c r="R27" s="202"/>
      <c r="S27" s="202"/>
      <c r="T27" s="202"/>
      <c r="U27" s="202"/>
      <c r="V27" s="202"/>
      <c r="W27" s="202"/>
      <c r="X27" s="202"/>
      <c r="Y27" s="202"/>
      <c r="Z27" s="202"/>
      <c r="AA27" s="202"/>
      <c r="AB27" s="202"/>
      <c r="AC27" s="202"/>
      <c r="AD27" s="202"/>
      <c r="AE27" s="202"/>
      <c r="AF27" s="202"/>
      <c r="AG27" s="202"/>
      <c r="AH27" s="202"/>
      <c r="AI27" s="202"/>
      <c r="AJ27" s="202"/>
      <c r="AK27" s="202"/>
      <c r="AL27" s="202"/>
      <c r="AM27" s="202"/>
      <c r="AN27" s="202"/>
    </row>
    <row r="28" spans="2:40" ht="14.25" hidden="1" customHeight="1" outlineLevel="1" x14ac:dyDescent="0.2">
      <c r="B28" s="32" t="s">
        <v>37</v>
      </c>
      <c r="C28" s="33"/>
      <c r="D28" s="34">
        <f t="shared" ref="D28:P28" si="9">SUM(D24:D27)</f>
        <v>0</v>
      </c>
      <c r="E28" s="34">
        <f t="shared" si="9"/>
        <v>0</v>
      </c>
      <c r="F28" s="34">
        <f t="shared" si="9"/>
        <v>0</v>
      </c>
      <c r="G28" s="34">
        <f t="shared" si="9"/>
        <v>0</v>
      </c>
      <c r="H28" s="34">
        <f t="shared" si="9"/>
        <v>0</v>
      </c>
      <c r="I28" s="34">
        <f t="shared" si="9"/>
        <v>0</v>
      </c>
      <c r="J28" s="34">
        <f t="shared" si="9"/>
        <v>0</v>
      </c>
      <c r="K28" s="34">
        <f t="shared" si="9"/>
        <v>0</v>
      </c>
      <c r="L28" s="34">
        <f t="shared" si="9"/>
        <v>0</v>
      </c>
      <c r="M28" s="34">
        <f t="shared" si="9"/>
        <v>0</v>
      </c>
      <c r="N28" s="34">
        <f t="shared" si="9"/>
        <v>0</v>
      </c>
      <c r="O28" s="34">
        <f t="shared" si="9"/>
        <v>0</v>
      </c>
      <c r="P28" s="34">
        <f t="shared" si="9"/>
        <v>0</v>
      </c>
      <c r="R28" s="34">
        <f t="shared" ref="R28:AN28" si="10">SUM(R24:R27)</f>
        <v>0</v>
      </c>
      <c r="S28" s="34">
        <f t="shared" si="10"/>
        <v>0</v>
      </c>
      <c r="T28" s="34">
        <f t="shared" si="10"/>
        <v>0</v>
      </c>
      <c r="U28" s="34">
        <f t="shared" si="10"/>
        <v>0</v>
      </c>
      <c r="V28" s="34">
        <f t="shared" si="10"/>
        <v>0</v>
      </c>
      <c r="W28" s="34">
        <f t="shared" si="10"/>
        <v>0</v>
      </c>
      <c r="X28" s="34">
        <f t="shared" si="10"/>
        <v>0</v>
      </c>
      <c r="Y28" s="34">
        <f t="shared" si="10"/>
        <v>0</v>
      </c>
      <c r="Z28" s="34">
        <f t="shared" si="10"/>
        <v>0</v>
      </c>
      <c r="AA28" s="34">
        <f t="shared" si="10"/>
        <v>0</v>
      </c>
      <c r="AB28" s="34">
        <f t="shared" si="10"/>
        <v>0</v>
      </c>
      <c r="AC28" s="34">
        <f t="shared" si="10"/>
        <v>0</v>
      </c>
      <c r="AD28" s="34">
        <f t="shared" si="10"/>
        <v>0</v>
      </c>
      <c r="AE28" s="34">
        <f t="shared" si="10"/>
        <v>0</v>
      </c>
      <c r="AF28" s="34">
        <f t="shared" si="10"/>
        <v>0</v>
      </c>
      <c r="AG28" s="34">
        <f t="shared" si="10"/>
        <v>0</v>
      </c>
      <c r="AH28" s="34">
        <f t="shared" si="10"/>
        <v>0</v>
      </c>
      <c r="AI28" s="34">
        <f t="shared" si="10"/>
        <v>0</v>
      </c>
      <c r="AJ28" s="34">
        <f t="shared" si="10"/>
        <v>0</v>
      </c>
      <c r="AK28" s="34">
        <f t="shared" si="10"/>
        <v>0</v>
      </c>
      <c r="AL28" s="34">
        <f t="shared" si="10"/>
        <v>0</v>
      </c>
      <c r="AM28" s="34">
        <f t="shared" si="10"/>
        <v>0</v>
      </c>
      <c r="AN28" s="34">
        <f t="shared" si="10"/>
        <v>0</v>
      </c>
    </row>
    <row r="29" spans="2:40" ht="14.25" hidden="1" customHeight="1" collapsed="1" x14ac:dyDescent="0.2">
      <c r="B29" s="24" t="s">
        <v>38</v>
      </c>
      <c r="C29" s="15"/>
      <c r="D29" s="28" t="e">
        <f t="shared" ref="D29:P29" si="11">D22+D28</f>
        <v>#N/A</v>
      </c>
      <c r="E29" s="28" t="e">
        <f t="shared" si="11"/>
        <v>#N/A</v>
      </c>
      <c r="F29" s="28" t="e">
        <f t="shared" si="11"/>
        <v>#N/A</v>
      </c>
      <c r="G29" s="28" t="e">
        <f t="shared" si="11"/>
        <v>#N/A</v>
      </c>
      <c r="H29" s="28" t="e">
        <f t="shared" si="11"/>
        <v>#N/A</v>
      </c>
      <c r="I29" s="28" t="e">
        <f t="shared" si="11"/>
        <v>#N/A</v>
      </c>
      <c r="J29" s="28" t="e">
        <f t="shared" si="11"/>
        <v>#N/A</v>
      </c>
      <c r="K29" s="28" t="e">
        <f t="shared" si="11"/>
        <v>#N/A</v>
      </c>
      <c r="L29" s="28" t="e">
        <f t="shared" si="11"/>
        <v>#N/A</v>
      </c>
      <c r="M29" s="28" t="e">
        <f t="shared" si="11"/>
        <v>#N/A</v>
      </c>
      <c r="N29" s="28" t="e">
        <f t="shared" si="11"/>
        <v>#N/A</v>
      </c>
      <c r="O29" s="28" t="e">
        <f t="shared" si="11"/>
        <v>#N/A</v>
      </c>
      <c r="P29" s="28" t="e">
        <f t="shared" si="11"/>
        <v>#N/A</v>
      </c>
      <c r="R29" s="28" t="e">
        <f t="shared" ref="R29:AN29" si="12">R22+R28</f>
        <v>#N/A</v>
      </c>
      <c r="S29" s="28" t="e">
        <f t="shared" si="12"/>
        <v>#N/A</v>
      </c>
      <c r="T29" s="28" t="e">
        <f t="shared" si="12"/>
        <v>#N/A</v>
      </c>
      <c r="U29" s="28" t="e">
        <f t="shared" si="12"/>
        <v>#N/A</v>
      </c>
      <c r="V29" s="28" t="e">
        <f t="shared" si="12"/>
        <v>#N/A</v>
      </c>
      <c r="W29" s="28" t="e">
        <f t="shared" si="12"/>
        <v>#N/A</v>
      </c>
      <c r="X29" s="28" t="e">
        <f t="shared" si="12"/>
        <v>#N/A</v>
      </c>
      <c r="Y29" s="28" t="e">
        <f t="shared" si="12"/>
        <v>#N/A</v>
      </c>
      <c r="Z29" s="28" t="e">
        <f t="shared" si="12"/>
        <v>#N/A</v>
      </c>
      <c r="AA29" s="28" t="e">
        <f t="shared" si="12"/>
        <v>#N/A</v>
      </c>
      <c r="AB29" s="28" t="e">
        <f t="shared" si="12"/>
        <v>#N/A</v>
      </c>
      <c r="AC29" s="28" t="e">
        <f t="shared" si="12"/>
        <v>#N/A</v>
      </c>
      <c r="AD29" s="28" t="e">
        <f t="shared" si="12"/>
        <v>#N/A</v>
      </c>
      <c r="AE29" s="28" t="e">
        <f t="shared" si="12"/>
        <v>#N/A</v>
      </c>
      <c r="AF29" s="28" t="e">
        <f t="shared" si="12"/>
        <v>#N/A</v>
      </c>
      <c r="AG29" s="28" t="e">
        <f t="shared" si="12"/>
        <v>#N/A</v>
      </c>
      <c r="AH29" s="28" t="e">
        <f t="shared" si="12"/>
        <v>#N/A</v>
      </c>
      <c r="AI29" s="28" t="e">
        <f t="shared" si="12"/>
        <v>#N/A</v>
      </c>
      <c r="AJ29" s="28" t="e">
        <f t="shared" si="12"/>
        <v>#N/A</v>
      </c>
      <c r="AK29" s="28" t="e">
        <f t="shared" si="12"/>
        <v>#N/A</v>
      </c>
      <c r="AL29" s="28" t="e">
        <f t="shared" si="12"/>
        <v>#N/A</v>
      </c>
      <c r="AM29" s="28" t="e">
        <f t="shared" si="12"/>
        <v>#N/A</v>
      </c>
      <c r="AN29" s="28" t="e">
        <f t="shared" si="12"/>
        <v>#N/A</v>
      </c>
    </row>
    <row r="30" spans="2:40" ht="14.25" hidden="1" customHeight="1" x14ac:dyDescent="0.2">
      <c r="B30" s="24"/>
      <c r="C30" s="15"/>
      <c r="D30" s="28"/>
      <c r="E30" s="28"/>
      <c r="F30" s="28"/>
      <c r="G30" s="28"/>
      <c r="H30" s="28"/>
      <c r="I30" s="28"/>
      <c r="J30" s="28"/>
      <c r="K30" s="28"/>
      <c r="L30" s="28"/>
      <c r="M30" s="28"/>
      <c r="N30" s="28"/>
      <c r="O30" s="28"/>
      <c r="P30" s="28"/>
      <c r="R30" s="28"/>
      <c r="S30" s="28"/>
      <c r="T30" s="28"/>
      <c r="U30" s="28"/>
      <c r="V30" s="28"/>
      <c r="W30" s="28"/>
      <c r="X30" s="28"/>
      <c r="Y30" s="28"/>
      <c r="Z30" s="28"/>
      <c r="AA30" s="28"/>
      <c r="AB30" s="28"/>
      <c r="AC30" s="28"/>
      <c r="AD30" s="28"/>
      <c r="AE30" s="28"/>
      <c r="AF30" s="28"/>
      <c r="AG30" s="28"/>
      <c r="AH30" s="28"/>
      <c r="AI30" s="28"/>
      <c r="AJ30" s="28"/>
      <c r="AK30" s="28"/>
      <c r="AL30" s="28"/>
      <c r="AM30" s="28"/>
      <c r="AN30" s="28"/>
    </row>
    <row r="31" spans="2:40" ht="14.25" hidden="1" customHeight="1" x14ac:dyDescent="0.2">
      <c r="B31" s="193" t="s">
        <v>39</v>
      </c>
      <c r="C31" s="203"/>
      <c r="D31" s="204" t="e">
        <f t="shared" ref="D31:P31" si="13">D10-D29</f>
        <v>#N/A</v>
      </c>
      <c r="E31" s="204" t="e">
        <f t="shared" si="13"/>
        <v>#N/A</v>
      </c>
      <c r="F31" s="204" t="e">
        <f t="shared" si="13"/>
        <v>#N/A</v>
      </c>
      <c r="G31" s="204" t="e">
        <f t="shared" si="13"/>
        <v>#N/A</v>
      </c>
      <c r="H31" s="204" t="e">
        <f t="shared" si="13"/>
        <v>#N/A</v>
      </c>
      <c r="I31" s="204" t="e">
        <f t="shared" si="13"/>
        <v>#N/A</v>
      </c>
      <c r="J31" s="204" t="e">
        <f t="shared" si="13"/>
        <v>#N/A</v>
      </c>
      <c r="K31" s="204" t="e">
        <f t="shared" si="13"/>
        <v>#N/A</v>
      </c>
      <c r="L31" s="204" t="e">
        <f t="shared" si="13"/>
        <v>#N/A</v>
      </c>
      <c r="M31" s="204" t="e">
        <f t="shared" si="13"/>
        <v>#N/A</v>
      </c>
      <c r="N31" s="204" t="e">
        <f t="shared" si="13"/>
        <v>#N/A</v>
      </c>
      <c r="O31" s="204" t="e">
        <f t="shared" si="13"/>
        <v>#N/A</v>
      </c>
      <c r="P31" s="205" t="e">
        <f t="shared" si="13"/>
        <v>#N/A</v>
      </c>
      <c r="R31" s="205" t="e">
        <f t="shared" ref="R31:AN31" si="14">R10-R29</f>
        <v>#N/A</v>
      </c>
      <c r="S31" s="205" t="e">
        <f t="shared" si="14"/>
        <v>#N/A</v>
      </c>
      <c r="T31" s="205" t="e">
        <f t="shared" si="14"/>
        <v>#N/A</v>
      </c>
      <c r="U31" s="205" t="e">
        <f t="shared" si="14"/>
        <v>#N/A</v>
      </c>
      <c r="V31" s="205" t="e">
        <f t="shared" si="14"/>
        <v>#N/A</v>
      </c>
      <c r="W31" s="205" t="e">
        <f t="shared" si="14"/>
        <v>#N/A</v>
      </c>
      <c r="X31" s="205" t="e">
        <f t="shared" si="14"/>
        <v>#N/A</v>
      </c>
      <c r="Y31" s="205" t="e">
        <f t="shared" si="14"/>
        <v>#N/A</v>
      </c>
      <c r="Z31" s="205" t="e">
        <f t="shared" si="14"/>
        <v>#N/A</v>
      </c>
      <c r="AA31" s="205" t="e">
        <f t="shared" si="14"/>
        <v>#N/A</v>
      </c>
      <c r="AB31" s="205" t="e">
        <f t="shared" si="14"/>
        <v>#N/A</v>
      </c>
      <c r="AC31" s="205" t="e">
        <f t="shared" si="14"/>
        <v>#N/A</v>
      </c>
      <c r="AD31" s="205" t="e">
        <f t="shared" si="14"/>
        <v>#N/A</v>
      </c>
      <c r="AE31" s="205" t="e">
        <f t="shared" si="14"/>
        <v>#N/A</v>
      </c>
      <c r="AF31" s="205" t="e">
        <f t="shared" si="14"/>
        <v>#N/A</v>
      </c>
      <c r="AG31" s="205" t="e">
        <f t="shared" si="14"/>
        <v>#N/A</v>
      </c>
      <c r="AH31" s="205" t="e">
        <f t="shared" si="14"/>
        <v>#N/A</v>
      </c>
      <c r="AI31" s="205" t="e">
        <f t="shared" si="14"/>
        <v>#N/A</v>
      </c>
      <c r="AJ31" s="205" t="e">
        <f t="shared" si="14"/>
        <v>#N/A</v>
      </c>
      <c r="AK31" s="205" t="e">
        <f t="shared" si="14"/>
        <v>#N/A</v>
      </c>
      <c r="AL31" s="205" t="e">
        <f t="shared" si="14"/>
        <v>#N/A</v>
      </c>
      <c r="AM31" s="205" t="e">
        <f t="shared" si="14"/>
        <v>#N/A</v>
      </c>
      <c r="AN31" s="205" t="e">
        <f t="shared" si="14"/>
        <v>#N/A</v>
      </c>
    </row>
    <row r="32" spans="2:40" ht="14.25" hidden="1" customHeight="1" x14ac:dyDescent="0.2">
      <c r="B32" s="24"/>
      <c r="C32" s="15"/>
      <c r="D32" s="28"/>
      <c r="E32" s="28"/>
      <c r="F32" s="28"/>
      <c r="G32" s="28"/>
      <c r="H32" s="28"/>
      <c r="I32" s="28"/>
      <c r="J32" s="28"/>
      <c r="K32" s="28"/>
      <c r="L32" s="28"/>
      <c r="M32" s="28"/>
      <c r="N32" s="28"/>
      <c r="O32" s="28"/>
      <c r="P32" s="28"/>
      <c r="R32" s="28"/>
      <c r="S32" s="28"/>
      <c r="T32" s="28"/>
      <c r="U32" s="28"/>
      <c r="V32" s="28"/>
      <c r="W32" s="28"/>
      <c r="X32" s="28"/>
      <c r="Y32" s="28"/>
      <c r="Z32" s="28"/>
      <c r="AA32" s="28"/>
      <c r="AB32" s="28"/>
      <c r="AC32" s="28"/>
      <c r="AD32" s="28"/>
      <c r="AE32" s="28"/>
      <c r="AF32" s="28"/>
      <c r="AG32" s="28"/>
      <c r="AH32" s="28"/>
      <c r="AI32" s="28"/>
      <c r="AJ32" s="28"/>
      <c r="AK32" s="28"/>
      <c r="AL32" s="28"/>
      <c r="AM32" s="28"/>
      <c r="AN32" s="28"/>
    </row>
    <row r="33" spans="1:40" ht="14.25" hidden="1" customHeight="1" x14ac:dyDescent="0.2">
      <c r="B33" s="35" t="s">
        <v>41</v>
      </c>
      <c r="C33" s="36"/>
      <c r="D33" s="37"/>
      <c r="E33" s="37"/>
      <c r="F33" s="37"/>
      <c r="G33" s="37"/>
      <c r="H33" s="37"/>
      <c r="I33" s="37"/>
      <c r="J33" s="37"/>
      <c r="K33" s="37"/>
      <c r="L33" s="37"/>
      <c r="M33" s="37"/>
      <c r="N33" s="37"/>
      <c r="O33" s="37"/>
      <c r="P33" s="37"/>
      <c r="R33" s="37"/>
      <c r="S33" s="37"/>
      <c r="T33" s="37"/>
      <c r="U33" s="37"/>
      <c r="V33" s="37"/>
      <c r="W33" s="37"/>
      <c r="X33" s="37"/>
      <c r="Y33" s="37"/>
      <c r="Z33" s="37"/>
      <c r="AA33" s="37"/>
      <c r="AB33" s="37"/>
      <c r="AC33" s="37"/>
      <c r="AD33" s="37"/>
      <c r="AE33" s="37"/>
      <c r="AF33" s="37"/>
      <c r="AG33" s="37"/>
      <c r="AH33" s="37"/>
      <c r="AI33" s="37"/>
      <c r="AJ33" s="37"/>
      <c r="AK33" s="37"/>
      <c r="AL33" s="37"/>
      <c r="AM33" s="37"/>
      <c r="AN33" s="37"/>
    </row>
    <row r="34" spans="1:40" ht="14.25" hidden="1" customHeight="1" x14ac:dyDescent="0.2">
      <c r="B34" s="1" t="s">
        <v>42</v>
      </c>
      <c r="C34" s="15"/>
      <c r="D34" s="38">
        <v>0</v>
      </c>
      <c r="E34" s="38">
        <v>1000000</v>
      </c>
      <c r="F34" s="38"/>
      <c r="G34" s="38">
        <v>0</v>
      </c>
      <c r="H34" s="38">
        <v>0</v>
      </c>
      <c r="I34" s="38">
        <v>500000</v>
      </c>
      <c r="J34" s="38">
        <v>0</v>
      </c>
      <c r="K34" s="38">
        <v>0</v>
      </c>
      <c r="L34" s="38">
        <v>0</v>
      </c>
      <c r="M34" s="38">
        <v>0</v>
      </c>
      <c r="N34" s="38">
        <v>0</v>
      </c>
      <c r="O34" s="38">
        <v>0</v>
      </c>
      <c r="P34" s="38">
        <v>0</v>
      </c>
      <c r="R34" s="38">
        <v>0</v>
      </c>
      <c r="S34" s="38">
        <v>0</v>
      </c>
      <c r="T34" s="38">
        <v>0</v>
      </c>
      <c r="U34" s="38">
        <v>0</v>
      </c>
      <c r="V34" s="38">
        <v>0</v>
      </c>
      <c r="W34" s="38">
        <v>0</v>
      </c>
      <c r="X34" s="38">
        <v>0</v>
      </c>
      <c r="Y34" s="38">
        <v>0</v>
      </c>
      <c r="Z34" s="38">
        <v>0</v>
      </c>
      <c r="AA34" s="38">
        <v>0</v>
      </c>
      <c r="AB34" s="38">
        <v>0</v>
      </c>
      <c r="AC34" s="38">
        <v>0</v>
      </c>
      <c r="AD34" s="38">
        <v>0</v>
      </c>
      <c r="AE34" s="38">
        <v>0</v>
      </c>
      <c r="AF34" s="38">
        <v>0</v>
      </c>
      <c r="AG34" s="38">
        <v>0</v>
      </c>
      <c r="AH34" s="38">
        <v>0</v>
      </c>
      <c r="AI34" s="38">
        <v>0</v>
      </c>
      <c r="AJ34" s="38">
        <v>0</v>
      </c>
      <c r="AK34" s="38">
        <v>0</v>
      </c>
      <c r="AL34" s="38">
        <v>0</v>
      </c>
      <c r="AM34" s="38">
        <v>0</v>
      </c>
      <c r="AN34" s="38">
        <v>0</v>
      </c>
    </row>
    <row r="35" spans="1:40" ht="14.25" hidden="1" customHeight="1" x14ac:dyDescent="0.2">
      <c r="B35" s="206" t="s">
        <v>44</v>
      </c>
      <c r="C35" s="201"/>
      <c r="D35" s="39">
        <v>0</v>
      </c>
      <c r="E35" s="39"/>
      <c r="F35" s="39">
        <v>0</v>
      </c>
      <c r="G35" s="39">
        <v>0</v>
      </c>
      <c r="H35" s="39">
        <v>0</v>
      </c>
      <c r="I35" s="39">
        <v>0</v>
      </c>
      <c r="J35" s="39"/>
      <c r="K35" s="39">
        <v>0</v>
      </c>
      <c r="L35" s="39">
        <v>0</v>
      </c>
      <c r="M35" s="39">
        <v>0</v>
      </c>
      <c r="N35" s="39">
        <v>0</v>
      </c>
      <c r="O35" s="39">
        <v>0</v>
      </c>
      <c r="P35" s="39">
        <v>0</v>
      </c>
      <c r="R35" s="39">
        <v>0</v>
      </c>
      <c r="S35" s="39">
        <v>0</v>
      </c>
      <c r="T35" s="39">
        <v>0</v>
      </c>
      <c r="U35" s="39">
        <v>0</v>
      </c>
      <c r="V35" s="39">
        <v>0</v>
      </c>
      <c r="W35" s="39">
        <v>0</v>
      </c>
      <c r="X35" s="39">
        <v>0</v>
      </c>
      <c r="Y35" s="39">
        <v>0</v>
      </c>
      <c r="Z35" s="39">
        <v>0</v>
      </c>
      <c r="AA35" s="39">
        <v>0</v>
      </c>
      <c r="AB35" s="39">
        <v>0</v>
      </c>
      <c r="AC35" s="39">
        <v>0</v>
      </c>
      <c r="AD35" s="39">
        <v>0</v>
      </c>
      <c r="AE35" s="39">
        <v>0</v>
      </c>
      <c r="AF35" s="39">
        <v>0</v>
      </c>
      <c r="AG35" s="39">
        <v>0</v>
      </c>
      <c r="AH35" s="39">
        <v>0</v>
      </c>
      <c r="AI35" s="39">
        <v>0</v>
      </c>
      <c r="AJ35" s="39">
        <v>0</v>
      </c>
      <c r="AK35" s="39">
        <v>0</v>
      </c>
      <c r="AL35" s="39">
        <v>0</v>
      </c>
      <c r="AM35" s="39">
        <v>0</v>
      </c>
      <c r="AN35" s="39">
        <v>0</v>
      </c>
    </row>
    <row r="36" spans="1:40" ht="14.25" hidden="1" customHeight="1" x14ac:dyDescent="0.2">
      <c r="B36" s="24" t="s">
        <v>46</v>
      </c>
      <c r="C36" s="15"/>
      <c r="D36" s="28">
        <f t="shared" ref="D36:P36" si="15">SUM(D34:D35)</f>
        <v>0</v>
      </c>
      <c r="E36" s="28">
        <f t="shared" si="15"/>
        <v>1000000</v>
      </c>
      <c r="F36" s="28">
        <f t="shared" si="15"/>
        <v>0</v>
      </c>
      <c r="G36" s="28">
        <f t="shared" si="15"/>
        <v>0</v>
      </c>
      <c r="H36" s="28">
        <f t="shared" si="15"/>
        <v>0</v>
      </c>
      <c r="I36" s="28">
        <f t="shared" si="15"/>
        <v>500000</v>
      </c>
      <c r="J36" s="28">
        <f t="shared" si="15"/>
        <v>0</v>
      </c>
      <c r="K36" s="28">
        <f t="shared" si="15"/>
        <v>0</v>
      </c>
      <c r="L36" s="28">
        <f t="shared" si="15"/>
        <v>0</v>
      </c>
      <c r="M36" s="28">
        <f t="shared" si="15"/>
        <v>0</v>
      </c>
      <c r="N36" s="28">
        <f t="shared" si="15"/>
        <v>0</v>
      </c>
      <c r="O36" s="28">
        <f t="shared" si="15"/>
        <v>0</v>
      </c>
      <c r="P36" s="28">
        <f t="shared" si="15"/>
        <v>0</v>
      </c>
      <c r="R36" s="28">
        <f t="shared" ref="R36:AN36" si="16">SUM(R34:R35)</f>
        <v>0</v>
      </c>
      <c r="S36" s="28">
        <f t="shared" si="16"/>
        <v>0</v>
      </c>
      <c r="T36" s="28">
        <f t="shared" si="16"/>
        <v>0</v>
      </c>
      <c r="U36" s="28">
        <f t="shared" si="16"/>
        <v>0</v>
      </c>
      <c r="V36" s="28">
        <f t="shared" si="16"/>
        <v>0</v>
      </c>
      <c r="W36" s="28">
        <f t="shared" si="16"/>
        <v>0</v>
      </c>
      <c r="X36" s="28">
        <f t="shared" si="16"/>
        <v>0</v>
      </c>
      <c r="Y36" s="28">
        <f t="shared" si="16"/>
        <v>0</v>
      </c>
      <c r="Z36" s="28">
        <f t="shared" si="16"/>
        <v>0</v>
      </c>
      <c r="AA36" s="28">
        <f t="shared" si="16"/>
        <v>0</v>
      </c>
      <c r="AB36" s="28">
        <f t="shared" si="16"/>
        <v>0</v>
      </c>
      <c r="AC36" s="28">
        <f t="shared" si="16"/>
        <v>0</v>
      </c>
      <c r="AD36" s="28">
        <f t="shared" si="16"/>
        <v>0</v>
      </c>
      <c r="AE36" s="28">
        <f t="shared" si="16"/>
        <v>0</v>
      </c>
      <c r="AF36" s="28">
        <f t="shared" si="16"/>
        <v>0</v>
      </c>
      <c r="AG36" s="28">
        <f t="shared" si="16"/>
        <v>0</v>
      </c>
      <c r="AH36" s="28">
        <f t="shared" si="16"/>
        <v>0</v>
      </c>
      <c r="AI36" s="28">
        <f t="shared" si="16"/>
        <v>0</v>
      </c>
      <c r="AJ36" s="28">
        <f t="shared" si="16"/>
        <v>0</v>
      </c>
      <c r="AK36" s="28">
        <f t="shared" si="16"/>
        <v>0</v>
      </c>
      <c r="AL36" s="28">
        <f t="shared" si="16"/>
        <v>0</v>
      </c>
      <c r="AM36" s="28">
        <f t="shared" si="16"/>
        <v>0</v>
      </c>
      <c r="AN36" s="28">
        <f t="shared" si="16"/>
        <v>0</v>
      </c>
    </row>
    <row r="37" spans="1:40" ht="14.25" hidden="1" customHeight="1" x14ac:dyDescent="0.2">
      <c r="B37" s="24"/>
      <c r="C37" s="15"/>
      <c r="D37" s="28"/>
      <c r="E37" s="28"/>
      <c r="F37" s="28"/>
      <c r="G37" s="28"/>
      <c r="H37" s="28"/>
      <c r="I37" s="28"/>
      <c r="J37" s="28"/>
      <c r="K37" s="28"/>
      <c r="L37" s="28"/>
      <c r="M37" s="28"/>
      <c r="N37" s="28"/>
      <c r="O37" s="28"/>
      <c r="P37" s="28"/>
      <c r="R37" s="28"/>
      <c r="S37" s="28"/>
      <c r="T37" s="28"/>
      <c r="U37" s="28"/>
      <c r="V37" s="28"/>
      <c r="W37" s="28"/>
      <c r="X37" s="28"/>
      <c r="Y37" s="28"/>
      <c r="Z37" s="28"/>
      <c r="AA37" s="28"/>
      <c r="AB37" s="28"/>
      <c r="AC37" s="28"/>
      <c r="AD37" s="28"/>
      <c r="AE37" s="28"/>
      <c r="AF37" s="28"/>
      <c r="AG37" s="28"/>
      <c r="AH37" s="28"/>
      <c r="AI37" s="28"/>
      <c r="AJ37" s="28"/>
      <c r="AK37" s="28"/>
      <c r="AL37" s="28"/>
      <c r="AM37" s="28"/>
      <c r="AN37" s="28"/>
    </row>
    <row r="38" spans="1:40" ht="14.25" hidden="1" customHeight="1" x14ac:dyDescent="0.2">
      <c r="B38" s="35" t="s">
        <v>47</v>
      </c>
      <c r="C38" s="36"/>
      <c r="D38" s="37"/>
      <c r="E38" s="37"/>
      <c r="F38" s="37"/>
      <c r="G38" s="37"/>
      <c r="H38" s="37"/>
      <c r="I38" s="37"/>
      <c r="J38" s="37"/>
      <c r="K38" s="37"/>
      <c r="L38" s="37"/>
      <c r="M38" s="37"/>
      <c r="N38" s="37"/>
      <c r="O38" s="37"/>
      <c r="P38" s="37"/>
      <c r="R38" s="37"/>
      <c r="S38" s="37"/>
      <c r="T38" s="37"/>
      <c r="U38" s="37"/>
      <c r="V38" s="37"/>
      <c r="W38" s="37"/>
      <c r="X38" s="37"/>
      <c r="Y38" s="37"/>
      <c r="Z38" s="37"/>
      <c r="AA38" s="37"/>
      <c r="AB38" s="37"/>
      <c r="AC38" s="37"/>
      <c r="AD38" s="37"/>
      <c r="AE38" s="37"/>
      <c r="AF38" s="37"/>
      <c r="AG38" s="37"/>
      <c r="AH38" s="37"/>
      <c r="AI38" s="37"/>
      <c r="AJ38" s="37"/>
      <c r="AK38" s="37"/>
      <c r="AL38" s="37"/>
      <c r="AM38" s="37"/>
      <c r="AN38" s="37"/>
    </row>
    <row r="39" spans="1:40" ht="14.25" hidden="1" customHeight="1" x14ac:dyDescent="0.2">
      <c r="B39" s="26" t="s">
        <v>48</v>
      </c>
      <c r="C39" s="15" t="s">
        <v>231</v>
      </c>
      <c r="D39" s="40">
        <v>0</v>
      </c>
      <c r="E39" s="40">
        <v>0</v>
      </c>
      <c r="F39" s="40">
        <v>0</v>
      </c>
      <c r="G39" s="40">
        <v>0</v>
      </c>
      <c r="H39" s="40">
        <v>0</v>
      </c>
      <c r="I39" s="40">
        <v>0</v>
      </c>
      <c r="J39" s="40">
        <v>0</v>
      </c>
      <c r="K39" s="40">
        <v>0</v>
      </c>
      <c r="L39" s="40">
        <v>0</v>
      </c>
      <c r="M39" s="40">
        <v>0</v>
      </c>
      <c r="N39" s="40">
        <v>0</v>
      </c>
      <c r="O39" s="40">
        <v>0</v>
      </c>
      <c r="P39" s="40">
        <v>0</v>
      </c>
      <c r="R39" s="40">
        <v>0</v>
      </c>
      <c r="S39" s="40">
        <v>0</v>
      </c>
      <c r="T39" s="40">
        <v>0</v>
      </c>
      <c r="U39" s="40">
        <v>0</v>
      </c>
      <c r="V39" s="40">
        <v>0</v>
      </c>
      <c r="W39" s="40">
        <v>0</v>
      </c>
      <c r="X39" s="40">
        <v>0</v>
      </c>
      <c r="Y39" s="40">
        <v>0</v>
      </c>
      <c r="Z39" s="40">
        <v>0</v>
      </c>
      <c r="AA39" s="40">
        <v>0</v>
      </c>
      <c r="AB39" s="40">
        <v>0</v>
      </c>
      <c r="AC39" s="40">
        <v>0</v>
      </c>
      <c r="AD39" s="40">
        <v>0</v>
      </c>
      <c r="AE39" s="40">
        <v>0</v>
      </c>
      <c r="AF39" s="40">
        <v>0</v>
      </c>
      <c r="AG39" s="40">
        <v>0</v>
      </c>
      <c r="AH39" s="40">
        <v>0</v>
      </c>
      <c r="AI39" s="40">
        <v>0</v>
      </c>
      <c r="AJ39" s="40">
        <v>0</v>
      </c>
      <c r="AK39" s="40">
        <v>0</v>
      </c>
      <c r="AL39" s="40">
        <v>0</v>
      </c>
      <c r="AM39" s="40">
        <v>0</v>
      </c>
      <c r="AN39" s="40">
        <v>0</v>
      </c>
    </row>
    <row r="40" spans="1:40" ht="14.25" hidden="1" customHeight="1" x14ac:dyDescent="0.2">
      <c r="B40" s="26" t="s">
        <v>50</v>
      </c>
      <c r="C40" s="15" t="s">
        <v>232</v>
      </c>
      <c r="D40" s="27"/>
      <c r="E40" s="27"/>
      <c r="F40" s="27"/>
      <c r="G40" s="27"/>
      <c r="H40" s="27"/>
      <c r="I40" s="27"/>
      <c r="J40" s="27"/>
      <c r="K40" s="27"/>
      <c r="L40" s="27"/>
      <c r="M40" s="27"/>
      <c r="N40" s="27"/>
      <c r="O40" s="27"/>
      <c r="P40" s="27">
        <v>0</v>
      </c>
      <c r="R40" s="27">
        <v>0</v>
      </c>
      <c r="S40" s="27">
        <v>0</v>
      </c>
      <c r="T40" s="27">
        <v>0</v>
      </c>
      <c r="U40" s="27">
        <v>0</v>
      </c>
      <c r="V40" s="27">
        <v>0</v>
      </c>
      <c r="W40" s="27">
        <v>0</v>
      </c>
      <c r="X40" s="27">
        <v>0</v>
      </c>
      <c r="Y40" s="27">
        <v>0</v>
      </c>
      <c r="Z40" s="27">
        <v>0</v>
      </c>
      <c r="AA40" s="27">
        <v>0</v>
      </c>
      <c r="AB40" s="27">
        <v>0</v>
      </c>
      <c r="AC40" s="27">
        <v>0</v>
      </c>
      <c r="AD40" s="27">
        <v>0</v>
      </c>
      <c r="AE40" s="27">
        <v>0</v>
      </c>
      <c r="AF40" s="27">
        <v>0</v>
      </c>
      <c r="AG40" s="27">
        <v>0</v>
      </c>
      <c r="AH40" s="27">
        <v>0</v>
      </c>
      <c r="AI40" s="27">
        <v>0</v>
      </c>
      <c r="AJ40" s="27">
        <v>0</v>
      </c>
      <c r="AK40" s="27">
        <v>0</v>
      </c>
      <c r="AL40" s="27">
        <v>0</v>
      </c>
      <c r="AM40" s="27">
        <v>0</v>
      </c>
      <c r="AN40" s="27">
        <v>0</v>
      </c>
    </row>
    <row r="41" spans="1:40" ht="14.25" hidden="1" customHeight="1" x14ac:dyDescent="0.2">
      <c r="B41" s="26" t="s">
        <v>52</v>
      </c>
      <c r="C41" s="15" t="s">
        <v>233</v>
      </c>
      <c r="D41" s="40">
        <v>0</v>
      </c>
      <c r="E41" s="40">
        <v>0</v>
      </c>
      <c r="F41" s="40">
        <v>0</v>
      </c>
      <c r="G41" s="40"/>
      <c r="H41" s="40"/>
      <c r="I41" s="40">
        <v>0</v>
      </c>
      <c r="J41" s="40"/>
      <c r="K41" s="40">
        <v>0</v>
      </c>
      <c r="L41" s="40">
        <v>0</v>
      </c>
      <c r="M41" s="40">
        <v>0</v>
      </c>
      <c r="N41" s="40">
        <v>0</v>
      </c>
      <c r="O41" s="40">
        <v>0</v>
      </c>
      <c r="P41" s="40">
        <v>0</v>
      </c>
      <c r="R41" s="40">
        <v>0</v>
      </c>
      <c r="S41" s="40">
        <v>0</v>
      </c>
      <c r="T41" s="40">
        <v>0</v>
      </c>
      <c r="U41" s="40">
        <v>0</v>
      </c>
      <c r="V41" s="40">
        <v>0</v>
      </c>
      <c r="W41" s="40">
        <v>0</v>
      </c>
      <c r="X41" s="40">
        <v>0</v>
      </c>
      <c r="Y41" s="40">
        <v>0</v>
      </c>
      <c r="Z41" s="40">
        <v>0</v>
      </c>
      <c r="AA41" s="40">
        <v>0</v>
      </c>
      <c r="AB41" s="40">
        <v>0</v>
      </c>
      <c r="AC41" s="40">
        <v>0</v>
      </c>
      <c r="AD41" s="40">
        <v>0</v>
      </c>
      <c r="AE41" s="40">
        <v>0</v>
      </c>
      <c r="AF41" s="40">
        <v>0</v>
      </c>
      <c r="AG41" s="40">
        <v>0</v>
      </c>
      <c r="AH41" s="40">
        <v>0</v>
      </c>
      <c r="AI41" s="40">
        <v>0</v>
      </c>
      <c r="AJ41" s="40">
        <v>0</v>
      </c>
      <c r="AK41" s="40">
        <v>0</v>
      </c>
      <c r="AL41" s="40">
        <v>0</v>
      </c>
      <c r="AM41" s="40">
        <v>0</v>
      </c>
      <c r="AN41" s="40">
        <v>0</v>
      </c>
    </row>
    <row r="42" spans="1:40" ht="14.25" hidden="1" customHeight="1" x14ac:dyDescent="0.2">
      <c r="B42" s="24"/>
      <c r="C42" s="15"/>
      <c r="D42" s="27"/>
      <c r="E42" s="27"/>
      <c r="F42" s="27"/>
      <c r="G42" s="27"/>
      <c r="H42" s="27"/>
      <c r="I42" s="27"/>
      <c r="J42" s="27"/>
      <c r="K42" s="27"/>
      <c r="L42" s="27"/>
      <c r="M42" s="27"/>
      <c r="N42" s="27"/>
      <c r="O42" s="27"/>
      <c r="P42" s="27"/>
      <c r="R42" s="27"/>
      <c r="S42" s="27"/>
      <c r="T42" s="27"/>
      <c r="U42" s="27"/>
      <c r="V42" s="27"/>
      <c r="W42" s="27"/>
      <c r="X42" s="27"/>
      <c r="Y42" s="27"/>
      <c r="Z42" s="27"/>
      <c r="AA42" s="27"/>
      <c r="AB42" s="27"/>
      <c r="AC42" s="27"/>
      <c r="AD42" s="27"/>
      <c r="AE42" s="27"/>
      <c r="AF42" s="27"/>
      <c r="AG42" s="27"/>
      <c r="AH42" s="27"/>
      <c r="AI42" s="27"/>
      <c r="AJ42" s="27"/>
      <c r="AK42" s="27"/>
      <c r="AL42" s="27"/>
      <c r="AM42" s="27"/>
      <c r="AN42" s="27"/>
    </row>
    <row r="43" spans="1:40" ht="14.25" hidden="1" customHeight="1" x14ac:dyDescent="0.2">
      <c r="B43" s="197" t="s">
        <v>54</v>
      </c>
      <c r="C43" s="207"/>
      <c r="D43" s="208" t="e">
        <f t="shared" ref="D43:P43" si="17">D31+D36-SUM(D39:D41)</f>
        <v>#N/A</v>
      </c>
      <c r="E43" s="208" t="e">
        <f t="shared" si="17"/>
        <v>#N/A</v>
      </c>
      <c r="F43" s="208" t="e">
        <f t="shared" si="17"/>
        <v>#N/A</v>
      </c>
      <c r="G43" s="208" t="e">
        <f t="shared" si="17"/>
        <v>#N/A</v>
      </c>
      <c r="H43" s="208" t="e">
        <f t="shared" si="17"/>
        <v>#N/A</v>
      </c>
      <c r="I43" s="208" t="e">
        <f t="shared" si="17"/>
        <v>#N/A</v>
      </c>
      <c r="J43" s="208" t="e">
        <f t="shared" si="17"/>
        <v>#N/A</v>
      </c>
      <c r="K43" s="208" t="e">
        <f t="shared" si="17"/>
        <v>#N/A</v>
      </c>
      <c r="L43" s="208" t="e">
        <f t="shared" si="17"/>
        <v>#N/A</v>
      </c>
      <c r="M43" s="208" t="e">
        <f t="shared" si="17"/>
        <v>#N/A</v>
      </c>
      <c r="N43" s="208" t="e">
        <f t="shared" si="17"/>
        <v>#N/A</v>
      </c>
      <c r="O43" s="208" t="e">
        <f t="shared" si="17"/>
        <v>#N/A</v>
      </c>
      <c r="P43" s="208" t="e">
        <f t="shared" si="17"/>
        <v>#N/A</v>
      </c>
      <c r="R43" s="208" t="e">
        <f t="shared" ref="R43:AN43" si="18">R31+R36-SUM(R39:R41)</f>
        <v>#N/A</v>
      </c>
      <c r="S43" s="208" t="e">
        <f t="shared" si="18"/>
        <v>#N/A</v>
      </c>
      <c r="T43" s="208" t="e">
        <f t="shared" si="18"/>
        <v>#N/A</v>
      </c>
      <c r="U43" s="208" t="e">
        <f t="shared" si="18"/>
        <v>#N/A</v>
      </c>
      <c r="V43" s="208" t="e">
        <f t="shared" si="18"/>
        <v>#N/A</v>
      </c>
      <c r="W43" s="208" t="e">
        <f t="shared" si="18"/>
        <v>#N/A</v>
      </c>
      <c r="X43" s="208" t="e">
        <f t="shared" si="18"/>
        <v>#N/A</v>
      </c>
      <c r="Y43" s="208" t="e">
        <f t="shared" si="18"/>
        <v>#N/A</v>
      </c>
      <c r="Z43" s="208" t="e">
        <f t="shared" si="18"/>
        <v>#N/A</v>
      </c>
      <c r="AA43" s="208" t="e">
        <f t="shared" si="18"/>
        <v>#N/A</v>
      </c>
      <c r="AB43" s="208" t="e">
        <f t="shared" si="18"/>
        <v>#N/A</v>
      </c>
      <c r="AC43" s="208" t="e">
        <f t="shared" si="18"/>
        <v>#N/A</v>
      </c>
      <c r="AD43" s="208" t="e">
        <f t="shared" si="18"/>
        <v>#N/A</v>
      </c>
      <c r="AE43" s="208" t="e">
        <f t="shared" si="18"/>
        <v>#N/A</v>
      </c>
      <c r="AF43" s="208" t="e">
        <f t="shared" si="18"/>
        <v>#N/A</v>
      </c>
      <c r="AG43" s="208" t="e">
        <f t="shared" si="18"/>
        <v>#N/A</v>
      </c>
      <c r="AH43" s="208" t="e">
        <f t="shared" si="18"/>
        <v>#N/A</v>
      </c>
      <c r="AI43" s="208" t="e">
        <f t="shared" si="18"/>
        <v>#N/A</v>
      </c>
      <c r="AJ43" s="208" t="e">
        <f t="shared" si="18"/>
        <v>#N/A</v>
      </c>
      <c r="AK43" s="208" t="e">
        <f t="shared" si="18"/>
        <v>#N/A</v>
      </c>
      <c r="AL43" s="208" t="e">
        <f t="shared" si="18"/>
        <v>#N/A</v>
      </c>
      <c r="AM43" s="208" t="e">
        <f t="shared" si="18"/>
        <v>#N/A</v>
      </c>
      <c r="AN43" s="208" t="e">
        <f t="shared" si="18"/>
        <v>#N/A</v>
      </c>
    </row>
    <row r="44" spans="1:40" ht="14.25" hidden="1" customHeight="1" x14ac:dyDescent="0.2">
      <c r="B44" s="26"/>
      <c r="C44" s="15"/>
      <c r="D44" s="41"/>
      <c r="E44" s="41"/>
      <c r="F44" s="41"/>
      <c r="G44" s="41"/>
      <c r="H44" s="41"/>
      <c r="I44" s="41"/>
      <c r="J44" s="41"/>
      <c r="K44" s="41"/>
      <c r="L44" s="41"/>
      <c r="M44" s="41"/>
      <c r="N44" s="41"/>
      <c r="O44" s="41"/>
      <c r="P44" s="41"/>
      <c r="R44" s="41"/>
      <c r="S44" s="41"/>
      <c r="T44" s="41"/>
      <c r="U44" s="41"/>
      <c r="V44" s="41"/>
      <c r="W44" s="41"/>
      <c r="X44" s="41"/>
      <c r="Y44" s="41"/>
      <c r="Z44" s="41"/>
      <c r="AA44" s="41"/>
      <c r="AB44" s="41"/>
      <c r="AC44" s="41"/>
      <c r="AD44" s="41"/>
      <c r="AE44" s="41"/>
      <c r="AF44" s="41"/>
      <c r="AG44" s="41"/>
      <c r="AH44" s="41"/>
      <c r="AI44" s="41"/>
      <c r="AJ44" s="41"/>
      <c r="AK44" s="41"/>
      <c r="AL44" s="41"/>
      <c r="AM44" s="41"/>
      <c r="AN44" s="41"/>
    </row>
    <row r="45" spans="1:40" ht="14.25" hidden="1" customHeight="1" x14ac:dyDescent="0.2">
      <c r="B45" s="26" t="s">
        <v>56</v>
      </c>
      <c r="C45" s="15" t="s">
        <v>234</v>
      </c>
      <c r="D45" s="43">
        <v>1672325</v>
      </c>
      <c r="E45" s="27" t="e">
        <f t="shared" ref="E45:P45" si="19">D48</f>
        <v>#N/A</v>
      </c>
      <c r="F45" s="27" t="e">
        <f t="shared" si="19"/>
        <v>#N/A</v>
      </c>
      <c r="G45" s="27" t="e">
        <f t="shared" si="19"/>
        <v>#N/A</v>
      </c>
      <c r="H45" s="27" t="e">
        <f t="shared" si="19"/>
        <v>#N/A</v>
      </c>
      <c r="I45" s="27" t="e">
        <f t="shared" si="19"/>
        <v>#N/A</v>
      </c>
      <c r="J45" s="27" t="e">
        <f t="shared" si="19"/>
        <v>#N/A</v>
      </c>
      <c r="K45" s="27" t="e">
        <f t="shared" si="19"/>
        <v>#N/A</v>
      </c>
      <c r="L45" s="27" t="e">
        <f t="shared" si="19"/>
        <v>#N/A</v>
      </c>
      <c r="M45" s="27" t="e">
        <f t="shared" si="19"/>
        <v>#N/A</v>
      </c>
      <c r="N45" s="27" t="e">
        <f t="shared" si="19"/>
        <v>#N/A</v>
      </c>
      <c r="O45" s="27" t="e">
        <f t="shared" si="19"/>
        <v>#N/A</v>
      </c>
      <c r="P45" s="27" t="e">
        <f t="shared" si="19"/>
        <v>#N/A</v>
      </c>
      <c r="R45" s="27" t="e">
        <f>P48</f>
        <v>#N/A</v>
      </c>
      <c r="S45" s="27" t="e">
        <f t="shared" ref="S45:AN45" si="20">R48</f>
        <v>#N/A</v>
      </c>
      <c r="T45" s="27" t="e">
        <f t="shared" si="20"/>
        <v>#N/A</v>
      </c>
      <c r="U45" s="27" t="e">
        <f t="shared" si="20"/>
        <v>#N/A</v>
      </c>
      <c r="V45" s="27" t="e">
        <f t="shared" si="20"/>
        <v>#N/A</v>
      </c>
      <c r="W45" s="27" t="e">
        <f t="shared" si="20"/>
        <v>#N/A</v>
      </c>
      <c r="X45" s="27" t="e">
        <f t="shared" si="20"/>
        <v>#N/A</v>
      </c>
      <c r="Y45" s="27" t="e">
        <f t="shared" si="20"/>
        <v>#N/A</v>
      </c>
      <c r="Z45" s="27" t="e">
        <f t="shared" si="20"/>
        <v>#N/A</v>
      </c>
      <c r="AA45" s="27" t="e">
        <f t="shared" si="20"/>
        <v>#N/A</v>
      </c>
      <c r="AB45" s="27" t="e">
        <f t="shared" si="20"/>
        <v>#N/A</v>
      </c>
      <c r="AC45" s="27" t="e">
        <f t="shared" si="20"/>
        <v>#N/A</v>
      </c>
      <c r="AD45" s="27" t="e">
        <f t="shared" si="20"/>
        <v>#N/A</v>
      </c>
      <c r="AE45" s="27" t="e">
        <f t="shared" si="20"/>
        <v>#N/A</v>
      </c>
      <c r="AF45" s="27" t="e">
        <f t="shared" si="20"/>
        <v>#N/A</v>
      </c>
      <c r="AG45" s="27" t="e">
        <f t="shared" si="20"/>
        <v>#N/A</v>
      </c>
      <c r="AH45" s="27" t="e">
        <f t="shared" si="20"/>
        <v>#N/A</v>
      </c>
      <c r="AI45" s="27" t="e">
        <f t="shared" si="20"/>
        <v>#N/A</v>
      </c>
      <c r="AJ45" s="27" t="e">
        <f t="shared" si="20"/>
        <v>#N/A</v>
      </c>
      <c r="AK45" s="27" t="e">
        <f t="shared" si="20"/>
        <v>#N/A</v>
      </c>
      <c r="AL45" s="27" t="e">
        <f t="shared" si="20"/>
        <v>#N/A</v>
      </c>
      <c r="AM45" s="27" t="e">
        <f t="shared" si="20"/>
        <v>#N/A</v>
      </c>
      <c r="AN45" s="27" t="e">
        <f t="shared" si="20"/>
        <v>#N/A</v>
      </c>
    </row>
    <row r="46" spans="1:40" ht="14.25" hidden="1" customHeight="1" x14ac:dyDescent="0.2">
      <c r="B46" s="26" t="s">
        <v>58</v>
      </c>
      <c r="C46" s="15" t="s">
        <v>235</v>
      </c>
      <c r="D46" s="43"/>
      <c r="E46" s="44"/>
      <c r="F46" s="44"/>
      <c r="G46" s="44"/>
      <c r="H46" s="44"/>
      <c r="I46" s="44"/>
      <c r="J46" s="44"/>
      <c r="K46" s="44"/>
      <c r="L46" s="44"/>
      <c r="M46" s="44"/>
      <c r="N46" s="44"/>
      <c r="O46" s="44"/>
      <c r="P46" s="44"/>
      <c r="R46" s="44"/>
      <c r="S46" s="44"/>
      <c r="T46" s="44"/>
      <c r="U46" s="44"/>
      <c r="V46" s="44"/>
      <c r="W46" s="44"/>
      <c r="X46" s="44"/>
      <c r="Y46" s="44"/>
      <c r="Z46" s="44"/>
      <c r="AA46" s="44"/>
      <c r="AB46" s="44"/>
      <c r="AC46" s="44"/>
      <c r="AD46" s="44"/>
      <c r="AE46" s="44"/>
      <c r="AF46" s="44"/>
      <c r="AG46" s="44"/>
      <c r="AH46" s="44"/>
      <c r="AI46" s="44"/>
      <c r="AJ46" s="44"/>
      <c r="AK46" s="44"/>
      <c r="AL46" s="44"/>
      <c r="AM46" s="44"/>
      <c r="AN46" s="44"/>
    </row>
    <row r="47" spans="1:40" ht="14.25" hidden="1" customHeight="1" x14ac:dyDescent="0.2">
      <c r="B47" s="26"/>
      <c r="C47" s="15"/>
      <c r="D47" s="27"/>
      <c r="E47" s="27"/>
      <c r="F47" s="27"/>
      <c r="G47" s="27"/>
      <c r="H47" s="27"/>
      <c r="I47" s="27"/>
      <c r="J47" s="27"/>
      <c r="K47" s="27"/>
      <c r="L47" s="27"/>
      <c r="M47" s="27"/>
      <c r="N47" s="27"/>
      <c r="O47" s="27"/>
      <c r="P47" s="27"/>
      <c r="R47" s="27"/>
      <c r="S47" s="27"/>
      <c r="T47" s="27"/>
      <c r="U47" s="27"/>
      <c r="V47" s="27"/>
      <c r="W47" s="27"/>
      <c r="X47" s="27"/>
      <c r="Y47" s="27"/>
      <c r="Z47" s="27"/>
      <c r="AA47" s="27"/>
      <c r="AB47" s="27"/>
      <c r="AC47" s="27"/>
      <c r="AD47" s="27"/>
      <c r="AE47" s="27"/>
      <c r="AF47" s="27"/>
      <c r="AG47" s="27"/>
      <c r="AH47" s="27"/>
      <c r="AI47" s="27"/>
      <c r="AJ47" s="27"/>
      <c r="AK47" s="27"/>
      <c r="AL47" s="27"/>
      <c r="AM47" s="27"/>
      <c r="AN47" s="27"/>
    </row>
    <row r="48" spans="1:40" ht="14.25" hidden="1" customHeight="1" x14ac:dyDescent="0.2">
      <c r="A48" s="24"/>
      <c r="B48" s="193" t="s">
        <v>60</v>
      </c>
      <c r="C48" s="207"/>
      <c r="D48" s="208" t="e">
        <f t="shared" ref="D48:P48" si="21">D45+D43+D46</f>
        <v>#N/A</v>
      </c>
      <c r="E48" s="208" t="e">
        <f t="shared" si="21"/>
        <v>#N/A</v>
      </c>
      <c r="F48" s="208" t="e">
        <f t="shared" si="21"/>
        <v>#N/A</v>
      </c>
      <c r="G48" s="208" t="e">
        <f t="shared" si="21"/>
        <v>#N/A</v>
      </c>
      <c r="H48" s="208" t="e">
        <f t="shared" si="21"/>
        <v>#N/A</v>
      </c>
      <c r="I48" s="208" t="e">
        <f t="shared" si="21"/>
        <v>#N/A</v>
      </c>
      <c r="J48" s="208" t="e">
        <f t="shared" si="21"/>
        <v>#N/A</v>
      </c>
      <c r="K48" s="208" t="e">
        <f t="shared" si="21"/>
        <v>#N/A</v>
      </c>
      <c r="L48" s="208" t="e">
        <f t="shared" si="21"/>
        <v>#N/A</v>
      </c>
      <c r="M48" s="208" t="e">
        <f t="shared" si="21"/>
        <v>#N/A</v>
      </c>
      <c r="N48" s="208" t="e">
        <f t="shared" si="21"/>
        <v>#N/A</v>
      </c>
      <c r="O48" s="208" t="e">
        <f t="shared" si="21"/>
        <v>#N/A</v>
      </c>
      <c r="P48" s="208" t="e">
        <f t="shared" si="21"/>
        <v>#N/A</v>
      </c>
      <c r="R48" s="208" t="e">
        <f t="shared" ref="R48:AN48" si="22">R45+R43+R46</f>
        <v>#N/A</v>
      </c>
      <c r="S48" s="208" t="e">
        <f t="shared" si="22"/>
        <v>#N/A</v>
      </c>
      <c r="T48" s="208" t="e">
        <f t="shared" si="22"/>
        <v>#N/A</v>
      </c>
      <c r="U48" s="208" t="e">
        <f t="shared" si="22"/>
        <v>#N/A</v>
      </c>
      <c r="V48" s="208" t="e">
        <f t="shared" si="22"/>
        <v>#N/A</v>
      </c>
      <c r="W48" s="208" t="e">
        <f t="shared" si="22"/>
        <v>#N/A</v>
      </c>
      <c r="X48" s="208" t="e">
        <f t="shared" si="22"/>
        <v>#N/A</v>
      </c>
      <c r="Y48" s="208" t="e">
        <f t="shared" si="22"/>
        <v>#N/A</v>
      </c>
      <c r="Z48" s="208" t="e">
        <f t="shared" si="22"/>
        <v>#N/A</v>
      </c>
      <c r="AA48" s="208" t="e">
        <f t="shared" si="22"/>
        <v>#N/A</v>
      </c>
      <c r="AB48" s="208" t="e">
        <f t="shared" si="22"/>
        <v>#N/A</v>
      </c>
      <c r="AC48" s="208" t="e">
        <f t="shared" si="22"/>
        <v>#N/A</v>
      </c>
      <c r="AD48" s="208" t="e">
        <f t="shared" si="22"/>
        <v>#N/A</v>
      </c>
      <c r="AE48" s="208" t="e">
        <f t="shared" si="22"/>
        <v>#N/A</v>
      </c>
      <c r="AF48" s="208" t="e">
        <f t="shared" si="22"/>
        <v>#N/A</v>
      </c>
      <c r="AG48" s="208" t="e">
        <f t="shared" si="22"/>
        <v>#N/A</v>
      </c>
      <c r="AH48" s="208" t="e">
        <f t="shared" si="22"/>
        <v>#N/A</v>
      </c>
      <c r="AI48" s="208" t="e">
        <f t="shared" si="22"/>
        <v>#N/A</v>
      </c>
      <c r="AJ48" s="208" t="e">
        <f t="shared" si="22"/>
        <v>#N/A</v>
      </c>
      <c r="AK48" s="208" t="e">
        <f t="shared" si="22"/>
        <v>#N/A</v>
      </c>
      <c r="AL48" s="208" t="e">
        <f t="shared" si="22"/>
        <v>#N/A</v>
      </c>
      <c r="AM48" s="208" t="e">
        <f t="shared" si="22"/>
        <v>#N/A</v>
      </c>
      <c r="AN48" s="208" t="e">
        <f t="shared" si="22"/>
        <v>#N/A</v>
      </c>
    </row>
    <row r="49" spans="1:40" ht="14.25" hidden="1" customHeight="1" x14ac:dyDescent="0.2">
      <c r="C49" s="15"/>
    </row>
    <row r="50" spans="1:40" ht="14.25" hidden="1" customHeight="1" x14ac:dyDescent="0.2">
      <c r="C50" s="15"/>
    </row>
    <row r="51" spans="1:40" ht="14.25" hidden="1" customHeight="1" x14ac:dyDescent="0.2">
      <c r="A51" s="15"/>
      <c r="B51" s="1" t="s">
        <v>506</v>
      </c>
      <c r="C51" s="15"/>
      <c r="S51" s="15"/>
      <c r="T51" s="15"/>
      <c r="U51" s="15"/>
      <c r="V51" s="15"/>
      <c r="W51" s="15"/>
      <c r="X51" s="15"/>
      <c r="Y51" s="15"/>
      <c r="Z51" s="15"/>
      <c r="AA51" s="15"/>
      <c r="AB51" s="15"/>
      <c r="AC51" s="15"/>
      <c r="AD51" s="15"/>
      <c r="AE51" s="15"/>
      <c r="AF51" s="15"/>
      <c r="AG51" s="15"/>
      <c r="AH51" s="15"/>
      <c r="AI51" s="15"/>
      <c r="AJ51" s="15"/>
      <c r="AK51" s="15"/>
      <c r="AL51" s="15"/>
      <c r="AM51" s="15"/>
      <c r="AN51" s="15"/>
    </row>
    <row r="52" spans="1:40" ht="14.25" customHeight="1" x14ac:dyDescent="0.2">
      <c r="C52" s="15"/>
    </row>
    <row r="53" spans="1:40" ht="14.25" customHeight="1" x14ac:dyDescent="0.2">
      <c r="C53" s="15"/>
    </row>
    <row r="54" spans="1:40" ht="14.25" customHeight="1" x14ac:dyDescent="0.2">
      <c r="C54" s="15"/>
    </row>
    <row r="55" spans="1:40" ht="14.25" customHeight="1" x14ac:dyDescent="0.2">
      <c r="C55" s="15"/>
    </row>
    <row r="56" spans="1:40" ht="14.25" customHeight="1" x14ac:dyDescent="0.2">
      <c r="C56" s="15"/>
    </row>
    <row r="57" spans="1:40" ht="14.25" customHeight="1" x14ac:dyDescent="0.2">
      <c r="C57" s="15"/>
    </row>
    <row r="58" spans="1:40" ht="14.25" customHeight="1" x14ac:dyDescent="0.2">
      <c r="C58" s="15"/>
    </row>
    <row r="59" spans="1:40" ht="14.25" customHeight="1" x14ac:dyDescent="0.2">
      <c r="C59" s="15"/>
      <c r="D59" s="21">
        <v>45789</v>
      </c>
      <c r="E59" s="21">
        <v>45796</v>
      </c>
      <c r="F59" s="21">
        <v>45803</v>
      </c>
      <c r="G59" s="21">
        <v>45810</v>
      </c>
      <c r="H59" s="21">
        <v>45817</v>
      </c>
      <c r="I59" s="21">
        <v>45824</v>
      </c>
      <c r="J59" s="21">
        <v>45831</v>
      </c>
      <c r="K59" s="21">
        <v>45838</v>
      </c>
      <c r="L59" s="21">
        <v>45845</v>
      </c>
      <c r="M59" s="21">
        <v>45852</v>
      </c>
      <c r="N59" s="21">
        <v>45859</v>
      </c>
      <c r="O59" s="21">
        <v>45866</v>
      </c>
      <c r="P59" s="21">
        <v>45873</v>
      </c>
      <c r="R59" s="21">
        <v>45880</v>
      </c>
      <c r="S59" s="21">
        <v>45887</v>
      </c>
      <c r="T59" s="21">
        <v>45894</v>
      </c>
      <c r="U59" s="21">
        <v>45901</v>
      </c>
      <c r="V59" s="21">
        <v>45908</v>
      </c>
      <c r="W59" s="21">
        <v>45915</v>
      </c>
      <c r="X59" s="21">
        <v>45922</v>
      </c>
      <c r="Y59" s="21">
        <v>45929</v>
      </c>
      <c r="Z59" s="21">
        <v>45936</v>
      </c>
      <c r="AA59" s="21">
        <v>45943</v>
      </c>
      <c r="AB59" s="21">
        <v>45950</v>
      </c>
      <c r="AC59" s="21">
        <v>45957</v>
      </c>
      <c r="AD59" s="21">
        <v>45964</v>
      </c>
      <c r="AE59" s="21">
        <v>45971</v>
      </c>
      <c r="AF59" s="21">
        <v>45978</v>
      </c>
      <c r="AG59" s="21">
        <v>45985</v>
      </c>
      <c r="AH59" s="21">
        <v>45992</v>
      </c>
      <c r="AI59" s="21">
        <v>45999</v>
      </c>
      <c r="AJ59" s="21">
        <v>46006</v>
      </c>
      <c r="AK59" s="21">
        <v>46013</v>
      </c>
      <c r="AL59" s="21">
        <v>46020</v>
      </c>
      <c r="AM59" s="21">
        <v>46027</v>
      </c>
      <c r="AN59" s="21">
        <v>46034</v>
      </c>
    </row>
    <row r="60" spans="1:40" ht="14.25" customHeight="1" x14ac:dyDescent="0.2">
      <c r="C60" s="15"/>
      <c r="D60" s="23"/>
      <c r="E60" s="23"/>
      <c r="F60" s="23"/>
      <c r="G60" s="23"/>
      <c r="H60" s="23"/>
      <c r="I60" s="23"/>
      <c r="J60" s="23"/>
      <c r="K60" s="23"/>
      <c r="L60" s="23"/>
      <c r="M60" s="23"/>
      <c r="N60" s="23"/>
      <c r="O60" s="23"/>
      <c r="P60" s="23"/>
      <c r="R60" s="23"/>
      <c r="S60" s="23"/>
      <c r="T60" s="23"/>
      <c r="U60" s="23"/>
      <c r="V60" s="23"/>
      <c r="W60" s="23"/>
      <c r="X60" s="23"/>
      <c r="Y60" s="23"/>
      <c r="Z60" s="23"/>
      <c r="AA60" s="23"/>
      <c r="AB60" s="23"/>
      <c r="AC60" s="23"/>
      <c r="AD60" s="23"/>
      <c r="AE60" s="23"/>
      <c r="AF60" s="23"/>
      <c r="AG60" s="23"/>
      <c r="AH60" s="23"/>
      <c r="AI60" s="23"/>
      <c r="AJ60" s="23"/>
      <c r="AK60" s="23"/>
      <c r="AL60" s="23"/>
      <c r="AM60" s="23"/>
      <c r="AN60" s="23"/>
    </row>
    <row r="61" spans="1:40" ht="14.25" customHeight="1" x14ac:dyDescent="0.2">
      <c r="C61" s="15"/>
      <c r="D61" s="25"/>
      <c r="E61" s="25"/>
      <c r="F61" s="25"/>
      <c r="G61" s="25"/>
      <c r="H61" s="25"/>
      <c r="I61" s="25"/>
      <c r="J61" s="25"/>
      <c r="K61" s="25"/>
      <c r="L61" s="25"/>
      <c r="M61" s="25"/>
      <c r="N61" s="25"/>
      <c r="O61" s="25"/>
      <c r="P61" s="25"/>
      <c r="R61" s="25"/>
      <c r="S61" s="25"/>
      <c r="T61" s="25"/>
      <c r="U61" s="25"/>
      <c r="V61" s="25"/>
      <c r="W61" s="25"/>
      <c r="X61" s="25"/>
      <c r="Y61" s="25"/>
      <c r="Z61" s="25"/>
      <c r="AA61" s="25"/>
      <c r="AB61" s="25"/>
      <c r="AC61" s="25"/>
      <c r="AD61" s="25"/>
      <c r="AE61" s="25"/>
      <c r="AF61" s="25"/>
      <c r="AG61" s="25"/>
      <c r="AH61" s="25"/>
      <c r="AI61" s="25"/>
      <c r="AJ61" s="25"/>
      <c r="AK61" s="25"/>
      <c r="AL61" s="25"/>
      <c r="AM61" s="25"/>
      <c r="AN61" s="25"/>
    </row>
    <row r="62" spans="1:40" ht="14.25" customHeight="1" x14ac:dyDescent="0.2">
      <c r="C62" s="15"/>
      <c r="D62" s="145">
        <v>56250</v>
      </c>
      <c r="E62" s="145">
        <v>56250</v>
      </c>
      <c r="F62" s="145">
        <v>80000</v>
      </c>
      <c r="G62" s="145">
        <v>80000</v>
      </c>
      <c r="H62" s="145">
        <v>80000</v>
      </c>
      <c r="I62" s="145">
        <v>80000</v>
      </c>
      <c r="J62" s="145">
        <v>125000</v>
      </c>
      <c r="K62" s="145">
        <v>125000</v>
      </c>
      <c r="L62" s="145">
        <v>125000</v>
      </c>
      <c r="M62" s="145">
        <v>125000</v>
      </c>
      <c r="N62" s="145">
        <v>212500</v>
      </c>
      <c r="O62" s="145">
        <v>212500</v>
      </c>
      <c r="P62" s="145">
        <v>212500</v>
      </c>
      <c r="R62" s="27">
        <v>212500</v>
      </c>
      <c r="S62" s="27">
        <v>225000</v>
      </c>
      <c r="T62" s="27">
        <v>225000</v>
      </c>
      <c r="U62" s="27">
        <v>225000</v>
      </c>
      <c r="V62" s="27">
        <v>225000</v>
      </c>
      <c r="W62" s="27">
        <v>250000</v>
      </c>
      <c r="X62" s="27">
        <v>250000</v>
      </c>
      <c r="Y62" s="27">
        <v>250000</v>
      </c>
      <c r="Z62" s="27">
        <v>250000</v>
      </c>
      <c r="AA62" s="27">
        <v>125000</v>
      </c>
      <c r="AB62" s="27">
        <v>125000</v>
      </c>
      <c r="AC62" s="27">
        <v>413583.20499999996</v>
      </c>
      <c r="AD62" s="27">
        <v>355788.25374999997</v>
      </c>
      <c r="AE62" s="27">
        <v>355788.25374999997</v>
      </c>
      <c r="AF62" s="27">
        <v>355788.25374999997</v>
      </c>
      <c r="AG62" s="27">
        <v>355788.25374999997</v>
      </c>
      <c r="AH62" s="27">
        <v>222726.3</v>
      </c>
      <c r="AI62" s="27">
        <v>222726.3</v>
      </c>
      <c r="AJ62" s="27">
        <v>222726.3</v>
      </c>
      <c r="AK62" s="27">
        <v>222726.3</v>
      </c>
      <c r="AL62" s="27">
        <v>222726.3</v>
      </c>
      <c r="AM62" s="27">
        <v>168669.76375000001</v>
      </c>
      <c r="AN62" s="27">
        <v>168669.76375000001</v>
      </c>
    </row>
    <row r="63" spans="1:40" ht="14.25" customHeight="1" x14ac:dyDescent="0.2">
      <c r="C63" s="15"/>
    </row>
    <row r="64" spans="1:40" ht="14.25" customHeight="1" x14ac:dyDescent="0.2">
      <c r="C64" s="15"/>
    </row>
    <row r="65" spans="3:3" ht="14.25" customHeight="1" x14ac:dyDescent="0.2">
      <c r="C65" s="15"/>
    </row>
    <row r="66" spans="3:3" ht="14.25" customHeight="1" x14ac:dyDescent="0.2">
      <c r="C66" s="15"/>
    </row>
    <row r="67" spans="3:3" ht="14.25" customHeight="1" x14ac:dyDescent="0.2">
      <c r="C67" s="15"/>
    </row>
    <row r="68" spans="3:3" ht="14.25" customHeight="1" x14ac:dyDescent="0.2">
      <c r="C68" s="15"/>
    </row>
    <row r="69" spans="3:3" ht="14.25" customHeight="1" x14ac:dyDescent="0.2">
      <c r="C69" s="15"/>
    </row>
    <row r="70" spans="3:3" ht="14.25" customHeight="1" x14ac:dyDescent="0.2">
      <c r="C70" s="15"/>
    </row>
    <row r="71" spans="3:3" ht="14.25" customHeight="1" x14ac:dyDescent="0.2">
      <c r="C71" s="15"/>
    </row>
    <row r="72" spans="3:3" ht="14.25" customHeight="1" x14ac:dyDescent="0.2">
      <c r="C72" s="15"/>
    </row>
    <row r="73" spans="3:3" ht="14.25" customHeight="1" x14ac:dyDescent="0.2">
      <c r="C73" s="15"/>
    </row>
    <row r="74" spans="3:3" ht="14.25" customHeight="1" x14ac:dyDescent="0.2">
      <c r="C74" s="15"/>
    </row>
    <row r="75" spans="3:3" ht="14.25" customHeight="1" x14ac:dyDescent="0.2">
      <c r="C75" s="15"/>
    </row>
    <row r="76" spans="3:3" ht="14.25" customHeight="1" x14ac:dyDescent="0.2">
      <c r="C76" s="15"/>
    </row>
    <row r="77" spans="3:3" ht="14.25" customHeight="1" x14ac:dyDescent="0.2">
      <c r="C77" s="15"/>
    </row>
    <row r="78" spans="3:3" ht="14.25" customHeight="1" x14ac:dyDescent="0.2">
      <c r="C78" s="15"/>
    </row>
    <row r="79" spans="3:3" ht="14.25" customHeight="1" x14ac:dyDescent="0.2">
      <c r="C79" s="15"/>
    </row>
    <row r="80" spans="3:3" ht="14.25" customHeight="1" x14ac:dyDescent="0.2">
      <c r="C80" s="15"/>
    </row>
    <row r="81" spans="3:3" ht="14.25" customHeight="1" x14ac:dyDescent="0.2">
      <c r="C81" s="15"/>
    </row>
    <row r="82" spans="3:3" ht="14.25" customHeight="1" x14ac:dyDescent="0.2">
      <c r="C82" s="15"/>
    </row>
    <row r="83" spans="3:3" ht="14.25" customHeight="1" x14ac:dyDescent="0.2">
      <c r="C83" s="15"/>
    </row>
    <row r="84" spans="3:3" ht="14.25" customHeight="1" x14ac:dyDescent="0.2">
      <c r="C84" s="15"/>
    </row>
    <row r="85" spans="3:3" ht="14.25" customHeight="1" x14ac:dyDescent="0.2">
      <c r="C85" s="15"/>
    </row>
    <row r="86" spans="3:3" ht="14.25" customHeight="1" x14ac:dyDescent="0.2">
      <c r="C86" s="15"/>
    </row>
    <row r="87" spans="3:3" ht="14.25" customHeight="1" x14ac:dyDescent="0.2">
      <c r="C87" s="15"/>
    </row>
    <row r="88" spans="3:3" ht="14.25" customHeight="1" x14ac:dyDescent="0.2">
      <c r="C88" s="15"/>
    </row>
    <row r="89" spans="3:3" ht="14.25" customHeight="1" x14ac:dyDescent="0.2">
      <c r="C89" s="15"/>
    </row>
    <row r="90" spans="3:3" ht="14.25" customHeight="1" x14ac:dyDescent="0.2">
      <c r="C90" s="15"/>
    </row>
    <row r="91" spans="3:3" ht="14.25" customHeight="1" x14ac:dyDescent="0.2">
      <c r="C91" s="15"/>
    </row>
    <row r="92" spans="3:3" ht="14.25" customHeight="1" x14ac:dyDescent="0.2">
      <c r="C92" s="15"/>
    </row>
    <row r="93" spans="3:3" ht="14.25" customHeight="1" x14ac:dyDescent="0.2">
      <c r="C93" s="15"/>
    </row>
    <row r="94" spans="3:3" ht="14.25" customHeight="1" x14ac:dyDescent="0.2">
      <c r="C94" s="15"/>
    </row>
    <row r="95" spans="3:3" ht="14.25" customHeight="1" x14ac:dyDescent="0.2">
      <c r="C95" s="15"/>
    </row>
    <row r="96" spans="3:3" ht="14.25" customHeight="1" x14ac:dyDescent="0.2">
      <c r="C96" s="15"/>
    </row>
    <row r="97" spans="3:3" ht="14.25" customHeight="1" x14ac:dyDescent="0.2">
      <c r="C97" s="15"/>
    </row>
    <row r="98" spans="3:3" ht="14.25" customHeight="1" x14ac:dyDescent="0.2">
      <c r="C98" s="15"/>
    </row>
    <row r="99" spans="3:3" ht="14.25" customHeight="1" x14ac:dyDescent="0.2">
      <c r="C99" s="15"/>
    </row>
    <row r="100" spans="3:3" ht="14.25" customHeight="1" x14ac:dyDescent="0.2">
      <c r="C100" s="15"/>
    </row>
    <row r="101" spans="3:3" ht="14.25" customHeight="1" x14ac:dyDescent="0.2">
      <c r="C101" s="15"/>
    </row>
    <row r="102" spans="3:3" ht="14.25" customHeight="1" x14ac:dyDescent="0.2">
      <c r="C102" s="15"/>
    </row>
    <row r="103" spans="3:3" ht="14.25" customHeight="1" x14ac:dyDescent="0.2">
      <c r="C103" s="15"/>
    </row>
    <row r="104" spans="3:3" ht="14.25" customHeight="1" x14ac:dyDescent="0.2">
      <c r="C104" s="15"/>
    </row>
    <row r="105" spans="3:3" ht="14.25" customHeight="1" x14ac:dyDescent="0.2">
      <c r="C105" s="15"/>
    </row>
    <row r="106" spans="3:3" ht="14.25" customHeight="1" x14ac:dyDescent="0.2">
      <c r="C106" s="15"/>
    </row>
    <row r="107" spans="3:3" ht="14.25" customHeight="1" x14ac:dyDescent="0.2">
      <c r="C107" s="15"/>
    </row>
    <row r="108" spans="3:3" ht="14.25" customHeight="1" x14ac:dyDescent="0.2">
      <c r="C108" s="15"/>
    </row>
    <row r="109" spans="3:3" ht="14.25" customHeight="1" x14ac:dyDescent="0.2">
      <c r="C109" s="15"/>
    </row>
    <row r="110" spans="3:3" ht="14.25" customHeight="1" x14ac:dyDescent="0.2">
      <c r="C110" s="15"/>
    </row>
    <row r="111" spans="3:3" ht="14.25" customHeight="1" x14ac:dyDescent="0.2">
      <c r="C111" s="15"/>
    </row>
    <row r="112" spans="3:3" ht="14.25" customHeight="1" x14ac:dyDescent="0.2">
      <c r="C112" s="15"/>
    </row>
    <row r="113" spans="3:3" ht="14.25" customHeight="1" x14ac:dyDescent="0.2">
      <c r="C113" s="15"/>
    </row>
    <row r="114" spans="3:3" ht="14.25" customHeight="1" x14ac:dyDescent="0.2">
      <c r="C114" s="15"/>
    </row>
    <row r="115" spans="3:3" ht="14.25" customHeight="1" x14ac:dyDescent="0.2">
      <c r="C115" s="15"/>
    </row>
    <row r="116" spans="3:3" ht="14.25" customHeight="1" x14ac:dyDescent="0.2">
      <c r="C116" s="15"/>
    </row>
    <row r="117" spans="3:3" ht="14.25" customHeight="1" x14ac:dyDescent="0.2">
      <c r="C117" s="15"/>
    </row>
    <row r="118" spans="3:3" ht="14.25" customHeight="1" x14ac:dyDescent="0.2">
      <c r="C118" s="15"/>
    </row>
    <row r="119" spans="3:3" ht="14.25" customHeight="1" x14ac:dyDescent="0.2">
      <c r="C119" s="15"/>
    </row>
    <row r="120" spans="3:3" ht="14.25" customHeight="1" x14ac:dyDescent="0.2">
      <c r="C120" s="15"/>
    </row>
    <row r="121" spans="3:3" ht="14.25" customHeight="1" x14ac:dyDescent="0.2">
      <c r="C121" s="15"/>
    </row>
    <row r="122" spans="3:3" ht="14.25" customHeight="1" x14ac:dyDescent="0.2">
      <c r="C122" s="15"/>
    </row>
    <row r="123" spans="3:3" ht="14.25" customHeight="1" x14ac:dyDescent="0.2">
      <c r="C123" s="15"/>
    </row>
    <row r="124" spans="3:3" ht="14.25" customHeight="1" x14ac:dyDescent="0.2">
      <c r="C124" s="15"/>
    </row>
    <row r="125" spans="3:3" ht="14.25" customHeight="1" x14ac:dyDescent="0.2">
      <c r="C125" s="15"/>
    </row>
    <row r="126" spans="3:3" ht="14.25" customHeight="1" x14ac:dyDescent="0.2">
      <c r="C126" s="15"/>
    </row>
    <row r="127" spans="3:3" ht="14.25" customHeight="1" x14ac:dyDescent="0.2">
      <c r="C127" s="15"/>
    </row>
    <row r="128" spans="3:3" ht="14.25" customHeight="1" x14ac:dyDescent="0.2">
      <c r="C128" s="15"/>
    </row>
    <row r="129" spans="3:3" ht="14.25" customHeight="1" x14ac:dyDescent="0.2">
      <c r="C129" s="15"/>
    </row>
    <row r="130" spans="3:3" ht="14.25" customHeight="1" x14ac:dyDescent="0.2">
      <c r="C130" s="15"/>
    </row>
    <row r="131" spans="3:3" ht="14.25" customHeight="1" x14ac:dyDescent="0.2">
      <c r="C131" s="15"/>
    </row>
    <row r="132" spans="3:3" ht="14.25" customHeight="1" x14ac:dyDescent="0.2">
      <c r="C132" s="15"/>
    </row>
    <row r="133" spans="3:3" ht="14.25" customHeight="1" x14ac:dyDescent="0.2">
      <c r="C133" s="15"/>
    </row>
    <row r="134" spans="3:3" ht="14.25" customHeight="1" x14ac:dyDescent="0.2">
      <c r="C134" s="15"/>
    </row>
    <row r="135" spans="3:3" ht="14.25" customHeight="1" x14ac:dyDescent="0.2">
      <c r="C135" s="15"/>
    </row>
    <row r="136" spans="3:3" ht="14.25" customHeight="1" x14ac:dyDescent="0.2">
      <c r="C136" s="15"/>
    </row>
    <row r="137" spans="3:3" ht="14.25" customHeight="1" x14ac:dyDescent="0.2">
      <c r="C137" s="15"/>
    </row>
    <row r="138" spans="3:3" ht="14.25" customHeight="1" x14ac:dyDescent="0.2">
      <c r="C138" s="15"/>
    </row>
    <row r="139" spans="3:3" ht="14.25" customHeight="1" x14ac:dyDescent="0.2">
      <c r="C139" s="15"/>
    </row>
    <row r="140" spans="3:3" ht="14.25" customHeight="1" x14ac:dyDescent="0.2">
      <c r="C140" s="15"/>
    </row>
    <row r="141" spans="3:3" ht="14.25" customHeight="1" x14ac:dyDescent="0.2">
      <c r="C141" s="15"/>
    </row>
    <row r="142" spans="3:3" ht="14.25" customHeight="1" x14ac:dyDescent="0.2">
      <c r="C142" s="15"/>
    </row>
    <row r="143" spans="3:3" ht="14.25" customHeight="1" x14ac:dyDescent="0.2">
      <c r="C143" s="15"/>
    </row>
    <row r="144" spans="3:3" ht="14.25" customHeight="1" x14ac:dyDescent="0.2">
      <c r="C144" s="15"/>
    </row>
    <row r="145" spans="3:3" ht="14.25" customHeight="1" x14ac:dyDescent="0.2">
      <c r="C145" s="15"/>
    </row>
    <row r="146" spans="3:3" ht="14.25" customHeight="1" x14ac:dyDescent="0.2">
      <c r="C146" s="15"/>
    </row>
    <row r="147" spans="3:3" ht="14.25" customHeight="1" x14ac:dyDescent="0.2">
      <c r="C147" s="15"/>
    </row>
    <row r="148" spans="3:3" ht="14.25" customHeight="1" x14ac:dyDescent="0.2">
      <c r="C148" s="15"/>
    </row>
    <row r="149" spans="3:3" ht="14.25" customHeight="1" x14ac:dyDescent="0.2">
      <c r="C149" s="15"/>
    </row>
    <row r="150" spans="3:3" ht="14.25" customHeight="1" x14ac:dyDescent="0.2">
      <c r="C150" s="15"/>
    </row>
    <row r="151" spans="3:3" ht="14.25" customHeight="1" x14ac:dyDescent="0.2">
      <c r="C151" s="15"/>
    </row>
    <row r="152" spans="3:3" ht="14.25" customHeight="1" x14ac:dyDescent="0.2">
      <c r="C152" s="15"/>
    </row>
    <row r="153" spans="3:3" ht="14.25" customHeight="1" x14ac:dyDescent="0.2">
      <c r="C153" s="15"/>
    </row>
    <row r="154" spans="3:3" ht="14.25" customHeight="1" x14ac:dyDescent="0.2">
      <c r="C154" s="15"/>
    </row>
    <row r="155" spans="3:3" ht="14.25" customHeight="1" x14ac:dyDescent="0.2">
      <c r="C155" s="15"/>
    </row>
    <row r="156" spans="3:3" ht="14.25" customHeight="1" x14ac:dyDescent="0.2">
      <c r="C156" s="15"/>
    </row>
    <row r="157" spans="3:3" ht="14.25" customHeight="1" x14ac:dyDescent="0.2">
      <c r="C157" s="15"/>
    </row>
    <row r="158" spans="3:3" ht="14.25" customHeight="1" x14ac:dyDescent="0.2">
      <c r="C158" s="15"/>
    </row>
    <row r="159" spans="3:3" ht="14.25" customHeight="1" x14ac:dyDescent="0.2">
      <c r="C159" s="15"/>
    </row>
    <row r="160" spans="3:3" ht="14.25" customHeight="1" x14ac:dyDescent="0.2">
      <c r="C160" s="15"/>
    </row>
    <row r="161" spans="3:3" ht="14.25" customHeight="1" x14ac:dyDescent="0.2">
      <c r="C161" s="15"/>
    </row>
    <row r="162" spans="3:3" ht="14.25" customHeight="1" x14ac:dyDescent="0.2">
      <c r="C162" s="15"/>
    </row>
    <row r="163" spans="3:3" ht="14.25" customHeight="1" x14ac:dyDescent="0.2">
      <c r="C163" s="15"/>
    </row>
    <row r="164" spans="3:3" ht="14.25" customHeight="1" x14ac:dyDescent="0.2">
      <c r="C164" s="15"/>
    </row>
    <row r="165" spans="3:3" ht="14.25" customHeight="1" x14ac:dyDescent="0.2">
      <c r="C165" s="15"/>
    </row>
    <row r="166" spans="3:3" ht="14.25" customHeight="1" x14ac:dyDescent="0.2">
      <c r="C166" s="15"/>
    </row>
    <row r="167" spans="3:3" ht="14.25" customHeight="1" x14ac:dyDescent="0.2">
      <c r="C167" s="15"/>
    </row>
    <row r="168" spans="3:3" ht="14.25" customHeight="1" x14ac:dyDescent="0.2">
      <c r="C168" s="15"/>
    </row>
    <row r="169" spans="3:3" ht="14.25" customHeight="1" x14ac:dyDescent="0.2">
      <c r="C169" s="15"/>
    </row>
    <row r="170" spans="3:3" ht="14.25" customHeight="1" x14ac:dyDescent="0.2">
      <c r="C170" s="15"/>
    </row>
    <row r="171" spans="3:3" ht="14.25" customHeight="1" x14ac:dyDescent="0.2">
      <c r="C171" s="15"/>
    </row>
    <row r="172" spans="3:3" ht="14.25" customHeight="1" x14ac:dyDescent="0.2">
      <c r="C172" s="15"/>
    </row>
    <row r="173" spans="3:3" ht="14.25" customHeight="1" x14ac:dyDescent="0.2">
      <c r="C173" s="15"/>
    </row>
    <row r="174" spans="3:3" ht="14.25" customHeight="1" x14ac:dyDescent="0.2">
      <c r="C174" s="15"/>
    </row>
    <row r="175" spans="3:3" ht="14.25" customHeight="1" x14ac:dyDescent="0.2">
      <c r="C175" s="15"/>
    </row>
    <row r="176" spans="3:3" ht="14.25" customHeight="1" x14ac:dyDescent="0.2">
      <c r="C176" s="15"/>
    </row>
    <row r="177" spans="3:3" ht="14.25" customHeight="1" x14ac:dyDescent="0.2">
      <c r="C177" s="15"/>
    </row>
    <row r="178" spans="3:3" ht="14.25" customHeight="1" x14ac:dyDescent="0.2">
      <c r="C178" s="15"/>
    </row>
    <row r="179" spans="3:3" ht="14.25" customHeight="1" x14ac:dyDescent="0.2">
      <c r="C179" s="15"/>
    </row>
    <row r="180" spans="3:3" ht="14.25" customHeight="1" x14ac:dyDescent="0.2">
      <c r="C180" s="15"/>
    </row>
    <row r="181" spans="3:3" ht="14.25" customHeight="1" x14ac:dyDescent="0.2">
      <c r="C181" s="15"/>
    </row>
    <row r="182" spans="3:3" ht="14.25" customHeight="1" x14ac:dyDescent="0.2">
      <c r="C182" s="15"/>
    </row>
    <row r="183" spans="3:3" ht="14.25" customHeight="1" x14ac:dyDescent="0.2">
      <c r="C183" s="15"/>
    </row>
    <row r="184" spans="3:3" ht="14.25" customHeight="1" x14ac:dyDescent="0.2">
      <c r="C184" s="15"/>
    </row>
    <row r="185" spans="3:3" ht="14.25" customHeight="1" x14ac:dyDescent="0.2">
      <c r="C185" s="15"/>
    </row>
    <row r="186" spans="3:3" ht="14.25" customHeight="1" x14ac:dyDescent="0.2">
      <c r="C186" s="15"/>
    </row>
    <row r="187" spans="3:3" ht="14.25" customHeight="1" x14ac:dyDescent="0.2">
      <c r="C187" s="15"/>
    </row>
    <row r="188" spans="3:3" ht="14.25" customHeight="1" x14ac:dyDescent="0.2">
      <c r="C188" s="15"/>
    </row>
    <row r="189" spans="3:3" ht="14.25" customHeight="1" x14ac:dyDescent="0.2">
      <c r="C189" s="15"/>
    </row>
    <row r="190" spans="3:3" ht="14.25" customHeight="1" x14ac:dyDescent="0.2">
      <c r="C190" s="15"/>
    </row>
    <row r="191" spans="3:3" ht="14.25" customHeight="1" x14ac:dyDescent="0.2">
      <c r="C191" s="15"/>
    </row>
    <row r="192" spans="3:3" ht="14.25" customHeight="1" x14ac:dyDescent="0.2">
      <c r="C192" s="15"/>
    </row>
    <row r="193" spans="3:3" ht="14.25" customHeight="1" x14ac:dyDescent="0.2">
      <c r="C193" s="15"/>
    </row>
    <row r="194" spans="3:3" ht="14.25" customHeight="1" x14ac:dyDescent="0.2">
      <c r="C194" s="15"/>
    </row>
    <row r="195" spans="3:3" ht="14.25" customHeight="1" x14ac:dyDescent="0.2">
      <c r="C195" s="15"/>
    </row>
    <row r="196" spans="3:3" ht="14.25" customHeight="1" x14ac:dyDescent="0.2">
      <c r="C196" s="15"/>
    </row>
    <row r="197" spans="3:3" ht="14.25" customHeight="1" x14ac:dyDescent="0.2">
      <c r="C197" s="15"/>
    </row>
    <row r="198" spans="3:3" ht="14.25" customHeight="1" x14ac:dyDescent="0.2">
      <c r="C198" s="15"/>
    </row>
    <row r="199" spans="3:3" ht="14.25" customHeight="1" x14ac:dyDescent="0.2">
      <c r="C199" s="15"/>
    </row>
    <row r="200" spans="3:3" ht="14.25" customHeight="1" x14ac:dyDescent="0.2">
      <c r="C200" s="15"/>
    </row>
    <row r="201" spans="3:3" ht="14.25" customHeight="1" x14ac:dyDescent="0.2">
      <c r="C201" s="15"/>
    </row>
    <row r="202" spans="3:3" ht="14.25" customHeight="1" x14ac:dyDescent="0.2">
      <c r="C202" s="15"/>
    </row>
    <row r="203" spans="3:3" ht="14.25" customHeight="1" x14ac:dyDescent="0.2">
      <c r="C203" s="15"/>
    </row>
    <row r="204" spans="3:3" ht="14.25" customHeight="1" x14ac:dyDescent="0.2">
      <c r="C204" s="15"/>
    </row>
    <row r="205" spans="3:3" ht="14.25" customHeight="1" x14ac:dyDescent="0.2">
      <c r="C205" s="15"/>
    </row>
    <row r="206" spans="3:3" ht="14.25" customHeight="1" x14ac:dyDescent="0.2">
      <c r="C206" s="15"/>
    </row>
    <row r="207" spans="3:3" ht="14.25" customHeight="1" x14ac:dyDescent="0.2">
      <c r="C207" s="15"/>
    </row>
    <row r="208" spans="3:3" ht="14.25" customHeight="1" x14ac:dyDescent="0.2">
      <c r="C208" s="15"/>
    </row>
    <row r="209" spans="3:3" ht="14.25" customHeight="1" x14ac:dyDescent="0.2">
      <c r="C209" s="15"/>
    </row>
    <row r="210" spans="3:3" ht="14.25" customHeight="1" x14ac:dyDescent="0.2">
      <c r="C210" s="15"/>
    </row>
    <row r="211" spans="3:3" ht="14.25" customHeight="1" x14ac:dyDescent="0.2">
      <c r="C211" s="15"/>
    </row>
    <row r="212" spans="3:3" ht="14.25" customHeight="1" x14ac:dyDescent="0.2">
      <c r="C212" s="15"/>
    </row>
    <row r="213" spans="3:3" ht="14.25" customHeight="1" x14ac:dyDescent="0.2">
      <c r="C213" s="15"/>
    </row>
    <row r="214" spans="3:3" ht="14.25" customHeight="1" x14ac:dyDescent="0.2">
      <c r="C214" s="15"/>
    </row>
    <row r="215" spans="3:3" ht="14.25" customHeight="1" x14ac:dyDescent="0.2">
      <c r="C215" s="15"/>
    </row>
    <row r="216" spans="3:3" ht="14.25" customHeight="1" x14ac:dyDescent="0.2">
      <c r="C216" s="15"/>
    </row>
    <row r="217" spans="3:3" ht="14.25" customHeight="1" x14ac:dyDescent="0.2">
      <c r="C217" s="15"/>
    </row>
    <row r="218" spans="3:3" ht="14.25" customHeight="1" x14ac:dyDescent="0.2">
      <c r="C218" s="15"/>
    </row>
    <row r="219" spans="3:3" ht="14.25" customHeight="1" x14ac:dyDescent="0.2">
      <c r="C219" s="15"/>
    </row>
    <row r="220" spans="3:3" ht="14.25" customHeight="1" x14ac:dyDescent="0.2">
      <c r="C220" s="15"/>
    </row>
    <row r="221" spans="3:3" ht="14.25" customHeight="1" x14ac:dyDescent="0.2">
      <c r="C221" s="15"/>
    </row>
    <row r="222" spans="3:3" ht="14.25" customHeight="1" x14ac:dyDescent="0.2">
      <c r="C222" s="15"/>
    </row>
    <row r="223" spans="3:3" ht="14.25" customHeight="1" x14ac:dyDescent="0.2">
      <c r="C223" s="15"/>
    </row>
    <row r="224" spans="3:3" ht="14.25" customHeight="1" x14ac:dyDescent="0.2">
      <c r="C224" s="15"/>
    </row>
    <row r="225" spans="3:3" ht="14.25" customHeight="1" x14ac:dyDescent="0.2">
      <c r="C225" s="15"/>
    </row>
    <row r="226" spans="3:3" ht="14.25" customHeight="1" x14ac:dyDescent="0.2">
      <c r="C226" s="15"/>
    </row>
    <row r="227" spans="3:3" ht="14.25" customHeight="1" x14ac:dyDescent="0.2">
      <c r="C227" s="15"/>
    </row>
    <row r="228" spans="3:3" ht="14.25" customHeight="1" x14ac:dyDescent="0.2">
      <c r="C228" s="15"/>
    </row>
    <row r="229" spans="3:3" ht="14.25" customHeight="1" x14ac:dyDescent="0.2">
      <c r="C229" s="15"/>
    </row>
    <row r="230" spans="3:3" ht="14.25" customHeight="1" x14ac:dyDescent="0.2">
      <c r="C230" s="15"/>
    </row>
    <row r="231" spans="3:3" ht="14.25" customHeight="1" x14ac:dyDescent="0.2">
      <c r="C231" s="15"/>
    </row>
    <row r="232" spans="3:3" ht="14.25" customHeight="1" x14ac:dyDescent="0.2">
      <c r="C232" s="15"/>
    </row>
    <row r="233" spans="3:3" ht="14.25" customHeight="1" x14ac:dyDescent="0.2">
      <c r="C233" s="15"/>
    </row>
    <row r="234" spans="3:3" ht="14.25" customHeight="1" x14ac:dyDescent="0.2">
      <c r="C234" s="15"/>
    </row>
    <row r="235" spans="3:3" ht="14.25" customHeight="1" x14ac:dyDescent="0.2">
      <c r="C235" s="15"/>
    </row>
    <row r="236" spans="3:3" ht="14.25" customHeight="1" x14ac:dyDescent="0.2">
      <c r="C236" s="15"/>
    </row>
    <row r="237" spans="3:3" ht="14.25" customHeight="1" x14ac:dyDescent="0.2">
      <c r="C237" s="15"/>
    </row>
    <row r="238" spans="3:3" ht="14.25" customHeight="1" x14ac:dyDescent="0.2">
      <c r="C238" s="15"/>
    </row>
    <row r="239" spans="3:3" ht="14.25" customHeight="1" x14ac:dyDescent="0.2">
      <c r="C239" s="15"/>
    </row>
    <row r="240" spans="3:3" ht="14.25" customHeight="1" x14ac:dyDescent="0.2">
      <c r="C240" s="15"/>
    </row>
    <row r="241" spans="3:3" ht="14.25" customHeight="1" x14ac:dyDescent="0.2">
      <c r="C241" s="15"/>
    </row>
    <row r="242" spans="3:3" ht="14.25" customHeight="1" x14ac:dyDescent="0.2">
      <c r="C242" s="15"/>
    </row>
    <row r="243" spans="3:3" ht="14.25" customHeight="1" x14ac:dyDescent="0.2">
      <c r="C243" s="15"/>
    </row>
    <row r="244" spans="3:3" ht="14.25" customHeight="1" x14ac:dyDescent="0.2">
      <c r="C244" s="15"/>
    </row>
    <row r="245" spans="3:3" ht="14.25" customHeight="1" x14ac:dyDescent="0.2">
      <c r="C245" s="15"/>
    </row>
    <row r="246" spans="3:3" ht="14.25" customHeight="1" x14ac:dyDescent="0.2">
      <c r="C246" s="15"/>
    </row>
    <row r="247" spans="3:3" ht="14.25" customHeight="1" x14ac:dyDescent="0.2">
      <c r="C247" s="15"/>
    </row>
    <row r="248" spans="3:3" ht="14.25" customHeight="1" x14ac:dyDescent="0.2">
      <c r="C248" s="15"/>
    </row>
    <row r="249" spans="3:3" ht="14.25" customHeight="1" x14ac:dyDescent="0.2">
      <c r="C249" s="15"/>
    </row>
    <row r="250" spans="3:3" ht="14.25" customHeight="1" x14ac:dyDescent="0.2">
      <c r="C250" s="15"/>
    </row>
    <row r="251" spans="3:3" ht="14.25" customHeight="1" x14ac:dyDescent="0.2">
      <c r="C251" s="15"/>
    </row>
    <row r="252" spans="3:3" ht="14.25" customHeight="1" x14ac:dyDescent="0.2">
      <c r="C252" s="15"/>
    </row>
    <row r="253" spans="3:3" ht="14.25" customHeight="1" x14ac:dyDescent="0.2">
      <c r="C253" s="15"/>
    </row>
    <row r="254" spans="3:3" ht="14.25" customHeight="1" x14ac:dyDescent="0.2">
      <c r="C254" s="15"/>
    </row>
    <row r="255" spans="3:3" ht="14.25" customHeight="1" x14ac:dyDescent="0.2">
      <c r="C255" s="15"/>
    </row>
    <row r="256" spans="3:3" ht="14.25" customHeight="1" x14ac:dyDescent="0.2">
      <c r="C256" s="15"/>
    </row>
    <row r="257" spans="3:3" ht="14.25" customHeight="1" x14ac:dyDescent="0.2">
      <c r="C257" s="15"/>
    </row>
    <row r="258" spans="3:3" ht="14.25" customHeight="1" x14ac:dyDescent="0.2">
      <c r="C258" s="15"/>
    </row>
    <row r="259" spans="3:3" ht="14.25" customHeight="1" x14ac:dyDescent="0.2">
      <c r="C259" s="15"/>
    </row>
    <row r="260" spans="3:3" ht="14.25" customHeight="1" x14ac:dyDescent="0.2">
      <c r="C260" s="15"/>
    </row>
    <row r="261" spans="3:3" ht="14.25" customHeight="1" x14ac:dyDescent="0.2">
      <c r="C261" s="15"/>
    </row>
    <row r="262" spans="3:3" ht="14.25" customHeight="1" x14ac:dyDescent="0.2">
      <c r="C262" s="15"/>
    </row>
    <row r="263" spans="3:3" ht="14.25" customHeight="1" x14ac:dyDescent="0.2">
      <c r="C263" s="15"/>
    </row>
    <row r="264" spans="3:3" ht="14.25" customHeight="1" x14ac:dyDescent="0.2">
      <c r="C264" s="15"/>
    </row>
    <row r="265" spans="3:3" ht="14.25" customHeight="1" x14ac:dyDescent="0.2">
      <c r="C265" s="15"/>
    </row>
    <row r="266" spans="3:3" ht="14.25" customHeight="1" x14ac:dyDescent="0.2">
      <c r="C266" s="15"/>
    </row>
    <row r="267" spans="3:3" ht="14.25" customHeight="1" x14ac:dyDescent="0.2">
      <c r="C267" s="15"/>
    </row>
    <row r="268" spans="3:3" ht="14.25" customHeight="1" x14ac:dyDescent="0.2">
      <c r="C268" s="15"/>
    </row>
    <row r="269" spans="3:3" ht="14.25" customHeight="1" x14ac:dyDescent="0.2">
      <c r="C269" s="15"/>
    </row>
    <row r="270" spans="3:3" ht="14.25" customHeight="1" x14ac:dyDescent="0.2">
      <c r="C270" s="15"/>
    </row>
    <row r="271" spans="3:3" ht="14.25" customHeight="1" x14ac:dyDescent="0.2">
      <c r="C271" s="15"/>
    </row>
    <row r="272" spans="3:3" ht="14.25" customHeight="1" x14ac:dyDescent="0.2">
      <c r="C272" s="15"/>
    </row>
    <row r="273" spans="3:3" ht="14.25" customHeight="1" x14ac:dyDescent="0.2">
      <c r="C273" s="15"/>
    </row>
    <row r="274" spans="3:3" ht="14.25" customHeight="1" x14ac:dyDescent="0.2">
      <c r="C274" s="15"/>
    </row>
    <row r="275" spans="3:3" ht="14.25" customHeight="1" x14ac:dyDescent="0.2">
      <c r="C275" s="15"/>
    </row>
    <row r="276" spans="3:3" ht="14.25" customHeight="1" x14ac:dyDescent="0.2">
      <c r="C276" s="15"/>
    </row>
    <row r="277" spans="3:3" ht="14.25" customHeight="1" x14ac:dyDescent="0.2">
      <c r="C277" s="15"/>
    </row>
    <row r="278" spans="3:3" ht="14.25" customHeight="1" x14ac:dyDescent="0.2">
      <c r="C278" s="15"/>
    </row>
    <row r="279" spans="3:3" ht="14.25" customHeight="1" x14ac:dyDescent="0.2">
      <c r="C279" s="15"/>
    </row>
    <row r="280" spans="3:3" ht="14.25" customHeight="1" x14ac:dyDescent="0.2">
      <c r="C280" s="15"/>
    </row>
    <row r="281" spans="3:3" ht="14.25" customHeight="1" x14ac:dyDescent="0.2">
      <c r="C281" s="15"/>
    </row>
    <row r="282" spans="3:3" ht="14.25" customHeight="1" x14ac:dyDescent="0.2">
      <c r="C282" s="15"/>
    </row>
    <row r="283" spans="3:3" ht="14.25" customHeight="1" x14ac:dyDescent="0.2">
      <c r="C283" s="15"/>
    </row>
    <row r="284" spans="3:3" ht="14.25" customHeight="1" x14ac:dyDescent="0.2">
      <c r="C284" s="15"/>
    </row>
    <row r="285" spans="3:3" ht="14.25" customHeight="1" x14ac:dyDescent="0.2">
      <c r="C285" s="15"/>
    </row>
    <row r="286" spans="3:3" ht="14.25" customHeight="1" x14ac:dyDescent="0.2">
      <c r="C286" s="15"/>
    </row>
    <row r="287" spans="3:3" ht="14.25" customHeight="1" x14ac:dyDescent="0.2">
      <c r="C287" s="15"/>
    </row>
    <row r="288" spans="3:3" ht="14.25" customHeight="1" x14ac:dyDescent="0.2">
      <c r="C288" s="15"/>
    </row>
    <row r="289" spans="3:3" ht="14.25" customHeight="1" x14ac:dyDescent="0.2">
      <c r="C289" s="15"/>
    </row>
    <row r="290" spans="3:3" ht="14.25" customHeight="1" x14ac:dyDescent="0.2">
      <c r="C290" s="15"/>
    </row>
    <row r="291" spans="3:3" ht="14.25" customHeight="1" x14ac:dyDescent="0.2">
      <c r="C291" s="15"/>
    </row>
    <row r="292" spans="3:3" ht="14.25" customHeight="1" x14ac:dyDescent="0.2">
      <c r="C292" s="15"/>
    </row>
    <row r="293" spans="3:3" ht="14.25" customHeight="1" x14ac:dyDescent="0.2">
      <c r="C293" s="15"/>
    </row>
    <row r="294" spans="3:3" ht="14.25" customHeight="1" x14ac:dyDescent="0.2">
      <c r="C294" s="15"/>
    </row>
    <row r="295" spans="3:3" ht="14.25" customHeight="1" x14ac:dyDescent="0.2">
      <c r="C295" s="15"/>
    </row>
    <row r="296" spans="3:3" ht="14.25" customHeight="1" x14ac:dyDescent="0.2">
      <c r="C296" s="15"/>
    </row>
    <row r="297" spans="3:3" ht="14.25" customHeight="1" x14ac:dyDescent="0.2">
      <c r="C297" s="15"/>
    </row>
    <row r="298" spans="3:3" ht="14.25" customHeight="1" x14ac:dyDescent="0.2">
      <c r="C298" s="15"/>
    </row>
    <row r="299" spans="3:3" ht="14.25" customHeight="1" x14ac:dyDescent="0.2">
      <c r="C299" s="15"/>
    </row>
    <row r="300" spans="3:3" ht="14.25" customHeight="1" x14ac:dyDescent="0.2">
      <c r="C300" s="15"/>
    </row>
    <row r="301" spans="3:3" ht="14.25" customHeight="1" x14ac:dyDescent="0.2">
      <c r="C301" s="15"/>
    </row>
    <row r="302" spans="3:3" ht="14.25" customHeight="1" x14ac:dyDescent="0.2">
      <c r="C302" s="15"/>
    </row>
    <row r="303" spans="3:3" ht="14.25" customHeight="1" x14ac:dyDescent="0.2">
      <c r="C303" s="15"/>
    </row>
    <row r="304" spans="3:3" ht="14.25" customHeight="1" x14ac:dyDescent="0.2">
      <c r="C304" s="15"/>
    </row>
    <row r="305" spans="3:3" ht="14.25" customHeight="1" x14ac:dyDescent="0.2">
      <c r="C305" s="15"/>
    </row>
    <row r="306" spans="3:3" ht="14.25" customHeight="1" x14ac:dyDescent="0.2">
      <c r="C306" s="15"/>
    </row>
    <row r="307" spans="3:3" ht="14.25" customHeight="1" x14ac:dyDescent="0.2">
      <c r="C307" s="15"/>
    </row>
    <row r="308" spans="3:3" ht="14.25" customHeight="1" x14ac:dyDescent="0.2">
      <c r="C308" s="15"/>
    </row>
    <row r="309" spans="3:3" ht="14.25" customHeight="1" x14ac:dyDescent="0.2">
      <c r="C309" s="15"/>
    </row>
    <row r="310" spans="3:3" ht="14.25" customHeight="1" x14ac:dyDescent="0.2">
      <c r="C310" s="15"/>
    </row>
    <row r="311" spans="3:3" ht="14.25" customHeight="1" x14ac:dyDescent="0.2">
      <c r="C311" s="15"/>
    </row>
    <row r="312" spans="3:3" ht="14.25" customHeight="1" x14ac:dyDescent="0.2">
      <c r="C312" s="15"/>
    </row>
    <row r="313" spans="3:3" ht="14.25" customHeight="1" x14ac:dyDescent="0.2">
      <c r="C313" s="15"/>
    </row>
    <row r="314" spans="3:3" ht="14.25" customHeight="1" x14ac:dyDescent="0.2">
      <c r="C314" s="15"/>
    </row>
    <row r="315" spans="3:3" ht="14.25" customHeight="1" x14ac:dyDescent="0.2">
      <c r="C315" s="15"/>
    </row>
    <row r="316" spans="3:3" ht="14.25" customHeight="1" x14ac:dyDescent="0.2">
      <c r="C316" s="15"/>
    </row>
    <row r="317" spans="3:3" ht="14.25" customHeight="1" x14ac:dyDescent="0.2">
      <c r="C317" s="15"/>
    </row>
    <row r="318" spans="3:3" ht="14.25" customHeight="1" x14ac:dyDescent="0.2">
      <c r="C318" s="15"/>
    </row>
    <row r="319" spans="3:3" ht="14.25" customHeight="1" x14ac:dyDescent="0.2">
      <c r="C319" s="15"/>
    </row>
    <row r="320" spans="3:3" ht="14.25" customHeight="1" x14ac:dyDescent="0.2">
      <c r="C320" s="15"/>
    </row>
    <row r="321" spans="3:3" ht="14.25" customHeight="1" x14ac:dyDescent="0.2">
      <c r="C321" s="15"/>
    </row>
    <row r="322" spans="3:3" ht="14.25" customHeight="1" x14ac:dyDescent="0.2">
      <c r="C322" s="15"/>
    </row>
    <row r="323" spans="3:3" ht="14.25" customHeight="1" x14ac:dyDescent="0.2">
      <c r="C323" s="15"/>
    </row>
    <row r="324" spans="3:3" ht="14.25" customHeight="1" x14ac:dyDescent="0.2">
      <c r="C324" s="15"/>
    </row>
    <row r="325" spans="3:3" ht="14.25" customHeight="1" x14ac:dyDescent="0.2">
      <c r="C325" s="15"/>
    </row>
    <row r="326" spans="3:3" ht="14.25" customHeight="1" x14ac:dyDescent="0.2">
      <c r="C326" s="15"/>
    </row>
    <row r="327" spans="3:3" ht="14.25" customHeight="1" x14ac:dyDescent="0.2">
      <c r="C327" s="15"/>
    </row>
    <row r="328" spans="3:3" ht="14.25" customHeight="1" x14ac:dyDescent="0.2">
      <c r="C328" s="15"/>
    </row>
    <row r="329" spans="3:3" ht="14.25" customHeight="1" x14ac:dyDescent="0.2">
      <c r="C329" s="15"/>
    </row>
    <row r="330" spans="3:3" ht="14.25" customHeight="1" x14ac:dyDescent="0.2">
      <c r="C330" s="15"/>
    </row>
    <row r="331" spans="3:3" ht="14.25" customHeight="1" x14ac:dyDescent="0.2">
      <c r="C331" s="15"/>
    </row>
    <row r="332" spans="3:3" ht="14.25" customHeight="1" x14ac:dyDescent="0.2">
      <c r="C332" s="15"/>
    </row>
    <row r="333" spans="3:3" ht="14.25" customHeight="1" x14ac:dyDescent="0.2">
      <c r="C333" s="15"/>
    </row>
    <row r="334" spans="3:3" ht="14.25" customHeight="1" x14ac:dyDescent="0.2">
      <c r="C334" s="15"/>
    </row>
    <row r="335" spans="3:3" ht="14.25" customHeight="1" x14ac:dyDescent="0.2">
      <c r="C335" s="15"/>
    </row>
    <row r="336" spans="3:3" ht="14.25" customHeight="1" x14ac:dyDescent="0.2">
      <c r="C336" s="15"/>
    </row>
    <row r="337" spans="3:3" ht="14.25" customHeight="1" x14ac:dyDescent="0.2">
      <c r="C337" s="15"/>
    </row>
    <row r="338" spans="3:3" ht="14.25" customHeight="1" x14ac:dyDescent="0.2">
      <c r="C338" s="15"/>
    </row>
    <row r="339" spans="3:3" ht="14.25" customHeight="1" x14ac:dyDescent="0.2">
      <c r="C339" s="15"/>
    </row>
    <row r="340" spans="3:3" ht="14.25" customHeight="1" x14ac:dyDescent="0.2">
      <c r="C340" s="15"/>
    </row>
    <row r="341" spans="3:3" ht="14.25" customHeight="1" x14ac:dyDescent="0.2">
      <c r="C341" s="15"/>
    </row>
    <row r="342" spans="3:3" ht="14.25" customHeight="1" x14ac:dyDescent="0.2">
      <c r="C342" s="15"/>
    </row>
    <row r="343" spans="3:3" ht="14.25" customHeight="1" x14ac:dyDescent="0.2">
      <c r="C343" s="15"/>
    </row>
    <row r="344" spans="3:3" ht="14.25" customHeight="1" x14ac:dyDescent="0.2">
      <c r="C344" s="15"/>
    </row>
    <row r="345" spans="3:3" ht="14.25" customHeight="1" x14ac:dyDescent="0.2">
      <c r="C345" s="15"/>
    </row>
    <row r="346" spans="3:3" ht="14.25" customHeight="1" x14ac:dyDescent="0.2">
      <c r="C346" s="15"/>
    </row>
    <row r="347" spans="3:3" ht="14.25" customHeight="1" x14ac:dyDescent="0.2">
      <c r="C347" s="15"/>
    </row>
    <row r="348" spans="3:3" ht="14.25" customHeight="1" x14ac:dyDescent="0.2">
      <c r="C348" s="15"/>
    </row>
    <row r="349" spans="3:3" ht="14.25" customHeight="1" x14ac:dyDescent="0.2">
      <c r="C349" s="15"/>
    </row>
    <row r="350" spans="3:3" ht="14.25" customHeight="1" x14ac:dyDescent="0.2">
      <c r="C350" s="15"/>
    </row>
    <row r="351" spans="3:3" ht="14.25" customHeight="1" x14ac:dyDescent="0.2">
      <c r="C351" s="15"/>
    </row>
    <row r="352" spans="3:3" ht="14.25" customHeight="1" x14ac:dyDescent="0.2">
      <c r="C352" s="15"/>
    </row>
    <row r="353" spans="3:3" ht="14.25" customHeight="1" x14ac:dyDescent="0.2">
      <c r="C353" s="15"/>
    </row>
    <row r="354" spans="3:3" ht="14.25" customHeight="1" x14ac:dyDescent="0.2">
      <c r="C354" s="15"/>
    </row>
    <row r="355" spans="3:3" ht="14.25" customHeight="1" x14ac:dyDescent="0.2">
      <c r="C355" s="15"/>
    </row>
    <row r="356" spans="3:3" ht="14.25" customHeight="1" x14ac:dyDescent="0.2">
      <c r="C356" s="15"/>
    </row>
    <row r="357" spans="3:3" ht="14.25" customHeight="1" x14ac:dyDescent="0.2">
      <c r="C357" s="15"/>
    </row>
    <row r="358" spans="3:3" ht="14.25" customHeight="1" x14ac:dyDescent="0.2">
      <c r="C358" s="15"/>
    </row>
    <row r="359" spans="3:3" ht="14.25" customHeight="1" x14ac:dyDescent="0.2">
      <c r="C359" s="15"/>
    </row>
    <row r="360" spans="3:3" ht="14.25" customHeight="1" x14ac:dyDescent="0.2">
      <c r="C360" s="15"/>
    </row>
    <row r="361" spans="3:3" ht="14.25" customHeight="1" x14ac:dyDescent="0.2">
      <c r="C361" s="15"/>
    </row>
    <row r="362" spans="3:3" ht="14.25" customHeight="1" x14ac:dyDescent="0.2">
      <c r="C362" s="15"/>
    </row>
    <row r="363" spans="3:3" ht="14.25" customHeight="1" x14ac:dyDescent="0.2">
      <c r="C363" s="15"/>
    </row>
    <row r="364" spans="3:3" ht="14.25" customHeight="1" x14ac:dyDescent="0.2">
      <c r="C364" s="15"/>
    </row>
    <row r="365" spans="3:3" ht="14.25" customHeight="1" x14ac:dyDescent="0.2">
      <c r="C365" s="15"/>
    </row>
    <row r="366" spans="3:3" ht="14.25" customHeight="1" x14ac:dyDescent="0.2">
      <c r="C366" s="15"/>
    </row>
    <row r="367" spans="3:3" ht="14.25" customHeight="1" x14ac:dyDescent="0.2">
      <c r="C367" s="15"/>
    </row>
    <row r="368" spans="3:3" ht="14.25" customHeight="1" x14ac:dyDescent="0.2">
      <c r="C368" s="15"/>
    </row>
    <row r="369" spans="3:3" ht="14.25" customHeight="1" x14ac:dyDescent="0.2">
      <c r="C369" s="15"/>
    </row>
    <row r="370" spans="3:3" ht="14.25" customHeight="1" x14ac:dyDescent="0.2">
      <c r="C370" s="15"/>
    </row>
    <row r="371" spans="3:3" ht="14.25" customHeight="1" x14ac:dyDescent="0.2">
      <c r="C371" s="15"/>
    </row>
    <row r="372" spans="3:3" ht="14.25" customHeight="1" x14ac:dyDescent="0.2">
      <c r="C372" s="15"/>
    </row>
    <row r="373" spans="3:3" ht="14.25" customHeight="1" x14ac:dyDescent="0.2">
      <c r="C373" s="15"/>
    </row>
    <row r="374" spans="3:3" ht="14.25" customHeight="1" x14ac:dyDescent="0.2">
      <c r="C374" s="15"/>
    </row>
    <row r="375" spans="3:3" ht="14.25" customHeight="1" x14ac:dyDescent="0.2">
      <c r="C375" s="15"/>
    </row>
    <row r="376" spans="3:3" ht="14.25" customHeight="1" x14ac:dyDescent="0.2">
      <c r="C376" s="15"/>
    </row>
    <row r="377" spans="3:3" ht="14.25" customHeight="1" x14ac:dyDescent="0.2">
      <c r="C377" s="15"/>
    </row>
    <row r="378" spans="3:3" ht="14.25" customHeight="1" x14ac:dyDescent="0.2">
      <c r="C378" s="15"/>
    </row>
    <row r="379" spans="3:3" ht="14.25" customHeight="1" x14ac:dyDescent="0.2">
      <c r="C379" s="15"/>
    </row>
    <row r="380" spans="3:3" ht="14.25" customHeight="1" x14ac:dyDescent="0.2">
      <c r="C380" s="15"/>
    </row>
    <row r="381" spans="3:3" ht="14.25" customHeight="1" x14ac:dyDescent="0.2">
      <c r="C381" s="15"/>
    </row>
    <row r="382" spans="3:3" ht="14.25" customHeight="1" x14ac:dyDescent="0.2">
      <c r="C382" s="15"/>
    </row>
    <row r="383" spans="3:3" ht="14.25" customHeight="1" x14ac:dyDescent="0.2">
      <c r="C383" s="15"/>
    </row>
    <row r="384" spans="3:3" ht="14.25" customHeight="1" x14ac:dyDescent="0.2">
      <c r="C384" s="15"/>
    </row>
    <row r="385" spans="3:3" ht="14.25" customHeight="1" x14ac:dyDescent="0.2">
      <c r="C385" s="15"/>
    </row>
    <row r="386" spans="3:3" ht="14.25" customHeight="1" x14ac:dyDescent="0.2">
      <c r="C386" s="15"/>
    </row>
    <row r="387" spans="3:3" ht="14.25" customHeight="1" x14ac:dyDescent="0.2">
      <c r="C387" s="15"/>
    </row>
    <row r="388" spans="3:3" ht="14.25" customHeight="1" x14ac:dyDescent="0.2">
      <c r="C388" s="15"/>
    </row>
    <row r="389" spans="3:3" ht="14.25" customHeight="1" x14ac:dyDescent="0.2">
      <c r="C389" s="15"/>
    </row>
    <row r="390" spans="3:3" ht="14.25" customHeight="1" x14ac:dyDescent="0.2">
      <c r="C390" s="15"/>
    </row>
    <row r="391" spans="3:3" ht="14.25" customHeight="1" x14ac:dyDescent="0.2">
      <c r="C391" s="15"/>
    </row>
    <row r="392" spans="3:3" ht="14.25" customHeight="1" x14ac:dyDescent="0.2">
      <c r="C392" s="15"/>
    </row>
    <row r="393" spans="3:3" ht="14.25" customHeight="1" x14ac:dyDescent="0.2">
      <c r="C393" s="15"/>
    </row>
    <row r="394" spans="3:3" ht="14.25" customHeight="1" x14ac:dyDescent="0.2">
      <c r="C394" s="15"/>
    </row>
    <row r="395" spans="3:3" ht="14.25" customHeight="1" x14ac:dyDescent="0.2">
      <c r="C395" s="15"/>
    </row>
    <row r="396" spans="3:3" ht="14.25" customHeight="1" x14ac:dyDescent="0.2">
      <c r="C396" s="15"/>
    </row>
    <row r="397" spans="3:3" ht="14.25" customHeight="1" x14ac:dyDescent="0.2">
      <c r="C397" s="15"/>
    </row>
    <row r="398" spans="3:3" ht="14.25" customHeight="1" x14ac:dyDescent="0.2">
      <c r="C398" s="15"/>
    </row>
    <row r="399" spans="3:3" ht="14.25" customHeight="1" x14ac:dyDescent="0.2">
      <c r="C399" s="15"/>
    </row>
    <row r="400" spans="3:3" ht="14.25" customHeight="1" x14ac:dyDescent="0.2">
      <c r="C400" s="15"/>
    </row>
    <row r="401" spans="3:3" ht="14.25" customHeight="1" x14ac:dyDescent="0.2">
      <c r="C401" s="15"/>
    </row>
    <row r="402" spans="3:3" ht="14.25" customHeight="1" x14ac:dyDescent="0.2">
      <c r="C402" s="15"/>
    </row>
    <row r="403" spans="3:3" ht="14.25" customHeight="1" x14ac:dyDescent="0.2">
      <c r="C403" s="15"/>
    </row>
    <row r="404" spans="3:3" ht="14.25" customHeight="1" x14ac:dyDescent="0.2">
      <c r="C404" s="15"/>
    </row>
    <row r="405" spans="3:3" ht="14.25" customHeight="1" x14ac:dyDescent="0.2">
      <c r="C405" s="15"/>
    </row>
    <row r="406" spans="3:3" ht="14.25" customHeight="1" x14ac:dyDescent="0.2">
      <c r="C406" s="15"/>
    </row>
    <row r="407" spans="3:3" ht="14.25" customHeight="1" x14ac:dyDescent="0.2">
      <c r="C407" s="15"/>
    </row>
    <row r="408" spans="3:3" ht="14.25" customHeight="1" x14ac:dyDescent="0.2">
      <c r="C408" s="15"/>
    </row>
    <row r="409" spans="3:3" ht="14.25" customHeight="1" x14ac:dyDescent="0.2">
      <c r="C409" s="15"/>
    </row>
    <row r="410" spans="3:3" ht="14.25" customHeight="1" x14ac:dyDescent="0.2">
      <c r="C410" s="15"/>
    </row>
    <row r="411" spans="3:3" ht="14.25" customHeight="1" x14ac:dyDescent="0.2">
      <c r="C411" s="15"/>
    </row>
    <row r="412" spans="3:3" ht="14.25" customHeight="1" x14ac:dyDescent="0.2">
      <c r="C412" s="15"/>
    </row>
    <row r="413" spans="3:3" ht="14.25" customHeight="1" x14ac:dyDescent="0.2">
      <c r="C413" s="15"/>
    </row>
    <row r="414" spans="3:3" ht="14.25" customHeight="1" x14ac:dyDescent="0.2">
      <c r="C414" s="15"/>
    </row>
    <row r="415" spans="3:3" ht="14.25" customHeight="1" x14ac:dyDescent="0.2">
      <c r="C415" s="15"/>
    </row>
    <row r="416" spans="3:3" ht="14.25" customHeight="1" x14ac:dyDescent="0.2">
      <c r="C416" s="15"/>
    </row>
    <row r="417" spans="3:3" ht="14.25" customHeight="1" x14ac:dyDescent="0.2">
      <c r="C417" s="15"/>
    </row>
    <row r="418" spans="3:3" ht="14.25" customHeight="1" x14ac:dyDescent="0.2">
      <c r="C418" s="15"/>
    </row>
    <row r="419" spans="3:3" ht="14.25" customHeight="1" x14ac:dyDescent="0.2">
      <c r="C419" s="15"/>
    </row>
    <row r="420" spans="3:3" ht="14.25" customHeight="1" x14ac:dyDescent="0.2">
      <c r="C420" s="15"/>
    </row>
    <row r="421" spans="3:3" ht="14.25" customHeight="1" x14ac:dyDescent="0.2">
      <c r="C421" s="15"/>
    </row>
    <row r="422" spans="3:3" ht="14.25" customHeight="1" x14ac:dyDescent="0.2">
      <c r="C422" s="15"/>
    </row>
    <row r="423" spans="3:3" ht="14.25" customHeight="1" x14ac:dyDescent="0.2">
      <c r="C423" s="15"/>
    </row>
    <row r="424" spans="3:3" ht="14.25" customHeight="1" x14ac:dyDescent="0.2">
      <c r="C424" s="15"/>
    </row>
    <row r="425" spans="3:3" ht="14.25" customHeight="1" x14ac:dyDescent="0.2">
      <c r="C425" s="15"/>
    </row>
    <row r="426" spans="3:3" ht="14.25" customHeight="1" x14ac:dyDescent="0.2">
      <c r="C426" s="15"/>
    </row>
    <row r="427" spans="3:3" ht="14.25" customHeight="1" x14ac:dyDescent="0.2">
      <c r="C427" s="15"/>
    </row>
    <row r="428" spans="3:3" ht="14.25" customHeight="1" x14ac:dyDescent="0.2">
      <c r="C428" s="15"/>
    </row>
    <row r="429" spans="3:3" ht="14.25" customHeight="1" x14ac:dyDescent="0.2">
      <c r="C429" s="15"/>
    </row>
    <row r="430" spans="3:3" ht="14.25" customHeight="1" x14ac:dyDescent="0.2">
      <c r="C430" s="15"/>
    </row>
    <row r="431" spans="3:3" ht="14.25" customHeight="1" x14ac:dyDescent="0.2">
      <c r="C431" s="15"/>
    </row>
    <row r="432" spans="3:3" ht="14.25" customHeight="1" x14ac:dyDescent="0.2">
      <c r="C432" s="15"/>
    </row>
    <row r="433" spans="3:3" ht="14.25" customHeight="1" x14ac:dyDescent="0.2">
      <c r="C433" s="15"/>
    </row>
    <row r="434" spans="3:3" ht="14.25" customHeight="1" x14ac:dyDescent="0.2">
      <c r="C434" s="15"/>
    </row>
    <row r="435" spans="3:3" ht="14.25" customHeight="1" x14ac:dyDescent="0.2">
      <c r="C435" s="15"/>
    </row>
    <row r="436" spans="3:3" ht="14.25" customHeight="1" x14ac:dyDescent="0.2">
      <c r="C436" s="15"/>
    </row>
    <row r="437" spans="3:3" ht="14.25" customHeight="1" x14ac:dyDescent="0.2">
      <c r="C437" s="15"/>
    </row>
    <row r="438" spans="3:3" ht="14.25" customHeight="1" x14ac:dyDescent="0.2">
      <c r="C438" s="15"/>
    </row>
    <row r="439" spans="3:3" ht="14.25" customHeight="1" x14ac:dyDescent="0.2">
      <c r="C439" s="15"/>
    </row>
    <row r="440" spans="3:3" ht="14.25" customHeight="1" x14ac:dyDescent="0.2">
      <c r="C440" s="15"/>
    </row>
    <row r="441" spans="3:3" ht="14.25" customHeight="1" x14ac:dyDescent="0.2">
      <c r="C441" s="15"/>
    </row>
    <row r="442" spans="3:3" ht="14.25" customHeight="1" x14ac:dyDescent="0.2">
      <c r="C442" s="15"/>
    </row>
    <row r="443" spans="3:3" ht="14.25" customHeight="1" x14ac:dyDescent="0.2">
      <c r="C443" s="15"/>
    </row>
    <row r="444" spans="3:3" ht="14.25" customHeight="1" x14ac:dyDescent="0.2">
      <c r="C444" s="15"/>
    </row>
    <row r="445" spans="3:3" ht="14.25" customHeight="1" x14ac:dyDescent="0.2">
      <c r="C445" s="15"/>
    </row>
    <row r="446" spans="3:3" ht="14.25" customHeight="1" x14ac:dyDescent="0.2">
      <c r="C446" s="15"/>
    </row>
    <row r="447" spans="3:3" ht="14.25" customHeight="1" x14ac:dyDescent="0.2">
      <c r="C447" s="15"/>
    </row>
    <row r="448" spans="3:3" ht="14.25" customHeight="1" x14ac:dyDescent="0.2">
      <c r="C448" s="15"/>
    </row>
    <row r="449" spans="3:3" ht="14.25" customHeight="1" x14ac:dyDescent="0.2">
      <c r="C449" s="15"/>
    </row>
    <row r="450" spans="3:3" ht="14.25" customHeight="1" x14ac:dyDescent="0.2">
      <c r="C450" s="15"/>
    </row>
    <row r="451" spans="3:3" ht="14.25" customHeight="1" x14ac:dyDescent="0.2">
      <c r="C451" s="15"/>
    </row>
    <row r="452" spans="3:3" ht="14.25" customHeight="1" x14ac:dyDescent="0.2">
      <c r="C452" s="15"/>
    </row>
    <row r="453" spans="3:3" ht="14.25" customHeight="1" x14ac:dyDescent="0.2">
      <c r="C453" s="15"/>
    </row>
    <row r="454" spans="3:3" ht="14.25" customHeight="1" x14ac:dyDescent="0.2">
      <c r="C454" s="15"/>
    </row>
    <row r="455" spans="3:3" ht="14.25" customHeight="1" x14ac:dyDescent="0.2">
      <c r="C455" s="15"/>
    </row>
    <row r="456" spans="3:3" ht="14.25" customHeight="1" x14ac:dyDescent="0.2">
      <c r="C456" s="15"/>
    </row>
    <row r="457" spans="3:3" ht="14.25" customHeight="1" x14ac:dyDescent="0.2">
      <c r="C457" s="15"/>
    </row>
    <row r="458" spans="3:3" ht="14.25" customHeight="1" x14ac:dyDescent="0.2">
      <c r="C458" s="15"/>
    </row>
    <row r="459" spans="3:3" ht="14.25" customHeight="1" x14ac:dyDescent="0.2">
      <c r="C459" s="15"/>
    </row>
    <row r="460" spans="3:3" ht="14.25" customHeight="1" x14ac:dyDescent="0.2">
      <c r="C460" s="15"/>
    </row>
    <row r="461" spans="3:3" ht="14.25" customHeight="1" x14ac:dyDescent="0.2">
      <c r="C461" s="15"/>
    </row>
    <row r="462" spans="3:3" ht="14.25" customHeight="1" x14ac:dyDescent="0.2">
      <c r="C462" s="15"/>
    </row>
    <row r="463" spans="3:3" ht="14.25" customHeight="1" x14ac:dyDescent="0.2">
      <c r="C463" s="15"/>
    </row>
    <row r="464" spans="3:3" ht="14.25" customHeight="1" x14ac:dyDescent="0.2">
      <c r="C464" s="15"/>
    </row>
    <row r="465" spans="3:3" ht="14.25" customHeight="1" x14ac:dyDescent="0.2">
      <c r="C465" s="15"/>
    </row>
    <row r="466" spans="3:3" ht="14.25" customHeight="1" x14ac:dyDescent="0.2">
      <c r="C466" s="15"/>
    </row>
    <row r="467" spans="3:3" ht="14.25" customHeight="1" x14ac:dyDescent="0.2">
      <c r="C467" s="15"/>
    </row>
    <row r="468" spans="3:3" ht="14.25" customHeight="1" x14ac:dyDescent="0.2">
      <c r="C468" s="15"/>
    </row>
    <row r="469" spans="3:3" ht="14.25" customHeight="1" x14ac:dyDescent="0.2">
      <c r="C469" s="15"/>
    </row>
    <row r="470" spans="3:3" ht="14.25" customHeight="1" x14ac:dyDescent="0.2">
      <c r="C470" s="15"/>
    </row>
    <row r="471" spans="3:3" ht="14.25" customHeight="1" x14ac:dyDescent="0.2">
      <c r="C471" s="15"/>
    </row>
    <row r="472" spans="3:3" ht="14.25" customHeight="1" x14ac:dyDescent="0.2">
      <c r="C472" s="15"/>
    </row>
    <row r="473" spans="3:3" ht="14.25" customHeight="1" x14ac:dyDescent="0.2">
      <c r="C473" s="15"/>
    </row>
    <row r="474" spans="3:3" ht="14.25" customHeight="1" x14ac:dyDescent="0.2">
      <c r="C474" s="15"/>
    </row>
    <row r="475" spans="3:3" ht="14.25" customHeight="1" x14ac:dyDescent="0.2">
      <c r="C475" s="15"/>
    </row>
    <row r="476" spans="3:3" ht="14.25" customHeight="1" x14ac:dyDescent="0.2">
      <c r="C476" s="15"/>
    </row>
    <row r="477" spans="3:3" ht="14.25" customHeight="1" x14ac:dyDescent="0.2">
      <c r="C477" s="15"/>
    </row>
    <row r="478" spans="3:3" ht="14.25" customHeight="1" x14ac:dyDescent="0.2">
      <c r="C478" s="15"/>
    </row>
    <row r="479" spans="3:3" ht="14.25" customHeight="1" x14ac:dyDescent="0.2">
      <c r="C479" s="15"/>
    </row>
    <row r="480" spans="3:3" ht="14.25" customHeight="1" x14ac:dyDescent="0.2">
      <c r="C480" s="15"/>
    </row>
    <row r="481" spans="3:3" ht="14.25" customHeight="1" x14ac:dyDescent="0.2">
      <c r="C481" s="15"/>
    </row>
    <row r="482" spans="3:3" ht="14.25" customHeight="1" x14ac:dyDescent="0.2">
      <c r="C482" s="15"/>
    </row>
    <row r="483" spans="3:3" ht="14.25" customHeight="1" x14ac:dyDescent="0.2">
      <c r="C483" s="15"/>
    </row>
    <row r="484" spans="3:3" ht="14.25" customHeight="1" x14ac:dyDescent="0.2">
      <c r="C484" s="15"/>
    </row>
    <row r="485" spans="3:3" ht="14.25" customHeight="1" x14ac:dyDescent="0.2">
      <c r="C485" s="15"/>
    </row>
    <row r="486" spans="3:3" ht="14.25" customHeight="1" x14ac:dyDescent="0.2">
      <c r="C486" s="15"/>
    </row>
    <row r="487" spans="3:3" ht="14.25" customHeight="1" x14ac:dyDescent="0.2">
      <c r="C487" s="15"/>
    </row>
    <row r="488" spans="3:3" ht="14.25" customHeight="1" x14ac:dyDescent="0.2">
      <c r="C488" s="15"/>
    </row>
    <row r="489" spans="3:3" ht="14.25" customHeight="1" x14ac:dyDescent="0.2">
      <c r="C489" s="15"/>
    </row>
    <row r="490" spans="3:3" ht="14.25" customHeight="1" x14ac:dyDescent="0.2">
      <c r="C490" s="15"/>
    </row>
    <row r="491" spans="3:3" ht="14.25" customHeight="1" x14ac:dyDescent="0.2">
      <c r="C491" s="15"/>
    </row>
    <row r="492" spans="3:3" ht="14.25" customHeight="1" x14ac:dyDescent="0.2">
      <c r="C492" s="15"/>
    </row>
    <row r="493" spans="3:3" ht="14.25" customHeight="1" x14ac:dyDescent="0.2">
      <c r="C493" s="15"/>
    </row>
    <row r="494" spans="3:3" ht="14.25" customHeight="1" x14ac:dyDescent="0.2">
      <c r="C494" s="15"/>
    </row>
    <row r="495" spans="3:3" ht="14.25" customHeight="1" x14ac:dyDescent="0.2">
      <c r="C495" s="15"/>
    </row>
    <row r="496" spans="3:3" ht="14.25" customHeight="1" x14ac:dyDescent="0.2">
      <c r="C496" s="15"/>
    </row>
    <row r="497" spans="3:3" ht="14.25" customHeight="1" x14ac:dyDescent="0.2">
      <c r="C497" s="15"/>
    </row>
    <row r="498" spans="3:3" ht="14.25" customHeight="1" x14ac:dyDescent="0.2">
      <c r="C498" s="15"/>
    </row>
    <row r="499" spans="3:3" ht="14.25" customHeight="1" x14ac:dyDescent="0.2">
      <c r="C499" s="15"/>
    </row>
    <row r="500" spans="3:3" ht="14.25" customHeight="1" x14ac:dyDescent="0.2">
      <c r="C500" s="15"/>
    </row>
    <row r="501" spans="3:3" ht="14.25" customHeight="1" x14ac:dyDescent="0.2">
      <c r="C501" s="15"/>
    </row>
    <row r="502" spans="3:3" ht="14.25" customHeight="1" x14ac:dyDescent="0.2">
      <c r="C502" s="15"/>
    </row>
    <row r="503" spans="3:3" ht="14.25" customHeight="1" x14ac:dyDescent="0.2">
      <c r="C503" s="15"/>
    </row>
    <row r="504" spans="3:3" ht="14.25" customHeight="1" x14ac:dyDescent="0.2">
      <c r="C504" s="15"/>
    </row>
    <row r="505" spans="3:3" ht="14.25" customHeight="1" x14ac:dyDescent="0.2">
      <c r="C505" s="15"/>
    </row>
    <row r="506" spans="3:3" ht="14.25" customHeight="1" x14ac:dyDescent="0.2">
      <c r="C506" s="15"/>
    </row>
    <row r="507" spans="3:3" ht="14.25" customHeight="1" x14ac:dyDescent="0.2">
      <c r="C507" s="15"/>
    </row>
    <row r="508" spans="3:3" ht="14.25" customHeight="1" x14ac:dyDescent="0.2">
      <c r="C508" s="15"/>
    </row>
    <row r="509" spans="3:3" ht="14.25" customHeight="1" x14ac:dyDescent="0.2">
      <c r="C509" s="15"/>
    </row>
    <row r="510" spans="3:3" ht="14.25" customHeight="1" x14ac:dyDescent="0.2">
      <c r="C510" s="15"/>
    </row>
    <row r="511" spans="3:3" ht="14.25" customHeight="1" x14ac:dyDescent="0.2">
      <c r="C511" s="15"/>
    </row>
    <row r="512" spans="3:3" ht="14.25" customHeight="1" x14ac:dyDescent="0.2">
      <c r="C512" s="15"/>
    </row>
    <row r="513" spans="3:3" ht="14.25" customHeight="1" x14ac:dyDescent="0.2">
      <c r="C513" s="15"/>
    </row>
    <row r="514" spans="3:3" ht="14.25" customHeight="1" x14ac:dyDescent="0.2">
      <c r="C514" s="15"/>
    </row>
    <row r="515" spans="3:3" ht="14.25" customHeight="1" x14ac:dyDescent="0.2">
      <c r="C515" s="15"/>
    </row>
    <row r="516" spans="3:3" ht="14.25" customHeight="1" x14ac:dyDescent="0.2">
      <c r="C516" s="15"/>
    </row>
    <row r="517" spans="3:3" ht="14.25" customHeight="1" x14ac:dyDescent="0.2">
      <c r="C517" s="15"/>
    </row>
    <row r="518" spans="3:3" ht="14.25" customHeight="1" x14ac:dyDescent="0.2">
      <c r="C518" s="15"/>
    </row>
    <row r="519" spans="3:3" ht="14.25" customHeight="1" x14ac:dyDescent="0.2">
      <c r="C519" s="15"/>
    </row>
    <row r="520" spans="3:3" ht="14.25" customHeight="1" x14ac:dyDescent="0.2">
      <c r="C520" s="15"/>
    </row>
    <row r="521" spans="3:3" ht="14.25" customHeight="1" x14ac:dyDescent="0.2">
      <c r="C521" s="15"/>
    </row>
    <row r="522" spans="3:3" ht="14.25" customHeight="1" x14ac:dyDescent="0.2">
      <c r="C522" s="15"/>
    </row>
    <row r="523" spans="3:3" ht="14.25" customHeight="1" x14ac:dyDescent="0.2">
      <c r="C523" s="15"/>
    </row>
    <row r="524" spans="3:3" ht="14.25" customHeight="1" x14ac:dyDescent="0.2">
      <c r="C524" s="15"/>
    </row>
    <row r="525" spans="3:3" ht="14.25" customHeight="1" x14ac:dyDescent="0.2">
      <c r="C525" s="15"/>
    </row>
    <row r="526" spans="3:3" ht="14.25" customHeight="1" x14ac:dyDescent="0.2">
      <c r="C526" s="15"/>
    </row>
    <row r="527" spans="3:3" ht="14.25" customHeight="1" x14ac:dyDescent="0.2">
      <c r="C527" s="15"/>
    </row>
    <row r="528" spans="3:3" ht="14.25" customHeight="1" x14ac:dyDescent="0.2">
      <c r="C528" s="15"/>
    </row>
    <row r="529" spans="3:3" ht="14.25" customHeight="1" x14ac:dyDescent="0.2">
      <c r="C529" s="15"/>
    </row>
    <row r="530" spans="3:3" ht="14.25" customHeight="1" x14ac:dyDescent="0.2">
      <c r="C530" s="15"/>
    </row>
    <row r="531" spans="3:3" ht="14.25" customHeight="1" x14ac:dyDescent="0.2">
      <c r="C531" s="15"/>
    </row>
    <row r="532" spans="3:3" ht="14.25" customHeight="1" x14ac:dyDescent="0.2">
      <c r="C532" s="15"/>
    </row>
    <row r="533" spans="3:3" ht="14.25" customHeight="1" x14ac:dyDescent="0.2">
      <c r="C533" s="15"/>
    </row>
    <row r="534" spans="3:3" ht="14.25" customHeight="1" x14ac:dyDescent="0.2">
      <c r="C534" s="15"/>
    </row>
    <row r="535" spans="3:3" ht="14.25" customHeight="1" x14ac:dyDescent="0.2">
      <c r="C535" s="15"/>
    </row>
    <row r="536" spans="3:3" ht="14.25" customHeight="1" x14ac:dyDescent="0.2">
      <c r="C536" s="15"/>
    </row>
    <row r="537" spans="3:3" ht="14.25" customHeight="1" x14ac:dyDescent="0.2">
      <c r="C537" s="15"/>
    </row>
    <row r="538" spans="3:3" ht="14.25" customHeight="1" x14ac:dyDescent="0.2">
      <c r="C538" s="15"/>
    </row>
    <row r="539" spans="3:3" ht="14.25" customHeight="1" x14ac:dyDescent="0.2">
      <c r="C539" s="15"/>
    </row>
    <row r="540" spans="3:3" ht="14.25" customHeight="1" x14ac:dyDescent="0.2">
      <c r="C540" s="15"/>
    </row>
    <row r="541" spans="3:3" ht="14.25" customHeight="1" x14ac:dyDescent="0.2">
      <c r="C541" s="15"/>
    </row>
    <row r="542" spans="3:3" ht="14.25" customHeight="1" x14ac:dyDescent="0.2">
      <c r="C542" s="15"/>
    </row>
    <row r="543" spans="3:3" ht="14.25" customHeight="1" x14ac:dyDescent="0.2">
      <c r="C543" s="15"/>
    </row>
    <row r="544" spans="3:3" ht="14.25" customHeight="1" x14ac:dyDescent="0.2">
      <c r="C544" s="15"/>
    </row>
    <row r="545" spans="3:3" ht="14.25" customHeight="1" x14ac:dyDescent="0.2">
      <c r="C545" s="15"/>
    </row>
    <row r="546" spans="3:3" ht="14.25" customHeight="1" x14ac:dyDescent="0.2">
      <c r="C546" s="15"/>
    </row>
    <row r="547" spans="3:3" ht="14.25" customHeight="1" x14ac:dyDescent="0.2">
      <c r="C547" s="15"/>
    </row>
    <row r="548" spans="3:3" ht="14.25" customHeight="1" x14ac:dyDescent="0.2">
      <c r="C548" s="15"/>
    </row>
    <row r="549" spans="3:3" ht="14.25" customHeight="1" x14ac:dyDescent="0.2">
      <c r="C549" s="15"/>
    </row>
    <row r="550" spans="3:3" ht="14.25" customHeight="1" x14ac:dyDescent="0.2">
      <c r="C550" s="15"/>
    </row>
    <row r="551" spans="3:3" ht="14.25" customHeight="1" x14ac:dyDescent="0.2">
      <c r="C551" s="15"/>
    </row>
    <row r="552" spans="3:3" ht="14.25" customHeight="1" x14ac:dyDescent="0.2">
      <c r="C552" s="15"/>
    </row>
    <row r="553" spans="3:3" ht="14.25" customHeight="1" x14ac:dyDescent="0.2">
      <c r="C553" s="15"/>
    </row>
    <row r="554" spans="3:3" ht="14.25" customHeight="1" x14ac:dyDescent="0.2">
      <c r="C554" s="15"/>
    </row>
    <row r="555" spans="3:3" ht="14.25" customHeight="1" x14ac:dyDescent="0.2">
      <c r="C555" s="15"/>
    </row>
    <row r="556" spans="3:3" ht="14.25" customHeight="1" x14ac:dyDescent="0.2">
      <c r="C556" s="15"/>
    </row>
    <row r="557" spans="3:3" ht="14.25" customHeight="1" x14ac:dyDescent="0.2">
      <c r="C557" s="15"/>
    </row>
    <row r="558" spans="3:3" ht="14.25" customHeight="1" x14ac:dyDescent="0.2">
      <c r="C558" s="15"/>
    </row>
    <row r="559" spans="3:3" ht="14.25" customHeight="1" x14ac:dyDescent="0.2">
      <c r="C559" s="15"/>
    </row>
    <row r="560" spans="3:3" ht="14.25" customHeight="1" x14ac:dyDescent="0.2">
      <c r="C560" s="15"/>
    </row>
    <row r="561" spans="3:3" ht="14.25" customHeight="1" x14ac:dyDescent="0.2">
      <c r="C561" s="15"/>
    </row>
    <row r="562" spans="3:3" ht="14.25" customHeight="1" x14ac:dyDescent="0.2">
      <c r="C562" s="15"/>
    </row>
    <row r="563" spans="3:3" ht="14.25" customHeight="1" x14ac:dyDescent="0.2">
      <c r="C563" s="15"/>
    </row>
    <row r="564" spans="3:3" ht="14.25" customHeight="1" x14ac:dyDescent="0.2">
      <c r="C564" s="15"/>
    </row>
    <row r="565" spans="3:3" ht="14.25" customHeight="1" x14ac:dyDescent="0.2">
      <c r="C565" s="15"/>
    </row>
    <row r="566" spans="3:3" ht="14.25" customHeight="1" x14ac:dyDescent="0.2">
      <c r="C566" s="15"/>
    </row>
    <row r="567" spans="3:3" ht="14.25" customHeight="1" x14ac:dyDescent="0.2">
      <c r="C567" s="15"/>
    </row>
    <row r="568" spans="3:3" ht="14.25" customHeight="1" x14ac:dyDescent="0.2">
      <c r="C568" s="15"/>
    </row>
    <row r="569" spans="3:3" ht="14.25" customHeight="1" x14ac:dyDescent="0.2">
      <c r="C569" s="15"/>
    </row>
    <row r="570" spans="3:3" ht="14.25" customHeight="1" x14ac:dyDescent="0.2">
      <c r="C570" s="15"/>
    </row>
    <row r="571" spans="3:3" ht="14.25" customHeight="1" x14ac:dyDescent="0.2">
      <c r="C571" s="15"/>
    </row>
    <row r="572" spans="3:3" ht="14.25" customHeight="1" x14ac:dyDescent="0.2">
      <c r="C572" s="15"/>
    </row>
    <row r="573" spans="3:3" ht="14.25" customHeight="1" x14ac:dyDescent="0.2">
      <c r="C573" s="15"/>
    </row>
    <row r="574" spans="3:3" ht="14.25" customHeight="1" x14ac:dyDescent="0.2">
      <c r="C574" s="15"/>
    </row>
    <row r="575" spans="3:3" ht="14.25" customHeight="1" x14ac:dyDescent="0.2">
      <c r="C575" s="15"/>
    </row>
    <row r="576" spans="3:3" ht="14.25" customHeight="1" x14ac:dyDescent="0.2">
      <c r="C576" s="15"/>
    </row>
    <row r="577" spans="3:3" ht="14.25" customHeight="1" x14ac:dyDescent="0.2">
      <c r="C577" s="15"/>
    </row>
    <row r="578" spans="3:3" ht="14.25" customHeight="1" x14ac:dyDescent="0.2">
      <c r="C578" s="15"/>
    </row>
    <row r="579" spans="3:3" ht="14.25" customHeight="1" x14ac:dyDescent="0.2">
      <c r="C579" s="15"/>
    </row>
    <row r="580" spans="3:3" ht="14.25" customHeight="1" x14ac:dyDescent="0.2">
      <c r="C580" s="15"/>
    </row>
    <row r="581" spans="3:3" ht="14.25" customHeight="1" x14ac:dyDescent="0.2">
      <c r="C581" s="15"/>
    </row>
    <row r="582" spans="3:3" ht="14.25" customHeight="1" x14ac:dyDescent="0.2">
      <c r="C582" s="15"/>
    </row>
    <row r="583" spans="3:3" ht="14.25" customHeight="1" x14ac:dyDescent="0.2">
      <c r="C583" s="15"/>
    </row>
    <row r="584" spans="3:3" ht="14.25" customHeight="1" x14ac:dyDescent="0.2">
      <c r="C584" s="15"/>
    </row>
    <row r="585" spans="3:3" ht="14.25" customHeight="1" x14ac:dyDescent="0.2">
      <c r="C585" s="15"/>
    </row>
    <row r="586" spans="3:3" ht="14.25" customHeight="1" x14ac:dyDescent="0.2">
      <c r="C586" s="15"/>
    </row>
    <row r="587" spans="3:3" ht="14.25" customHeight="1" x14ac:dyDescent="0.2">
      <c r="C587" s="15"/>
    </row>
    <row r="588" spans="3:3" ht="14.25" customHeight="1" x14ac:dyDescent="0.2">
      <c r="C588" s="15"/>
    </row>
    <row r="589" spans="3:3" ht="14.25" customHeight="1" x14ac:dyDescent="0.2">
      <c r="C589" s="15"/>
    </row>
    <row r="590" spans="3:3" ht="14.25" customHeight="1" x14ac:dyDescent="0.2">
      <c r="C590" s="15"/>
    </row>
    <row r="591" spans="3:3" ht="14.25" customHeight="1" x14ac:dyDescent="0.2">
      <c r="C591" s="15"/>
    </row>
    <row r="592" spans="3:3" ht="14.25" customHeight="1" x14ac:dyDescent="0.2">
      <c r="C592" s="15"/>
    </row>
    <row r="593" spans="3:3" ht="14.25" customHeight="1" x14ac:dyDescent="0.2">
      <c r="C593" s="15"/>
    </row>
    <row r="594" spans="3:3" ht="14.25" customHeight="1" x14ac:dyDescent="0.2">
      <c r="C594" s="15"/>
    </row>
    <row r="595" spans="3:3" ht="14.25" customHeight="1" x14ac:dyDescent="0.2">
      <c r="C595" s="15"/>
    </row>
    <row r="596" spans="3:3" ht="14.25" customHeight="1" x14ac:dyDescent="0.2">
      <c r="C596" s="15"/>
    </row>
    <row r="597" spans="3:3" ht="14.25" customHeight="1" x14ac:dyDescent="0.2">
      <c r="C597" s="15"/>
    </row>
    <row r="598" spans="3:3" ht="14.25" customHeight="1" x14ac:dyDescent="0.2">
      <c r="C598" s="15"/>
    </row>
    <row r="599" spans="3:3" ht="14.25" customHeight="1" x14ac:dyDescent="0.2">
      <c r="C599" s="15"/>
    </row>
    <row r="600" spans="3:3" ht="14.25" customHeight="1" x14ac:dyDescent="0.2">
      <c r="C600" s="15"/>
    </row>
    <row r="601" spans="3:3" ht="14.25" customHeight="1" x14ac:dyDescent="0.2">
      <c r="C601" s="15"/>
    </row>
    <row r="602" spans="3:3" ht="14.25" customHeight="1" x14ac:dyDescent="0.2">
      <c r="C602" s="15"/>
    </row>
    <row r="603" spans="3:3" ht="14.25" customHeight="1" x14ac:dyDescent="0.2">
      <c r="C603" s="15"/>
    </row>
    <row r="604" spans="3:3" ht="14.25" customHeight="1" x14ac:dyDescent="0.2">
      <c r="C604" s="15"/>
    </row>
    <row r="605" spans="3:3" ht="14.25" customHeight="1" x14ac:dyDescent="0.2">
      <c r="C605" s="15"/>
    </row>
    <row r="606" spans="3:3" ht="14.25" customHeight="1" x14ac:dyDescent="0.2">
      <c r="C606" s="15"/>
    </row>
    <row r="607" spans="3:3" ht="14.25" customHeight="1" x14ac:dyDescent="0.2">
      <c r="C607" s="15"/>
    </row>
    <row r="608" spans="3:3" ht="14.25" customHeight="1" x14ac:dyDescent="0.2">
      <c r="C608" s="15"/>
    </row>
    <row r="609" spans="3:3" ht="14.25" customHeight="1" x14ac:dyDescent="0.2">
      <c r="C609" s="15"/>
    </row>
    <row r="610" spans="3:3" ht="14.25" customHeight="1" x14ac:dyDescent="0.2">
      <c r="C610" s="15"/>
    </row>
    <row r="611" spans="3:3" ht="14.25" customHeight="1" x14ac:dyDescent="0.2">
      <c r="C611" s="15"/>
    </row>
    <row r="612" spans="3:3" ht="14.25" customHeight="1" x14ac:dyDescent="0.2">
      <c r="C612" s="15"/>
    </row>
    <row r="613" spans="3:3" ht="14.25" customHeight="1" x14ac:dyDescent="0.2">
      <c r="C613" s="15"/>
    </row>
    <row r="614" spans="3:3" ht="14.25" customHeight="1" x14ac:dyDescent="0.2">
      <c r="C614" s="15"/>
    </row>
    <row r="615" spans="3:3" ht="14.25" customHeight="1" x14ac:dyDescent="0.2">
      <c r="C615" s="15"/>
    </row>
    <row r="616" spans="3:3" ht="14.25" customHeight="1" x14ac:dyDescent="0.2">
      <c r="C616" s="15"/>
    </row>
    <row r="617" spans="3:3" ht="14.25" customHeight="1" x14ac:dyDescent="0.2">
      <c r="C617" s="15"/>
    </row>
    <row r="618" spans="3:3" ht="14.25" customHeight="1" x14ac:dyDescent="0.2">
      <c r="C618" s="15"/>
    </row>
    <row r="619" spans="3:3" ht="14.25" customHeight="1" x14ac:dyDescent="0.2">
      <c r="C619" s="15"/>
    </row>
    <row r="620" spans="3:3" ht="14.25" customHeight="1" x14ac:dyDescent="0.2">
      <c r="C620" s="15"/>
    </row>
    <row r="621" spans="3:3" ht="14.25" customHeight="1" x14ac:dyDescent="0.2">
      <c r="C621" s="15"/>
    </row>
    <row r="622" spans="3:3" ht="14.25" customHeight="1" x14ac:dyDescent="0.2">
      <c r="C622" s="15"/>
    </row>
    <row r="623" spans="3:3" ht="14.25" customHeight="1" x14ac:dyDescent="0.2">
      <c r="C623" s="15"/>
    </row>
    <row r="624" spans="3:3" ht="14.25" customHeight="1" x14ac:dyDescent="0.2">
      <c r="C624" s="15"/>
    </row>
    <row r="625" spans="3:3" ht="14.25" customHeight="1" x14ac:dyDescent="0.2">
      <c r="C625" s="15"/>
    </row>
    <row r="626" spans="3:3" ht="14.25" customHeight="1" x14ac:dyDescent="0.2">
      <c r="C626" s="15"/>
    </row>
    <row r="627" spans="3:3" ht="14.25" customHeight="1" x14ac:dyDescent="0.2">
      <c r="C627" s="15"/>
    </row>
    <row r="628" spans="3:3" ht="14.25" customHeight="1" x14ac:dyDescent="0.2">
      <c r="C628" s="15"/>
    </row>
    <row r="629" spans="3:3" ht="14.25" customHeight="1" x14ac:dyDescent="0.2">
      <c r="C629" s="15"/>
    </row>
    <row r="630" spans="3:3" ht="14.25" customHeight="1" x14ac:dyDescent="0.2">
      <c r="C630" s="15"/>
    </row>
    <row r="631" spans="3:3" ht="14.25" customHeight="1" x14ac:dyDescent="0.2">
      <c r="C631" s="15"/>
    </row>
    <row r="632" spans="3:3" ht="14.25" customHeight="1" x14ac:dyDescent="0.2">
      <c r="C632" s="15"/>
    </row>
    <row r="633" spans="3:3" ht="14.25" customHeight="1" x14ac:dyDescent="0.2">
      <c r="C633" s="15"/>
    </row>
    <row r="634" spans="3:3" ht="14.25" customHeight="1" x14ac:dyDescent="0.2">
      <c r="C634" s="15"/>
    </row>
    <row r="635" spans="3:3" ht="14.25" customHeight="1" x14ac:dyDescent="0.2">
      <c r="C635" s="15"/>
    </row>
    <row r="636" spans="3:3" ht="14.25" customHeight="1" x14ac:dyDescent="0.2">
      <c r="C636" s="15"/>
    </row>
    <row r="637" spans="3:3" ht="14.25" customHeight="1" x14ac:dyDescent="0.2">
      <c r="C637" s="15"/>
    </row>
    <row r="638" spans="3:3" ht="14.25" customHeight="1" x14ac:dyDescent="0.2">
      <c r="C638" s="15"/>
    </row>
    <row r="639" spans="3:3" ht="14.25" customHeight="1" x14ac:dyDescent="0.2">
      <c r="C639" s="15"/>
    </row>
    <row r="640" spans="3:3" ht="14.25" customHeight="1" x14ac:dyDescent="0.2">
      <c r="C640" s="15"/>
    </row>
    <row r="641" spans="3:3" ht="14.25" customHeight="1" x14ac:dyDescent="0.2">
      <c r="C641" s="15"/>
    </row>
    <row r="642" spans="3:3" ht="14.25" customHeight="1" x14ac:dyDescent="0.2">
      <c r="C642" s="15"/>
    </row>
    <row r="643" spans="3:3" ht="14.25" customHeight="1" x14ac:dyDescent="0.2">
      <c r="C643" s="15"/>
    </row>
    <row r="644" spans="3:3" ht="14.25" customHeight="1" x14ac:dyDescent="0.2">
      <c r="C644" s="15"/>
    </row>
    <row r="645" spans="3:3" ht="14.25" customHeight="1" x14ac:dyDescent="0.2">
      <c r="C645" s="15"/>
    </row>
    <row r="646" spans="3:3" ht="14.25" customHeight="1" x14ac:dyDescent="0.2">
      <c r="C646" s="15"/>
    </row>
    <row r="647" spans="3:3" ht="14.25" customHeight="1" x14ac:dyDescent="0.2">
      <c r="C647" s="15"/>
    </row>
    <row r="648" spans="3:3" ht="14.25" customHeight="1" x14ac:dyDescent="0.2">
      <c r="C648" s="15"/>
    </row>
    <row r="649" spans="3:3" ht="14.25" customHeight="1" x14ac:dyDescent="0.2">
      <c r="C649" s="15"/>
    </row>
    <row r="650" spans="3:3" ht="14.25" customHeight="1" x14ac:dyDescent="0.2">
      <c r="C650" s="15"/>
    </row>
    <row r="651" spans="3:3" ht="14.25" customHeight="1" x14ac:dyDescent="0.2">
      <c r="C651" s="15"/>
    </row>
    <row r="652" spans="3:3" ht="14.25" customHeight="1" x14ac:dyDescent="0.2">
      <c r="C652" s="15"/>
    </row>
    <row r="653" spans="3:3" ht="14.25" customHeight="1" x14ac:dyDescent="0.2">
      <c r="C653" s="15"/>
    </row>
    <row r="654" spans="3:3" ht="14.25" customHeight="1" x14ac:dyDescent="0.2">
      <c r="C654" s="15"/>
    </row>
    <row r="655" spans="3:3" ht="14.25" customHeight="1" x14ac:dyDescent="0.2">
      <c r="C655" s="15"/>
    </row>
    <row r="656" spans="3:3" ht="14.25" customHeight="1" x14ac:dyDescent="0.2">
      <c r="C656" s="15"/>
    </row>
    <row r="657" spans="3:3" ht="14.25" customHeight="1" x14ac:dyDescent="0.2">
      <c r="C657" s="15"/>
    </row>
    <row r="658" spans="3:3" ht="14.25" customHeight="1" x14ac:dyDescent="0.2">
      <c r="C658" s="15"/>
    </row>
    <row r="659" spans="3:3" ht="14.25" customHeight="1" x14ac:dyDescent="0.2">
      <c r="C659" s="15"/>
    </row>
    <row r="660" spans="3:3" ht="14.25" customHeight="1" x14ac:dyDescent="0.2">
      <c r="C660" s="15"/>
    </row>
    <row r="661" spans="3:3" ht="14.25" customHeight="1" x14ac:dyDescent="0.2">
      <c r="C661" s="15"/>
    </row>
    <row r="662" spans="3:3" ht="14.25" customHeight="1" x14ac:dyDescent="0.2">
      <c r="C662" s="15"/>
    </row>
    <row r="663" spans="3:3" ht="14.25" customHeight="1" x14ac:dyDescent="0.2">
      <c r="C663" s="15"/>
    </row>
    <row r="664" spans="3:3" ht="14.25" customHeight="1" x14ac:dyDescent="0.2">
      <c r="C664" s="15"/>
    </row>
    <row r="665" spans="3:3" ht="14.25" customHeight="1" x14ac:dyDescent="0.2">
      <c r="C665" s="15"/>
    </row>
    <row r="666" spans="3:3" ht="14.25" customHeight="1" x14ac:dyDescent="0.2">
      <c r="C666" s="15"/>
    </row>
    <row r="667" spans="3:3" ht="14.25" customHeight="1" x14ac:dyDescent="0.2">
      <c r="C667" s="15"/>
    </row>
    <row r="668" spans="3:3" ht="14.25" customHeight="1" x14ac:dyDescent="0.2">
      <c r="C668" s="15"/>
    </row>
    <row r="669" spans="3:3" ht="14.25" customHeight="1" x14ac:dyDescent="0.2">
      <c r="C669" s="15"/>
    </row>
    <row r="670" spans="3:3" ht="14.25" customHeight="1" x14ac:dyDescent="0.2">
      <c r="C670" s="15"/>
    </row>
    <row r="671" spans="3:3" ht="14.25" customHeight="1" x14ac:dyDescent="0.2">
      <c r="C671" s="15"/>
    </row>
    <row r="672" spans="3:3" ht="14.25" customHeight="1" x14ac:dyDescent="0.2">
      <c r="C672" s="15"/>
    </row>
    <row r="673" spans="3:3" ht="14.25" customHeight="1" x14ac:dyDescent="0.2">
      <c r="C673" s="15"/>
    </row>
    <row r="674" spans="3:3" ht="14.25" customHeight="1" x14ac:dyDescent="0.2">
      <c r="C674" s="15"/>
    </row>
    <row r="675" spans="3:3" ht="14.25" customHeight="1" x14ac:dyDescent="0.2">
      <c r="C675" s="15"/>
    </row>
    <row r="676" spans="3:3" ht="14.25" customHeight="1" x14ac:dyDescent="0.2">
      <c r="C676" s="15"/>
    </row>
    <row r="677" spans="3:3" ht="14.25" customHeight="1" x14ac:dyDescent="0.2">
      <c r="C677" s="15"/>
    </row>
    <row r="678" spans="3:3" ht="14.25" customHeight="1" x14ac:dyDescent="0.2">
      <c r="C678" s="15"/>
    </row>
    <row r="679" spans="3:3" ht="14.25" customHeight="1" x14ac:dyDescent="0.2">
      <c r="C679" s="15"/>
    </row>
    <row r="680" spans="3:3" ht="14.25" customHeight="1" x14ac:dyDescent="0.2">
      <c r="C680" s="15"/>
    </row>
    <row r="681" spans="3:3" ht="14.25" customHeight="1" x14ac:dyDescent="0.2">
      <c r="C681" s="15"/>
    </row>
    <row r="682" spans="3:3" ht="14.25" customHeight="1" x14ac:dyDescent="0.2">
      <c r="C682" s="15"/>
    </row>
    <row r="683" spans="3:3" ht="14.25" customHeight="1" x14ac:dyDescent="0.2">
      <c r="C683" s="15"/>
    </row>
    <row r="684" spans="3:3" ht="14.25" customHeight="1" x14ac:dyDescent="0.2">
      <c r="C684" s="15"/>
    </row>
    <row r="685" spans="3:3" ht="14.25" customHeight="1" x14ac:dyDescent="0.2">
      <c r="C685" s="15"/>
    </row>
    <row r="686" spans="3:3" ht="14.25" customHeight="1" x14ac:dyDescent="0.2">
      <c r="C686" s="15"/>
    </row>
    <row r="687" spans="3:3" ht="14.25" customHeight="1" x14ac:dyDescent="0.2">
      <c r="C687" s="15"/>
    </row>
    <row r="688" spans="3:3" ht="14.25" customHeight="1" x14ac:dyDescent="0.2">
      <c r="C688" s="15"/>
    </row>
    <row r="689" spans="3:3" ht="14.25" customHeight="1" x14ac:dyDescent="0.2">
      <c r="C689" s="15"/>
    </row>
    <row r="690" spans="3:3" ht="14.25" customHeight="1" x14ac:dyDescent="0.2">
      <c r="C690" s="15"/>
    </row>
    <row r="691" spans="3:3" ht="14.25" customHeight="1" x14ac:dyDescent="0.2">
      <c r="C691" s="15"/>
    </row>
    <row r="692" spans="3:3" ht="14.25" customHeight="1" x14ac:dyDescent="0.2">
      <c r="C692" s="15"/>
    </row>
    <row r="693" spans="3:3" ht="14.25" customHeight="1" x14ac:dyDescent="0.2">
      <c r="C693" s="15"/>
    </row>
    <row r="694" spans="3:3" ht="14.25" customHeight="1" x14ac:dyDescent="0.2">
      <c r="C694" s="15"/>
    </row>
    <row r="695" spans="3:3" ht="14.25" customHeight="1" x14ac:dyDescent="0.2">
      <c r="C695" s="15"/>
    </row>
    <row r="696" spans="3:3" ht="14.25" customHeight="1" x14ac:dyDescent="0.2">
      <c r="C696" s="15"/>
    </row>
    <row r="697" spans="3:3" ht="14.25" customHeight="1" x14ac:dyDescent="0.2">
      <c r="C697" s="15"/>
    </row>
    <row r="698" spans="3:3" ht="14.25" customHeight="1" x14ac:dyDescent="0.2">
      <c r="C698" s="15"/>
    </row>
    <row r="699" spans="3:3" ht="14.25" customHeight="1" x14ac:dyDescent="0.2">
      <c r="C699" s="15"/>
    </row>
    <row r="700" spans="3:3" ht="14.25" customHeight="1" x14ac:dyDescent="0.2">
      <c r="C700" s="15"/>
    </row>
    <row r="701" spans="3:3" ht="14.25" customHeight="1" x14ac:dyDescent="0.2">
      <c r="C701" s="15"/>
    </row>
    <row r="702" spans="3:3" ht="14.25" customHeight="1" x14ac:dyDescent="0.2">
      <c r="C702" s="15"/>
    </row>
    <row r="703" spans="3:3" ht="14.25" customHeight="1" x14ac:dyDescent="0.2">
      <c r="C703" s="15"/>
    </row>
    <row r="704" spans="3:3" ht="14.25" customHeight="1" x14ac:dyDescent="0.2">
      <c r="C704" s="15"/>
    </row>
    <row r="705" spans="3:3" ht="14.25" customHeight="1" x14ac:dyDescent="0.2">
      <c r="C705" s="15"/>
    </row>
    <row r="706" spans="3:3" ht="14.25" customHeight="1" x14ac:dyDescent="0.2">
      <c r="C706" s="15"/>
    </row>
    <row r="707" spans="3:3" ht="14.25" customHeight="1" x14ac:dyDescent="0.2">
      <c r="C707" s="15"/>
    </row>
    <row r="708" spans="3:3" ht="14.25" customHeight="1" x14ac:dyDescent="0.2">
      <c r="C708" s="15"/>
    </row>
    <row r="709" spans="3:3" ht="14.25" customHeight="1" x14ac:dyDescent="0.2">
      <c r="C709" s="15"/>
    </row>
    <row r="710" spans="3:3" ht="14.25" customHeight="1" x14ac:dyDescent="0.2">
      <c r="C710" s="15"/>
    </row>
    <row r="711" spans="3:3" ht="14.25" customHeight="1" x14ac:dyDescent="0.2">
      <c r="C711" s="15"/>
    </row>
    <row r="712" spans="3:3" ht="14.25" customHeight="1" x14ac:dyDescent="0.2">
      <c r="C712" s="15"/>
    </row>
    <row r="713" spans="3:3" ht="14.25" customHeight="1" x14ac:dyDescent="0.2">
      <c r="C713" s="15"/>
    </row>
    <row r="714" spans="3:3" ht="14.25" customHeight="1" x14ac:dyDescent="0.2">
      <c r="C714" s="15"/>
    </row>
    <row r="715" spans="3:3" ht="14.25" customHeight="1" x14ac:dyDescent="0.2">
      <c r="C715" s="15"/>
    </row>
    <row r="716" spans="3:3" ht="14.25" customHeight="1" x14ac:dyDescent="0.2">
      <c r="C716" s="15"/>
    </row>
    <row r="717" spans="3:3" ht="14.25" customHeight="1" x14ac:dyDescent="0.2">
      <c r="C717" s="15"/>
    </row>
    <row r="718" spans="3:3" ht="14.25" customHeight="1" x14ac:dyDescent="0.2">
      <c r="C718" s="15"/>
    </row>
    <row r="719" spans="3:3" ht="14.25" customHeight="1" x14ac:dyDescent="0.2">
      <c r="C719" s="15"/>
    </row>
    <row r="720" spans="3:3" ht="14.25" customHeight="1" x14ac:dyDescent="0.2">
      <c r="C720" s="15"/>
    </row>
    <row r="721" spans="3:3" ht="14.25" customHeight="1" x14ac:dyDescent="0.2">
      <c r="C721" s="15"/>
    </row>
    <row r="722" spans="3:3" ht="14.25" customHeight="1" x14ac:dyDescent="0.2">
      <c r="C722" s="15"/>
    </row>
    <row r="723" spans="3:3" ht="14.25" customHeight="1" x14ac:dyDescent="0.2">
      <c r="C723" s="15"/>
    </row>
    <row r="724" spans="3:3" ht="14.25" customHeight="1" x14ac:dyDescent="0.2">
      <c r="C724" s="15"/>
    </row>
    <row r="725" spans="3:3" ht="14.25" customHeight="1" x14ac:dyDescent="0.2">
      <c r="C725" s="15"/>
    </row>
    <row r="726" spans="3:3" ht="14.25" customHeight="1" x14ac:dyDescent="0.2">
      <c r="C726" s="15"/>
    </row>
    <row r="727" spans="3:3" ht="14.25" customHeight="1" x14ac:dyDescent="0.2">
      <c r="C727" s="15"/>
    </row>
    <row r="728" spans="3:3" ht="14.25" customHeight="1" x14ac:dyDescent="0.2">
      <c r="C728" s="15"/>
    </row>
    <row r="729" spans="3:3" ht="14.25" customHeight="1" x14ac:dyDescent="0.2">
      <c r="C729" s="15"/>
    </row>
    <row r="730" spans="3:3" ht="14.25" customHeight="1" x14ac:dyDescent="0.2">
      <c r="C730" s="15"/>
    </row>
    <row r="731" spans="3:3" ht="14.25" customHeight="1" x14ac:dyDescent="0.2">
      <c r="C731" s="15"/>
    </row>
    <row r="732" spans="3:3" ht="14.25" customHeight="1" x14ac:dyDescent="0.2">
      <c r="C732" s="15"/>
    </row>
    <row r="733" spans="3:3" ht="14.25" customHeight="1" x14ac:dyDescent="0.2">
      <c r="C733" s="15"/>
    </row>
    <row r="734" spans="3:3" ht="14.25" customHeight="1" x14ac:dyDescent="0.2">
      <c r="C734" s="15"/>
    </row>
    <row r="735" spans="3:3" ht="14.25" customHeight="1" x14ac:dyDescent="0.2">
      <c r="C735" s="15"/>
    </row>
    <row r="736" spans="3:3" ht="14.25" customHeight="1" x14ac:dyDescent="0.2">
      <c r="C736" s="15"/>
    </row>
    <row r="737" spans="3:3" ht="14.25" customHeight="1" x14ac:dyDescent="0.2">
      <c r="C737" s="15"/>
    </row>
    <row r="738" spans="3:3" ht="14.25" customHeight="1" x14ac:dyDescent="0.2">
      <c r="C738" s="15"/>
    </row>
    <row r="739" spans="3:3" ht="14.25" customHeight="1" x14ac:dyDescent="0.2">
      <c r="C739" s="15"/>
    </row>
    <row r="740" spans="3:3" ht="14.25" customHeight="1" x14ac:dyDescent="0.2">
      <c r="C740" s="15"/>
    </row>
    <row r="741" spans="3:3" ht="14.25" customHeight="1" x14ac:dyDescent="0.2">
      <c r="C741" s="15"/>
    </row>
    <row r="742" spans="3:3" ht="14.25" customHeight="1" x14ac:dyDescent="0.2">
      <c r="C742" s="15"/>
    </row>
    <row r="743" spans="3:3" ht="14.25" customHeight="1" x14ac:dyDescent="0.2">
      <c r="C743" s="15"/>
    </row>
    <row r="744" spans="3:3" ht="14.25" customHeight="1" x14ac:dyDescent="0.2">
      <c r="C744" s="15"/>
    </row>
    <row r="745" spans="3:3" ht="14.25" customHeight="1" x14ac:dyDescent="0.2">
      <c r="C745" s="15"/>
    </row>
    <row r="746" spans="3:3" ht="14.25" customHeight="1" x14ac:dyDescent="0.2">
      <c r="C746" s="15"/>
    </row>
    <row r="747" spans="3:3" ht="14.25" customHeight="1" x14ac:dyDescent="0.2">
      <c r="C747" s="15"/>
    </row>
    <row r="748" spans="3:3" ht="14.25" customHeight="1" x14ac:dyDescent="0.2">
      <c r="C748" s="15"/>
    </row>
    <row r="749" spans="3:3" ht="14.25" customHeight="1" x14ac:dyDescent="0.2">
      <c r="C749" s="15"/>
    </row>
    <row r="750" spans="3:3" ht="14.25" customHeight="1" x14ac:dyDescent="0.2">
      <c r="C750" s="15"/>
    </row>
    <row r="751" spans="3:3" ht="14.25" customHeight="1" x14ac:dyDescent="0.2">
      <c r="C751" s="15"/>
    </row>
    <row r="752" spans="3:3" ht="14.25" customHeight="1" x14ac:dyDescent="0.2">
      <c r="C752" s="15"/>
    </row>
    <row r="753" spans="3:3" ht="14.25" customHeight="1" x14ac:dyDescent="0.2">
      <c r="C753" s="15"/>
    </row>
    <row r="754" spans="3:3" ht="14.25" customHeight="1" x14ac:dyDescent="0.2">
      <c r="C754" s="15"/>
    </row>
    <row r="755" spans="3:3" ht="14.25" customHeight="1" x14ac:dyDescent="0.2">
      <c r="C755" s="15"/>
    </row>
    <row r="756" spans="3:3" ht="14.25" customHeight="1" x14ac:dyDescent="0.2">
      <c r="C756" s="15"/>
    </row>
    <row r="757" spans="3:3" ht="14.25" customHeight="1" x14ac:dyDescent="0.2">
      <c r="C757" s="15"/>
    </row>
    <row r="758" spans="3:3" ht="14.25" customHeight="1" x14ac:dyDescent="0.2">
      <c r="C758" s="15"/>
    </row>
    <row r="759" spans="3:3" ht="14.25" customHeight="1" x14ac:dyDescent="0.2">
      <c r="C759" s="15"/>
    </row>
    <row r="760" spans="3:3" ht="14.25" customHeight="1" x14ac:dyDescent="0.2">
      <c r="C760" s="15"/>
    </row>
    <row r="761" spans="3:3" ht="14.25" customHeight="1" x14ac:dyDescent="0.2">
      <c r="C761" s="15"/>
    </row>
    <row r="762" spans="3:3" ht="14.25" customHeight="1" x14ac:dyDescent="0.2">
      <c r="C762" s="15"/>
    </row>
    <row r="763" spans="3:3" ht="14.25" customHeight="1" x14ac:dyDescent="0.2">
      <c r="C763" s="15"/>
    </row>
    <row r="764" spans="3:3" ht="14.25" customHeight="1" x14ac:dyDescent="0.2">
      <c r="C764" s="15"/>
    </row>
    <row r="765" spans="3:3" ht="14.25" customHeight="1" x14ac:dyDescent="0.2">
      <c r="C765" s="15"/>
    </row>
    <row r="766" spans="3:3" ht="14.25" customHeight="1" x14ac:dyDescent="0.2">
      <c r="C766" s="15"/>
    </row>
    <row r="767" spans="3:3" ht="14.25" customHeight="1" x14ac:dyDescent="0.2">
      <c r="C767" s="15"/>
    </row>
    <row r="768" spans="3:3" ht="14.25" customHeight="1" x14ac:dyDescent="0.2">
      <c r="C768" s="15"/>
    </row>
    <row r="769" spans="3:3" ht="14.25" customHeight="1" x14ac:dyDescent="0.2">
      <c r="C769" s="15"/>
    </row>
    <row r="770" spans="3:3" ht="14.25" customHeight="1" x14ac:dyDescent="0.2">
      <c r="C770" s="15"/>
    </row>
    <row r="771" spans="3:3" ht="14.25" customHeight="1" x14ac:dyDescent="0.2">
      <c r="C771" s="15"/>
    </row>
    <row r="772" spans="3:3" ht="14.25" customHeight="1" x14ac:dyDescent="0.2">
      <c r="C772" s="15"/>
    </row>
    <row r="773" spans="3:3" ht="14.25" customHeight="1" x14ac:dyDescent="0.2">
      <c r="C773" s="15"/>
    </row>
    <row r="774" spans="3:3" ht="14.25" customHeight="1" x14ac:dyDescent="0.2">
      <c r="C774" s="15"/>
    </row>
    <row r="775" spans="3:3" ht="14.25" customHeight="1" x14ac:dyDescent="0.2">
      <c r="C775" s="15"/>
    </row>
    <row r="776" spans="3:3" ht="14.25" customHeight="1" x14ac:dyDescent="0.2">
      <c r="C776" s="15"/>
    </row>
    <row r="777" spans="3:3" ht="14.25" customHeight="1" x14ac:dyDescent="0.2">
      <c r="C777" s="15"/>
    </row>
    <row r="778" spans="3:3" ht="14.25" customHeight="1" x14ac:dyDescent="0.2">
      <c r="C778" s="15"/>
    </row>
    <row r="779" spans="3:3" ht="14.25" customHeight="1" x14ac:dyDescent="0.2">
      <c r="C779" s="15"/>
    </row>
    <row r="780" spans="3:3" ht="14.25" customHeight="1" x14ac:dyDescent="0.2">
      <c r="C780" s="15"/>
    </row>
    <row r="781" spans="3:3" ht="14.25" customHeight="1" x14ac:dyDescent="0.2">
      <c r="C781" s="15"/>
    </row>
    <row r="782" spans="3:3" ht="14.25" customHeight="1" x14ac:dyDescent="0.2">
      <c r="C782" s="15"/>
    </row>
    <row r="783" spans="3:3" ht="14.25" customHeight="1" x14ac:dyDescent="0.2">
      <c r="C783" s="15"/>
    </row>
    <row r="784" spans="3:3" ht="14.25" customHeight="1" x14ac:dyDescent="0.2">
      <c r="C784" s="15"/>
    </row>
    <row r="785" spans="3:3" ht="14.25" customHeight="1" x14ac:dyDescent="0.2">
      <c r="C785" s="15"/>
    </row>
    <row r="786" spans="3:3" ht="14.25" customHeight="1" x14ac:dyDescent="0.2">
      <c r="C786" s="15"/>
    </row>
    <row r="787" spans="3:3" ht="14.25" customHeight="1" x14ac:dyDescent="0.2">
      <c r="C787" s="15"/>
    </row>
    <row r="788" spans="3:3" ht="14.25" customHeight="1" x14ac:dyDescent="0.2">
      <c r="C788" s="15"/>
    </row>
    <row r="789" spans="3:3" ht="14.25" customHeight="1" x14ac:dyDescent="0.2">
      <c r="C789" s="15"/>
    </row>
    <row r="790" spans="3:3" ht="14.25" customHeight="1" x14ac:dyDescent="0.2">
      <c r="C790" s="15"/>
    </row>
    <row r="791" spans="3:3" ht="14.25" customHeight="1" x14ac:dyDescent="0.2">
      <c r="C791" s="15"/>
    </row>
    <row r="792" spans="3:3" ht="14.25" customHeight="1" x14ac:dyDescent="0.2">
      <c r="C792" s="15"/>
    </row>
    <row r="793" spans="3:3" ht="14.25" customHeight="1" x14ac:dyDescent="0.2">
      <c r="C793" s="15"/>
    </row>
    <row r="794" spans="3:3" ht="14.25" customHeight="1" x14ac:dyDescent="0.2">
      <c r="C794" s="15"/>
    </row>
    <row r="795" spans="3:3" ht="14.25" customHeight="1" x14ac:dyDescent="0.2">
      <c r="C795" s="15"/>
    </row>
    <row r="796" spans="3:3" ht="14.25" customHeight="1" x14ac:dyDescent="0.2">
      <c r="C796" s="15"/>
    </row>
    <row r="797" spans="3:3" ht="14.25" customHeight="1" x14ac:dyDescent="0.2">
      <c r="C797" s="15"/>
    </row>
    <row r="798" spans="3:3" ht="14.25" customHeight="1" x14ac:dyDescent="0.2">
      <c r="C798" s="15"/>
    </row>
    <row r="799" spans="3:3" ht="14.25" customHeight="1" x14ac:dyDescent="0.2">
      <c r="C799" s="15"/>
    </row>
    <row r="800" spans="3:3" ht="14.25" customHeight="1" x14ac:dyDescent="0.2">
      <c r="C800" s="15"/>
    </row>
    <row r="801" spans="3:3" ht="14.25" customHeight="1" x14ac:dyDescent="0.2">
      <c r="C801" s="15"/>
    </row>
    <row r="802" spans="3:3" ht="14.25" customHeight="1" x14ac:dyDescent="0.2">
      <c r="C802" s="15"/>
    </row>
    <row r="803" spans="3:3" ht="14.25" customHeight="1" x14ac:dyDescent="0.2">
      <c r="C803" s="15"/>
    </row>
    <row r="804" spans="3:3" ht="14.25" customHeight="1" x14ac:dyDescent="0.2">
      <c r="C804" s="15"/>
    </row>
    <row r="805" spans="3:3" ht="14.25" customHeight="1" x14ac:dyDescent="0.2">
      <c r="C805" s="15"/>
    </row>
    <row r="806" spans="3:3" ht="14.25" customHeight="1" x14ac:dyDescent="0.2">
      <c r="C806" s="15"/>
    </row>
    <row r="807" spans="3:3" ht="14.25" customHeight="1" x14ac:dyDescent="0.2">
      <c r="C807" s="15"/>
    </row>
    <row r="808" spans="3:3" ht="14.25" customHeight="1" x14ac:dyDescent="0.2">
      <c r="C808" s="15"/>
    </row>
    <row r="809" spans="3:3" ht="14.25" customHeight="1" x14ac:dyDescent="0.2">
      <c r="C809" s="15"/>
    </row>
    <row r="810" spans="3:3" ht="14.25" customHeight="1" x14ac:dyDescent="0.2">
      <c r="C810" s="15"/>
    </row>
    <row r="811" spans="3:3" ht="14.25" customHeight="1" x14ac:dyDescent="0.2">
      <c r="C811" s="15"/>
    </row>
    <row r="812" spans="3:3" ht="14.25" customHeight="1" x14ac:dyDescent="0.2">
      <c r="C812" s="15"/>
    </row>
    <row r="813" spans="3:3" ht="14.25" customHeight="1" x14ac:dyDescent="0.2">
      <c r="C813" s="15"/>
    </row>
    <row r="814" spans="3:3" ht="14.25" customHeight="1" x14ac:dyDescent="0.2">
      <c r="C814" s="15"/>
    </row>
    <row r="815" spans="3:3" ht="14.25" customHeight="1" x14ac:dyDescent="0.2">
      <c r="C815" s="15"/>
    </row>
    <row r="816" spans="3:3" ht="14.25" customHeight="1" x14ac:dyDescent="0.2">
      <c r="C816" s="15"/>
    </row>
    <row r="817" spans="3:3" ht="14.25" customHeight="1" x14ac:dyDescent="0.2">
      <c r="C817" s="15"/>
    </row>
    <row r="818" spans="3:3" ht="14.25" customHeight="1" x14ac:dyDescent="0.2">
      <c r="C818" s="15"/>
    </row>
    <row r="819" spans="3:3" ht="14.25" customHeight="1" x14ac:dyDescent="0.2">
      <c r="C819" s="15"/>
    </row>
    <row r="820" spans="3:3" ht="14.25" customHeight="1" x14ac:dyDescent="0.2">
      <c r="C820" s="15"/>
    </row>
    <row r="821" spans="3:3" ht="14.25" customHeight="1" x14ac:dyDescent="0.2">
      <c r="C821" s="15"/>
    </row>
    <row r="822" spans="3:3" ht="14.25" customHeight="1" x14ac:dyDescent="0.2">
      <c r="C822" s="15"/>
    </row>
    <row r="823" spans="3:3" ht="14.25" customHeight="1" x14ac:dyDescent="0.2">
      <c r="C823" s="15"/>
    </row>
    <row r="824" spans="3:3" ht="14.25" customHeight="1" x14ac:dyDescent="0.2">
      <c r="C824" s="15"/>
    </row>
    <row r="825" spans="3:3" ht="14.25" customHeight="1" x14ac:dyDescent="0.2">
      <c r="C825" s="15"/>
    </row>
    <row r="826" spans="3:3" ht="14.25" customHeight="1" x14ac:dyDescent="0.2">
      <c r="C826" s="15"/>
    </row>
    <row r="827" spans="3:3" ht="14.25" customHeight="1" x14ac:dyDescent="0.2">
      <c r="C827" s="15"/>
    </row>
    <row r="828" spans="3:3" ht="14.25" customHeight="1" x14ac:dyDescent="0.2">
      <c r="C828" s="15"/>
    </row>
    <row r="829" spans="3:3" ht="14.25" customHeight="1" x14ac:dyDescent="0.2">
      <c r="C829" s="15"/>
    </row>
    <row r="830" spans="3:3" ht="14.25" customHeight="1" x14ac:dyDescent="0.2">
      <c r="C830" s="15"/>
    </row>
    <row r="831" spans="3:3" ht="14.25" customHeight="1" x14ac:dyDescent="0.2">
      <c r="C831" s="15"/>
    </row>
    <row r="832" spans="3:3" ht="14.25" customHeight="1" x14ac:dyDescent="0.2">
      <c r="C832" s="15"/>
    </row>
    <row r="833" spans="3:3" ht="14.25" customHeight="1" x14ac:dyDescent="0.2">
      <c r="C833" s="15"/>
    </row>
    <row r="834" spans="3:3" ht="14.25" customHeight="1" x14ac:dyDescent="0.2">
      <c r="C834" s="15"/>
    </row>
    <row r="835" spans="3:3" ht="14.25" customHeight="1" x14ac:dyDescent="0.2">
      <c r="C835" s="15"/>
    </row>
    <row r="836" spans="3:3" ht="14.25" customHeight="1" x14ac:dyDescent="0.2">
      <c r="C836" s="15"/>
    </row>
    <row r="837" spans="3:3" ht="14.25" customHeight="1" x14ac:dyDescent="0.2">
      <c r="C837" s="15"/>
    </row>
    <row r="838" spans="3:3" ht="14.25" customHeight="1" x14ac:dyDescent="0.2">
      <c r="C838" s="15"/>
    </row>
    <row r="839" spans="3:3" ht="14.25" customHeight="1" x14ac:dyDescent="0.2">
      <c r="C839" s="15"/>
    </row>
    <row r="840" spans="3:3" ht="14.25" customHeight="1" x14ac:dyDescent="0.2">
      <c r="C840" s="15"/>
    </row>
    <row r="841" spans="3:3" ht="14.25" customHeight="1" x14ac:dyDescent="0.2">
      <c r="C841" s="15"/>
    </row>
    <row r="842" spans="3:3" ht="14.25" customHeight="1" x14ac:dyDescent="0.2">
      <c r="C842" s="15"/>
    </row>
    <row r="843" spans="3:3" ht="14.25" customHeight="1" x14ac:dyDescent="0.2">
      <c r="C843" s="15"/>
    </row>
    <row r="844" spans="3:3" ht="14.25" customHeight="1" x14ac:dyDescent="0.2">
      <c r="C844" s="15"/>
    </row>
    <row r="845" spans="3:3" ht="14.25" customHeight="1" x14ac:dyDescent="0.2">
      <c r="C845" s="15"/>
    </row>
    <row r="846" spans="3:3" ht="14.25" customHeight="1" x14ac:dyDescent="0.2">
      <c r="C846" s="15"/>
    </row>
    <row r="847" spans="3:3" ht="14.25" customHeight="1" x14ac:dyDescent="0.2">
      <c r="C847" s="15"/>
    </row>
    <row r="848" spans="3:3" ht="14.25" customHeight="1" x14ac:dyDescent="0.2">
      <c r="C848" s="15"/>
    </row>
    <row r="849" spans="3:3" ht="14.25" customHeight="1" x14ac:dyDescent="0.2">
      <c r="C849" s="15"/>
    </row>
    <row r="850" spans="3:3" ht="14.25" customHeight="1" x14ac:dyDescent="0.2">
      <c r="C850" s="15"/>
    </row>
    <row r="851" spans="3:3" ht="14.25" customHeight="1" x14ac:dyDescent="0.2">
      <c r="C851" s="15"/>
    </row>
    <row r="852" spans="3:3" ht="14.25" customHeight="1" x14ac:dyDescent="0.2">
      <c r="C852" s="15"/>
    </row>
    <row r="853" spans="3:3" ht="14.25" customHeight="1" x14ac:dyDescent="0.2">
      <c r="C853" s="15"/>
    </row>
    <row r="854" spans="3:3" ht="14.25" customHeight="1" x14ac:dyDescent="0.2">
      <c r="C854" s="15"/>
    </row>
    <row r="855" spans="3:3" ht="14.25" customHeight="1" x14ac:dyDescent="0.2">
      <c r="C855" s="15"/>
    </row>
    <row r="856" spans="3:3" ht="14.25" customHeight="1" x14ac:dyDescent="0.2">
      <c r="C856" s="15"/>
    </row>
    <row r="857" spans="3:3" ht="14.25" customHeight="1" x14ac:dyDescent="0.2">
      <c r="C857" s="15"/>
    </row>
    <row r="858" spans="3:3" ht="14.25" customHeight="1" x14ac:dyDescent="0.2">
      <c r="C858" s="15"/>
    </row>
    <row r="859" spans="3:3" ht="14.25" customHeight="1" x14ac:dyDescent="0.2">
      <c r="C859" s="15"/>
    </row>
    <row r="860" spans="3:3" ht="14.25" customHeight="1" x14ac:dyDescent="0.2">
      <c r="C860" s="15"/>
    </row>
    <row r="861" spans="3:3" ht="14.25" customHeight="1" x14ac:dyDescent="0.2">
      <c r="C861" s="15"/>
    </row>
    <row r="862" spans="3:3" ht="14.25" customHeight="1" x14ac:dyDescent="0.2">
      <c r="C862" s="15"/>
    </row>
    <row r="863" spans="3:3" ht="14.25" customHeight="1" x14ac:dyDescent="0.2">
      <c r="C863" s="15"/>
    </row>
    <row r="864" spans="3:3" ht="14.25" customHeight="1" x14ac:dyDescent="0.2">
      <c r="C864" s="15"/>
    </row>
    <row r="865" spans="3:3" ht="14.25" customHeight="1" x14ac:dyDescent="0.2">
      <c r="C865" s="15"/>
    </row>
    <row r="866" spans="3:3" ht="14.25" customHeight="1" x14ac:dyDescent="0.2">
      <c r="C866" s="15"/>
    </row>
    <row r="867" spans="3:3" ht="14.25" customHeight="1" x14ac:dyDescent="0.2">
      <c r="C867" s="15"/>
    </row>
    <row r="868" spans="3:3" ht="14.25" customHeight="1" x14ac:dyDescent="0.2">
      <c r="C868" s="15"/>
    </row>
    <row r="869" spans="3:3" ht="14.25" customHeight="1" x14ac:dyDescent="0.2">
      <c r="C869" s="15"/>
    </row>
    <row r="870" spans="3:3" ht="14.25" customHeight="1" x14ac:dyDescent="0.2">
      <c r="C870" s="15"/>
    </row>
    <row r="871" spans="3:3" ht="14.25" customHeight="1" x14ac:dyDescent="0.2">
      <c r="C871" s="15"/>
    </row>
    <row r="872" spans="3:3" ht="14.25" customHeight="1" x14ac:dyDescent="0.2">
      <c r="C872" s="15"/>
    </row>
    <row r="873" spans="3:3" ht="14.25" customHeight="1" x14ac:dyDescent="0.2">
      <c r="C873" s="15"/>
    </row>
    <row r="874" spans="3:3" ht="14.25" customHeight="1" x14ac:dyDescent="0.2">
      <c r="C874" s="15"/>
    </row>
    <row r="875" spans="3:3" ht="14.25" customHeight="1" x14ac:dyDescent="0.2">
      <c r="C875" s="15"/>
    </row>
    <row r="876" spans="3:3" ht="14.25" customHeight="1" x14ac:dyDescent="0.2">
      <c r="C876" s="15"/>
    </row>
    <row r="877" spans="3:3" ht="14.25" customHeight="1" x14ac:dyDescent="0.2">
      <c r="C877" s="15"/>
    </row>
    <row r="878" spans="3:3" ht="14.25" customHeight="1" x14ac:dyDescent="0.2">
      <c r="C878" s="15"/>
    </row>
    <row r="879" spans="3:3" ht="14.25" customHeight="1" x14ac:dyDescent="0.2">
      <c r="C879" s="15"/>
    </row>
    <row r="880" spans="3:3" ht="14.25" customHeight="1" x14ac:dyDescent="0.2">
      <c r="C880" s="15"/>
    </row>
    <row r="881" spans="3:3" ht="14.25" customHeight="1" x14ac:dyDescent="0.2">
      <c r="C881" s="15"/>
    </row>
    <row r="882" spans="3:3" ht="14.25" customHeight="1" x14ac:dyDescent="0.2">
      <c r="C882" s="15"/>
    </row>
    <row r="883" spans="3:3" ht="14.25" customHeight="1" x14ac:dyDescent="0.2">
      <c r="C883" s="15"/>
    </row>
    <row r="884" spans="3:3" ht="14.25" customHeight="1" x14ac:dyDescent="0.2">
      <c r="C884" s="15"/>
    </row>
    <row r="885" spans="3:3" ht="14.25" customHeight="1" x14ac:dyDescent="0.2">
      <c r="C885" s="15"/>
    </row>
    <row r="886" spans="3:3" ht="14.25" customHeight="1" x14ac:dyDescent="0.2">
      <c r="C886" s="15"/>
    </row>
    <row r="887" spans="3:3" ht="14.25" customHeight="1" x14ac:dyDescent="0.2">
      <c r="C887" s="15"/>
    </row>
    <row r="888" spans="3:3" ht="14.25" customHeight="1" x14ac:dyDescent="0.2">
      <c r="C888" s="15"/>
    </row>
    <row r="889" spans="3:3" ht="14.25" customHeight="1" x14ac:dyDescent="0.2">
      <c r="C889" s="15"/>
    </row>
    <row r="890" spans="3:3" ht="14.25" customHeight="1" x14ac:dyDescent="0.2">
      <c r="C890" s="15"/>
    </row>
    <row r="891" spans="3:3" ht="14.25" customHeight="1" x14ac:dyDescent="0.2">
      <c r="C891" s="15"/>
    </row>
    <row r="892" spans="3:3" ht="14.25" customHeight="1" x14ac:dyDescent="0.2">
      <c r="C892" s="15"/>
    </row>
    <row r="893" spans="3:3" ht="14.25" customHeight="1" x14ac:dyDescent="0.2">
      <c r="C893" s="15"/>
    </row>
    <row r="894" spans="3:3" ht="14.25" customHeight="1" x14ac:dyDescent="0.2">
      <c r="C894" s="15"/>
    </row>
    <row r="895" spans="3:3" ht="14.25" customHeight="1" x14ac:dyDescent="0.2">
      <c r="C895" s="15"/>
    </row>
    <row r="896" spans="3:3" ht="14.25" customHeight="1" x14ac:dyDescent="0.2">
      <c r="C896" s="15"/>
    </row>
    <row r="897" spans="3:3" ht="14.25" customHeight="1" x14ac:dyDescent="0.2">
      <c r="C897" s="15"/>
    </row>
    <row r="898" spans="3:3" ht="14.25" customHeight="1" x14ac:dyDescent="0.2">
      <c r="C898" s="15"/>
    </row>
    <row r="899" spans="3:3" ht="14.25" customHeight="1" x14ac:dyDescent="0.2">
      <c r="C899" s="15"/>
    </row>
    <row r="900" spans="3:3" ht="14.25" customHeight="1" x14ac:dyDescent="0.2">
      <c r="C900" s="15"/>
    </row>
    <row r="901" spans="3:3" ht="14.25" customHeight="1" x14ac:dyDescent="0.2">
      <c r="C901" s="15"/>
    </row>
    <row r="902" spans="3:3" ht="14.25" customHeight="1" x14ac:dyDescent="0.2">
      <c r="C902" s="15"/>
    </row>
    <row r="903" spans="3:3" ht="14.25" customHeight="1" x14ac:dyDescent="0.2">
      <c r="C903" s="15"/>
    </row>
    <row r="904" spans="3:3" ht="14.25" customHeight="1" x14ac:dyDescent="0.2">
      <c r="C904" s="15"/>
    </row>
    <row r="905" spans="3:3" ht="14.25" customHeight="1" x14ac:dyDescent="0.2">
      <c r="C905" s="15"/>
    </row>
    <row r="906" spans="3:3" ht="14.25" customHeight="1" x14ac:dyDescent="0.2">
      <c r="C906" s="15"/>
    </row>
    <row r="907" spans="3:3" ht="14.25" customHeight="1" x14ac:dyDescent="0.2">
      <c r="C907" s="15"/>
    </row>
    <row r="908" spans="3:3" ht="14.25" customHeight="1" x14ac:dyDescent="0.2">
      <c r="C908" s="15"/>
    </row>
    <row r="909" spans="3:3" ht="14.25" customHeight="1" x14ac:dyDescent="0.2">
      <c r="C909" s="15"/>
    </row>
    <row r="910" spans="3:3" ht="14.25" customHeight="1" x14ac:dyDescent="0.2">
      <c r="C910" s="15"/>
    </row>
    <row r="911" spans="3:3" ht="14.25" customHeight="1" x14ac:dyDescent="0.2">
      <c r="C911" s="15"/>
    </row>
    <row r="912" spans="3:3" ht="14.25" customHeight="1" x14ac:dyDescent="0.2">
      <c r="C912" s="15"/>
    </row>
    <row r="913" spans="3:3" ht="14.25" customHeight="1" x14ac:dyDescent="0.2">
      <c r="C913" s="15"/>
    </row>
    <row r="914" spans="3:3" ht="14.25" customHeight="1" x14ac:dyDescent="0.2">
      <c r="C914" s="15"/>
    </row>
    <row r="915" spans="3:3" ht="14.25" customHeight="1" x14ac:dyDescent="0.2">
      <c r="C915" s="15"/>
    </row>
    <row r="916" spans="3:3" ht="14.25" customHeight="1" x14ac:dyDescent="0.2">
      <c r="C916" s="15"/>
    </row>
    <row r="917" spans="3:3" ht="14.25" customHeight="1" x14ac:dyDescent="0.2">
      <c r="C917" s="15"/>
    </row>
    <row r="918" spans="3:3" ht="14.25" customHeight="1" x14ac:dyDescent="0.2">
      <c r="C918" s="15"/>
    </row>
    <row r="919" spans="3:3" ht="14.25" customHeight="1" x14ac:dyDescent="0.2">
      <c r="C919" s="15"/>
    </row>
    <row r="920" spans="3:3" ht="14.25" customHeight="1" x14ac:dyDescent="0.2">
      <c r="C920" s="15"/>
    </row>
    <row r="921" spans="3:3" ht="14.25" customHeight="1" x14ac:dyDescent="0.2">
      <c r="C921" s="15"/>
    </row>
    <row r="922" spans="3:3" ht="14.25" customHeight="1" x14ac:dyDescent="0.2">
      <c r="C922" s="15"/>
    </row>
    <row r="923" spans="3:3" ht="14.25" customHeight="1" x14ac:dyDescent="0.2">
      <c r="C923" s="15"/>
    </row>
    <row r="924" spans="3:3" ht="14.25" customHeight="1" x14ac:dyDescent="0.2">
      <c r="C924" s="15"/>
    </row>
    <row r="925" spans="3:3" ht="14.25" customHeight="1" x14ac:dyDescent="0.2">
      <c r="C925" s="15"/>
    </row>
    <row r="926" spans="3:3" ht="14.25" customHeight="1" x14ac:dyDescent="0.2">
      <c r="C926" s="15"/>
    </row>
    <row r="927" spans="3:3" ht="14.25" customHeight="1" x14ac:dyDescent="0.2">
      <c r="C927" s="15"/>
    </row>
    <row r="928" spans="3:3" ht="14.25" customHeight="1" x14ac:dyDescent="0.2">
      <c r="C928" s="15"/>
    </row>
    <row r="929" spans="3:3" ht="14.25" customHeight="1" x14ac:dyDescent="0.2">
      <c r="C929" s="15"/>
    </row>
    <row r="930" spans="3:3" ht="14.25" customHeight="1" x14ac:dyDescent="0.2">
      <c r="C930" s="15"/>
    </row>
    <row r="931" spans="3:3" ht="14.25" customHeight="1" x14ac:dyDescent="0.2">
      <c r="C931" s="15"/>
    </row>
    <row r="932" spans="3:3" ht="14.25" customHeight="1" x14ac:dyDescent="0.2">
      <c r="C932" s="15"/>
    </row>
    <row r="933" spans="3:3" ht="14.25" customHeight="1" x14ac:dyDescent="0.2">
      <c r="C933" s="15"/>
    </row>
    <row r="934" spans="3:3" ht="14.25" customHeight="1" x14ac:dyDescent="0.2">
      <c r="C934" s="15"/>
    </row>
    <row r="935" spans="3:3" ht="14.25" customHeight="1" x14ac:dyDescent="0.2">
      <c r="C935" s="15"/>
    </row>
    <row r="936" spans="3:3" ht="14.25" customHeight="1" x14ac:dyDescent="0.2">
      <c r="C936" s="15"/>
    </row>
    <row r="937" spans="3:3" ht="14.25" customHeight="1" x14ac:dyDescent="0.2">
      <c r="C937" s="15"/>
    </row>
    <row r="938" spans="3:3" ht="14.25" customHeight="1" x14ac:dyDescent="0.2">
      <c r="C938" s="15"/>
    </row>
    <row r="939" spans="3:3" ht="14.25" customHeight="1" x14ac:dyDescent="0.2">
      <c r="C939" s="15"/>
    </row>
    <row r="940" spans="3:3" ht="14.25" customHeight="1" x14ac:dyDescent="0.2">
      <c r="C940" s="15"/>
    </row>
    <row r="941" spans="3:3" ht="14.25" customHeight="1" x14ac:dyDescent="0.2">
      <c r="C941" s="15"/>
    </row>
    <row r="942" spans="3:3" ht="14.25" customHeight="1" x14ac:dyDescent="0.2">
      <c r="C942" s="15"/>
    </row>
    <row r="943" spans="3:3" ht="14.25" customHeight="1" x14ac:dyDescent="0.2">
      <c r="C943" s="15"/>
    </row>
    <row r="944" spans="3:3" ht="14.25" customHeight="1" x14ac:dyDescent="0.2">
      <c r="C944" s="15"/>
    </row>
    <row r="945" spans="3:3" ht="14.25" customHeight="1" x14ac:dyDescent="0.2">
      <c r="C945" s="15"/>
    </row>
    <row r="946" spans="3:3" ht="14.25" customHeight="1" x14ac:dyDescent="0.2">
      <c r="C946" s="15"/>
    </row>
    <row r="947" spans="3:3" ht="14.25" customHeight="1" x14ac:dyDescent="0.2">
      <c r="C947" s="15"/>
    </row>
    <row r="948" spans="3:3" ht="14.25" customHeight="1" x14ac:dyDescent="0.2">
      <c r="C948" s="15"/>
    </row>
    <row r="949" spans="3:3" ht="14.25" customHeight="1" x14ac:dyDescent="0.2">
      <c r="C949" s="15"/>
    </row>
    <row r="950" spans="3:3" ht="14.25" customHeight="1" x14ac:dyDescent="0.2">
      <c r="C950" s="15"/>
    </row>
    <row r="951" spans="3:3" ht="14.25" customHeight="1" x14ac:dyDescent="0.2">
      <c r="C951" s="15"/>
    </row>
    <row r="952" spans="3:3" ht="14.25" customHeight="1" x14ac:dyDescent="0.2">
      <c r="C952" s="15"/>
    </row>
    <row r="953" spans="3:3" ht="14.25" customHeight="1" x14ac:dyDescent="0.2">
      <c r="C953" s="15"/>
    </row>
    <row r="954" spans="3:3" ht="14.25" customHeight="1" x14ac:dyDescent="0.2">
      <c r="C954" s="15"/>
    </row>
    <row r="955" spans="3:3" ht="14.25" customHeight="1" x14ac:dyDescent="0.2">
      <c r="C955" s="15"/>
    </row>
    <row r="956" spans="3:3" ht="14.25" customHeight="1" x14ac:dyDescent="0.2">
      <c r="C956" s="15"/>
    </row>
    <row r="957" spans="3:3" ht="14.25" customHeight="1" x14ac:dyDescent="0.2">
      <c r="C957" s="15"/>
    </row>
    <row r="958" spans="3:3" ht="14.25" customHeight="1" x14ac:dyDescent="0.2">
      <c r="C958" s="15"/>
    </row>
    <row r="959" spans="3:3" ht="14.25" customHeight="1" x14ac:dyDescent="0.2">
      <c r="C959" s="15"/>
    </row>
    <row r="960" spans="3:3" ht="14.25" customHeight="1" x14ac:dyDescent="0.2">
      <c r="C960" s="15"/>
    </row>
    <row r="961" spans="3:3" ht="14.25" customHeight="1" x14ac:dyDescent="0.2">
      <c r="C961" s="15"/>
    </row>
    <row r="962" spans="3:3" ht="14.25" customHeight="1" x14ac:dyDescent="0.2">
      <c r="C962" s="15"/>
    </row>
    <row r="963" spans="3:3" ht="14.25" customHeight="1" x14ac:dyDescent="0.2">
      <c r="C963" s="15"/>
    </row>
    <row r="964" spans="3:3" ht="14.25" customHeight="1" x14ac:dyDescent="0.2">
      <c r="C964" s="15"/>
    </row>
    <row r="965" spans="3:3" ht="14.25" customHeight="1" x14ac:dyDescent="0.2">
      <c r="C965" s="15"/>
    </row>
    <row r="966" spans="3:3" ht="14.25" customHeight="1" x14ac:dyDescent="0.2">
      <c r="C966" s="15"/>
    </row>
    <row r="967" spans="3:3" ht="14.25" customHeight="1" x14ac:dyDescent="0.2">
      <c r="C967" s="15"/>
    </row>
    <row r="968" spans="3:3" ht="14.25" customHeight="1" x14ac:dyDescent="0.2">
      <c r="C968" s="15"/>
    </row>
    <row r="969" spans="3:3" ht="14.25" customHeight="1" x14ac:dyDescent="0.2">
      <c r="C969" s="15"/>
    </row>
    <row r="970" spans="3:3" ht="14.25" customHeight="1" x14ac:dyDescent="0.2">
      <c r="C970" s="15"/>
    </row>
    <row r="971" spans="3:3" ht="14.25" customHeight="1" x14ac:dyDescent="0.2">
      <c r="C971" s="15"/>
    </row>
    <row r="972" spans="3:3" ht="14.25" customHeight="1" x14ac:dyDescent="0.2">
      <c r="C972" s="15"/>
    </row>
    <row r="973" spans="3:3" ht="14.25" customHeight="1" x14ac:dyDescent="0.2">
      <c r="C973" s="15"/>
    </row>
    <row r="974" spans="3:3" ht="14.25" customHeight="1" x14ac:dyDescent="0.2">
      <c r="C974" s="15"/>
    </row>
    <row r="975" spans="3:3" ht="14.25" customHeight="1" x14ac:dyDescent="0.2">
      <c r="C975" s="15"/>
    </row>
    <row r="976" spans="3:3" ht="14.25" customHeight="1" x14ac:dyDescent="0.2">
      <c r="C976" s="15"/>
    </row>
    <row r="977" spans="3:3" ht="14.25" customHeight="1" x14ac:dyDescent="0.2">
      <c r="C977" s="15"/>
    </row>
    <row r="978" spans="3:3" ht="14.25" customHeight="1" x14ac:dyDescent="0.2">
      <c r="C978" s="15"/>
    </row>
    <row r="979" spans="3:3" ht="14.25" customHeight="1" x14ac:dyDescent="0.2">
      <c r="C979" s="15"/>
    </row>
    <row r="980" spans="3:3" ht="14.25" customHeight="1" x14ac:dyDescent="0.2">
      <c r="C980" s="15"/>
    </row>
    <row r="981" spans="3:3" ht="14.25" customHeight="1" x14ac:dyDescent="0.2">
      <c r="C981" s="15"/>
    </row>
    <row r="982" spans="3:3" ht="14.25" customHeight="1" x14ac:dyDescent="0.2">
      <c r="C982" s="15"/>
    </row>
    <row r="983" spans="3:3" ht="14.25" customHeight="1" x14ac:dyDescent="0.2">
      <c r="C983" s="15"/>
    </row>
    <row r="984" spans="3:3" ht="14.25" customHeight="1" x14ac:dyDescent="0.2">
      <c r="C984" s="15"/>
    </row>
    <row r="985" spans="3:3" ht="14.25" customHeight="1" x14ac:dyDescent="0.2">
      <c r="C985" s="15"/>
    </row>
    <row r="986" spans="3:3" ht="14.25" customHeight="1" x14ac:dyDescent="0.2">
      <c r="C986" s="15"/>
    </row>
    <row r="987" spans="3:3" ht="14.25" customHeight="1" x14ac:dyDescent="0.2">
      <c r="C987" s="15"/>
    </row>
    <row r="988" spans="3:3" ht="14.25" customHeight="1" x14ac:dyDescent="0.2">
      <c r="C988" s="15"/>
    </row>
    <row r="989" spans="3:3" ht="14.25" customHeight="1" x14ac:dyDescent="0.2">
      <c r="C989" s="15"/>
    </row>
    <row r="990" spans="3:3" ht="14.25" customHeight="1" x14ac:dyDescent="0.2">
      <c r="C990" s="15"/>
    </row>
    <row r="991" spans="3:3" ht="14.25" customHeight="1" x14ac:dyDescent="0.2">
      <c r="C991" s="15"/>
    </row>
    <row r="992" spans="3:3" ht="14.25" customHeight="1" x14ac:dyDescent="0.2">
      <c r="C992" s="15"/>
    </row>
    <row r="993" spans="3:3" ht="14.25" customHeight="1" x14ac:dyDescent="0.2">
      <c r="C993" s="15"/>
    </row>
    <row r="994" spans="3:3" ht="14.25" customHeight="1" x14ac:dyDescent="0.2">
      <c r="C994" s="15"/>
    </row>
    <row r="995" spans="3:3" ht="14.25" customHeight="1" x14ac:dyDescent="0.2">
      <c r="C995" s="15"/>
    </row>
    <row r="996" spans="3:3" ht="14.25" customHeight="1" x14ac:dyDescent="0.2">
      <c r="C996" s="15"/>
    </row>
    <row r="997" spans="3:3" ht="14.25" customHeight="1" x14ac:dyDescent="0.2">
      <c r="C997" s="15"/>
    </row>
    <row r="998" spans="3:3" ht="14.25" customHeight="1" x14ac:dyDescent="0.2">
      <c r="C998" s="15"/>
    </row>
    <row r="999" spans="3:3" ht="14.25" customHeight="1" x14ac:dyDescent="0.2">
      <c r="C999" s="15"/>
    </row>
    <row r="1000" spans="3:3" ht="14.25" customHeight="1" x14ac:dyDescent="0.2">
      <c r="C1000" s="15"/>
    </row>
    <row r="1001" spans="3:3" ht="14.25" customHeight="1" x14ac:dyDescent="0.2">
      <c r="C1001" s="15"/>
    </row>
  </sheetData>
  <conditionalFormatting sqref="D48:P48 R48:AN48">
    <cfRule type="cellIs" dxfId="0" priority="1" operator="lessThan">
      <formula>0</formula>
    </cfRule>
  </conditionalFormatting>
  <pageMargins left="0.7" right="0.7" top="0.75" bottom="0.75" header="0" footer="0"/>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00000"/>
  </sheetPr>
  <dimension ref="A1:CX1004"/>
  <sheetViews>
    <sheetView topLeftCell="E1" workbookViewId="0">
      <selection activeCell="E30" sqref="E30"/>
    </sheetView>
  </sheetViews>
  <sheetFormatPr baseColWidth="10" defaultColWidth="14.5" defaultRowHeight="15" customHeight="1" x14ac:dyDescent="0.2"/>
  <cols>
    <col min="1" max="4" width="8.6640625" customWidth="1"/>
    <col min="5" max="5" width="11.5" customWidth="1"/>
    <col min="6" max="6" width="13.1640625" customWidth="1"/>
    <col min="7" max="64" width="11.6640625" customWidth="1"/>
    <col min="65" max="99" width="13.33203125" customWidth="1"/>
    <col min="100" max="102" width="8.6640625" customWidth="1"/>
  </cols>
  <sheetData>
    <row r="1" spans="1:102" ht="14.25" customHeight="1" x14ac:dyDescent="0.2"/>
    <row r="2" spans="1:102" ht="14.25" customHeight="1" x14ac:dyDescent="0.2">
      <c r="G2" s="74" t="str">
        <f t="shared" ref="G2:CU2" si="0">WEEKNUM(G4)&amp;YEAR(G4)</f>
        <v>142025</v>
      </c>
      <c r="H2" s="74" t="str">
        <f t="shared" si="0"/>
        <v>142025</v>
      </c>
      <c r="I2" s="74" t="str">
        <f t="shared" si="0"/>
        <v>182025</v>
      </c>
      <c r="J2" s="74" t="str">
        <f t="shared" si="0"/>
        <v>182025</v>
      </c>
      <c r="K2" s="74" t="str">
        <f t="shared" si="0"/>
        <v>182025</v>
      </c>
      <c r="L2" s="74" t="str">
        <f t="shared" si="0"/>
        <v>182025</v>
      </c>
      <c r="M2" s="74" t="str">
        <f t="shared" si="0"/>
        <v>222025</v>
      </c>
      <c r="N2" s="74" t="str">
        <f t="shared" si="0"/>
        <v>222025</v>
      </c>
      <c r="O2" s="74" t="str">
        <f t="shared" si="0"/>
        <v>222025</v>
      </c>
      <c r="P2" s="74" t="str">
        <f t="shared" si="0"/>
        <v>222025</v>
      </c>
      <c r="Q2" s="74" t="str">
        <f t="shared" si="0"/>
        <v>272025</v>
      </c>
      <c r="R2" s="74" t="str">
        <f t="shared" si="0"/>
        <v>272025</v>
      </c>
      <c r="S2" s="74" t="str">
        <f t="shared" si="0"/>
        <v>272025</v>
      </c>
      <c r="T2" s="74" t="str">
        <f t="shared" si="0"/>
        <v>272025</v>
      </c>
      <c r="U2" s="74" t="str">
        <f t="shared" si="0"/>
        <v>272025</v>
      </c>
      <c r="V2" s="74" t="str">
        <f t="shared" si="0"/>
        <v>312025</v>
      </c>
      <c r="W2" s="74" t="str">
        <f t="shared" si="0"/>
        <v>312025</v>
      </c>
      <c r="X2" s="74" t="str">
        <f t="shared" si="0"/>
        <v>312025</v>
      </c>
      <c r="Y2" s="74" t="str">
        <f t="shared" si="0"/>
        <v>312025</v>
      </c>
      <c r="Z2" s="74" t="str">
        <f t="shared" si="0"/>
        <v>362025</v>
      </c>
      <c r="AA2" s="74" t="str">
        <f t="shared" si="0"/>
        <v>362025</v>
      </c>
      <c r="AB2" s="74" t="str">
        <f t="shared" si="0"/>
        <v>362025</v>
      </c>
      <c r="AC2" s="74" t="str">
        <f t="shared" si="0"/>
        <v>362025</v>
      </c>
      <c r="AD2" s="74" t="str">
        <f t="shared" si="0"/>
        <v>402025</v>
      </c>
      <c r="AE2" s="74" t="str">
        <f t="shared" si="0"/>
        <v>402025</v>
      </c>
      <c r="AF2" s="74" t="str">
        <f t="shared" si="0"/>
        <v>402025</v>
      </c>
      <c r="AG2" s="74" t="str">
        <f t="shared" si="0"/>
        <v>402025</v>
      </c>
      <c r="AH2" s="74" t="str">
        <f t="shared" si="0"/>
        <v>402025</v>
      </c>
      <c r="AI2" s="74" t="str">
        <f t="shared" si="0"/>
        <v>442025</v>
      </c>
      <c r="AJ2" s="74" t="str">
        <f t="shared" si="0"/>
        <v>442025</v>
      </c>
      <c r="AK2" s="74" t="str">
        <f t="shared" si="0"/>
        <v>442025</v>
      </c>
      <c r="AL2" s="74" t="str">
        <f t="shared" si="0"/>
        <v>442025</v>
      </c>
      <c r="AM2" s="74" t="str">
        <f t="shared" si="0"/>
        <v>492025</v>
      </c>
      <c r="AN2" s="74" t="str">
        <f t="shared" si="0"/>
        <v>492025</v>
      </c>
      <c r="AO2" s="74" t="str">
        <f t="shared" si="0"/>
        <v>492025</v>
      </c>
      <c r="AP2" s="74" t="str">
        <f t="shared" si="0"/>
        <v>492025</v>
      </c>
      <c r="AQ2" s="74" t="str">
        <f t="shared" si="0"/>
        <v>532025</v>
      </c>
      <c r="AR2" s="74" t="str">
        <f t="shared" si="0"/>
        <v>532025</v>
      </c>
      <c r="AS2" s="74" t="str">
        <f t="shared" si="0"/>
        <v>532025</v>
      </c>
      <c r="AT2" s="74" t="str">
        <f t="shared" si="0"/>
        <v>532025</v>
      </c>
      <c r="AU2" s="74" t="str">
        <f t="shared" si="0"/>
        <v>532025</v>
      </c>
      <c r="AV2" s="74" t="str">
        <f t="shared" si="0"/>
        <v>52026</v>
      </c>
      <c r="AW2" s="74" t="str">
        <f t="shared" si="0"/>
        <v>52026</v>
      </c>
      <c r="AX2" s="74" t="str">
        <f t="shared" si="0"/>
        <v>52026</v>
      </c>
      <c r="AY2" s="74" t="str">
        <f t="shared" si="0"/>
        <v>52026</v>
      </c>
      <c r="AZ2" s="74" t="str">
        <f t="shared" si="0"/>
        <v>92026</v>
      </c>
      <c r="BA2" s="74" t="str">
        <f t="shared" si="0"/>
        <v>92026</v>
      </c>
      <c r="BB2" s="74" t="str">
        <f t="shared" si="0"/>
        <v>92026</v>
      </c>
      <c r="BC2" s="74" t="str">
        <f t="shared" si="0"/>
        <v>92026</v>
      </c>
      <c r="BD2" s="74" t="str">
        <f t="shared" si="0"/>
        <v>142026</v>
      </c>
      <c r="BE2" s="74" t="str">
        <f t="shared" si="0"/>
        <v>142026</v>
      </c>
      <c r="BF2" s="74" t="str">
        <f t="shared" si="0"/>
        <v>142026</v>
      </c>
      <c r="BG2" s="74" t="str">
        <f t="shared" si="0"/>
        <v>142026</v>
      </c>
      <c r="BH2" s="74" t="str">
        <f t="shared" si="0"/>
        <v>142026</v>
      </c>
      <c r="BI2" s="74" t="str">
        <f t="shared" si="0"/>
        <v>182026</v>
      </c>
      <c r="BJ2" s="74" t="str">
        <f t="shared" si="0"/>
        <v>182026</v>
      </c>
      <c r="BK2" s="74" t="str">
        <f t="shared" si="0"/>
        <v>182026</v>
      </c>
      <c r="BL2" s="74" t="str">
        <f t="shared" si="0"/>
        <v>182026</v>
      </c>
      <c r="BM2" s="74" t="str">
        <f t="shared" si="0"/>
        <v>232026</v>
      </c>
      <c r="BN2" s="74" t="str">
        <f t="shared" si="0"/>
        <v>232026</v>
      </c>
      <c r="BO2" s="74" t="str">
        <f t="shared" si="0"/>
        <v>232026</v>
      </c>
      <c r="BP2" s="74" t="str">
        <f t="shared" si="0"/>
        <v>232026</v>
      </c>
      <c r="BQ2" s="74" t="str">
        <f t="shared" si="0"/>
        <v>272026</v>
      </c>
      <c r="BR2" s="74" t="str">
        <f t="shared" si="0"/>
        <v>272026</v>
      </c>
      <c r="BS2" s="74" t="str">
        <f t="shared" si="0"/>
        <v>272026</v>
      </c>
      <c r="BT2" s="74" t="str">
        <f t="shared" si="0"/>
        <v>272026</v>
      </c>
      <c r="BU2" s="74" t="str">
        <f t="shared" si="0"/>
        <v>272026</v>
      </c>
      <c r="BV2" s="74" t="str">
        <f t="shared" si="0"/>
        <v>312026</v>
      </c>
      <c r="BW2" s="74" t="str">
        <f t="shared" si="0"/>
        <v>312026</v>
      </c>
      <c r="BX2" s="74" t="str">
        <f t="shared" si="0"/>
        <v>312026</v>
      </c>
      <c r="BY2" s="74" t="str">
        <f t="shared" si="0"/>
        <v>312026</v>
      </c>
      <c r="BZ2" s="74" t="str">
        <f t="shared" si="0"/>
        <v>362026</v>
      </c>
      <c r="CA2" s="74" t="str">
        <f t="shared" si="0"/>
        <v>362026</v>
      </c>
      <c r="CB2" s="74" t="str">
        <f t="shared" si="0"/>
        <v>362026</v>
      </c>
      <c r="CC2" s="74" t="str">
        <f t="shared" si="0"/>
        <v>362026</v>
      </c>
      <c r="CD2" s="74" t="str">
        <f t="shared" si="0"/>
        <v>362026</v>
      </c>
      <c r="CE2" s="74" t="str">
        <f t="shared" si="0"/>
        <v>402026</v>
      </c>
      <c r="CF2" s="74" t="str">
        <f t="shared" si="0"/>
        <v>402026</v>
      </c>
      <c r="CG2" s="74" t="str">
        <f t="shared" si="0"/>
        <v>402026</v>
      </c>
      <c r="CH2" s="74" t="str">
        <f t="shared" si="0"/>
        <v>402026</v>
      </c>
      <c r="CI2" s="74" t="str">
        <f t="shared" si="0"/>
        <v>442026</v>
      </c>
      <c r="CJ2" s="74" t="str">
        <f t="shared" si="0"/>
        <v>442026</v>
      </c>
      <c r="CK2" s="74" t="str">
        <f t="shared" si="0"/>
        <v>442026</v>
      </c>
      <c r="CL2" s="74" t="str">
        <f t="shared" si="0"/>
        <v>442026</v>
      </c>
      <c r="CM2" s="74" t="str">
        <f t="shared" si="0"/>
        <v>492026</v>
      </c>
      <c r="CN2" s="74" t="str">
        <f t="shared" si="0"/>
        <v>492026</v>
      </c>
      <c r="CO2" s="74" t="str">
        <f t="shared" si="0"/>
        <v>492026</v>
      </c>
      <c r="CP2" s="74" t="str">
        <f t="shared" si="0"/>
        <v>492026</v>
      </c>
      <c r="CQ2" s="74" t="str">
        <f t="shared" si="0"/>
        <v>492026</v>
      </c>
      <c r="CR2" s="74" t="str">
        <f t="shared" si="0"/>
        <v>532026</v>
      </c>
      <c r="CS2" s="74" t="str">
        <f t="shared" si="0"/>
        <v>532026</v>
      </c>
      <c r="CT2" s="74" t="str">
        <f t="shared" si="0"/>
        <v>532026</v>
      </c>
      <c r="CU2" s="74" t="str">
        <f t="shared" si="0"/>
        <v>532026</v>
      </c>
    </row>
    <row r="3" spans="1:102" ht="14.25" customHeight="1" x14ac:dyDescent="0.2">
      <c r="G3" s="74" t="str">
        <f t="shared" ref="G3:CU3" si="1">WEEKNUM(G5)&amp;YEAR(G5)</f>
        <v>132025</v>
      </c>
      <c r="H3" s="74" t="str">
        <f t="shared" si="1"/>
        <v>142025</v>
      </c>
      <c r="I3" s="74" t="str">
        <f t="shared" si="1"/>
        <v>152025</v>
      </c>
      <c r="J3" s="74" t="str">
        <f t="shared" si="1"/>
        <v>162025</v>
      </c>
      <c r="K3" s="74" t="str">
        <f t="shared" si="1"/>
        <v>172025</v>
      </c>
      <c r="L3" s="74" t="str">
        <f t="shared" si="1"/>
        <v>182025</v>
      </c>
      <c r="M3" s="74" t="str">
        <f t="shared" si="1"/>
        <v>192025</v>
      </c>
      <c r="N3" s="74" t="str">
        <f t="shared" si="1"/>
        <v>202025</v>
      </c>
      <c r="O3" s="74" t="str">
        <f t="shared" si="1"/>
        <v>212025</v>
      </c>
      <c r="P3" s="74" t="str">
        <f t="shared" si="1"/>
        <v>222025</v>
      </c>
      <c r="Q3" s="74" t="str">
        <f t="shared" si="1"/>
        <v>232025</v>
      </c>
      <c r="R3" s="74" t="str">
        <f t="shared" si="1"/>
        <v>242025</v>
      </c>
      <c r="S3" s="74" t="str">
        <f t="shared" si="1"/>
        <v>252025</v>
      </c>
      <c r="T3" s="74" t="str">
        <f t="shared" si="1"/>
        <v>262025</v>
      </c>
      <c r="U3" s="74" t="str">
        <f t="shared" si="1"/>
        <v>272025</v>
      </c>
      <c r="V3" s="74" t="str">
        <f t="shared" si="1"/>
        <v>282025</v>
      </c>
      <c r="W3" s="74" t="str">
        <f t="shared" si="1"/>
        <v>292025</v>
      </c>
      <c r="X3" s="74" t="str">
        <f t="shared" si="1"/>
        <v>302025</v>
      </c>
      <c r="Y3" s="74" t="str">
        <f t="shared" si="1"/>
        <v>312025</v>
      </c>
      <c r="Z3" s="74" t="str">
        <f t="shared" si="1"/>
        <v>322025</v>
      </c>
      <c r="AA3" s="74" t="str">
        <f t="shared" si="1"/>
        <v>332025</v>
      </c>
      <c r="AB3" s="74" t="str">
        <f t="shared" si="1"/>
        <v>342025</v>
      </c>
      <c r="AC3" s="74" t="str">
        <f t="shared" si="1"/>
        <v>352025</v>
      </c>
      <c r="AD3" s="74" t="str">
        <f t="shared" si="1"/>
        <v>362025</v>
      </c>
      <c r="AE3" s="74" t="str">
        <f t="shared" si="1"/>
        <v>372025</v>
      </c>
      <c r="AF3" s="74" t="str">
        <f t="shared" si="1"/>
        <v>382025</v>
      </c>
      <c r="AG3" s="74" t="str">
        <f t="shared" si="1"/>
        <v>392025</v>
      </c>
      <c r="AH3" s="74" t="str">
        <f t="shared" si="1"/>
        <v>402025</v>
      </c>
      <c r="AI3" s="74" t="str">
        <f t="shared" si="1"/>
        <v>412025</v>
      </c>
      <c r="AJ3" s="74" t="str">
        <f t="shared" si="1"/>
        <v>422025</v>
      </c>
      <c r="AK3" s="74" t="str">
        <f t="shared" si="1"/>
        <v>432025</v>
      </c>
      <c r="AL3" s="74" t="str">
        <f t="shared" si="1"/>
        <v>442025</v>
      </c>
      <c r="AM3" s="74" t="str">
        <f t="shared" si="1"/>
        <v>452025</v>
      </c>
      <c r="AN3" s="74" t="str">
        <f t="shared" si="1"/>
        <v>462025</v>
      </c>
      <c r="AO3" s="74" t="str">
        <f t="shared" si="1"/>
        <v>472025</v>
      </c>
      <c r="AP3" s="74" t="str">
        <f t="shared" si="1"/>
        <v>482025</v>
      </c>
      <c r="AQ3" s="74" t="str">
        <f t="shared" si="1"/>
        <v>492025</v>
      </c>
      <c r="AR3" s="74" t="str">
        <f t="shared" si="1"/>
        <v>502025</v>
      </c>
      <c r="AS3" s="74" t="str">
        <f t="shared" si="1"/>
        <v>512025</v>
      </c>
      <c r="AT3" s="74" t="str">
        <f t="shared" si="1"/>
        <v>522025</v>
      </c>
      <c r="AU3" s="74" t="str">
        <f t="shared" si="1"/>
        <v>532025</v>
      </c>
      <c r="AV3" s="74" t="str">
        <f t="shared" si="1"/>
        <v>22026</v>
      </c>
      <c r="AW3" s="74" t="str">
        <f t="shared" si="1"/>
        <v>32026</v>
      </c>
      <c r="AX3" s="74" t="str">
        <f t="shared" si="1"/>
        <v>42026</v>
      </c>
      <c r="AY3" s="74" t="str">
        <f t="shared" si="1"/>
        <v>52026</v>
      </c>
      <c r="AZ3" s="74" t="str">
        <f t="shared" si="1"/>
        <v>62026</v>
      </c>
      <c r="BA3" s="74" t="str">
        <f t="shared" si="1"/>
        <v>72026</v>
      </c>
      <c r="BB3" s="74" t="str">
        <f t="shared" si="1"/>
        <v>82026</v>
      </c>
      <c r="BC3" s="74" t="str">
        <f t="shared" si="1"/>
        <v>92026</v>
      </c>
      <c r="BD3" s="74" t="str">
        <f t="shared" si="1"/>
        <v>102026</v>
      </c>
      <c r="BE3" s="74" t="str">
        <f t="shared" si="1"/>
        <v>112026</v>
      </c>
      <c r="BF3" s="74" t="str">
        <f t="shared" si="1"/>
        <v>122026</v>
      </c>
      <c r="BG3" s="74" t="str">
        <f t="shared" si="1"/>
        <v>132026</v>
      </c>
      <c r="BH3" s="74" t="str">
        <f t="shared" si="1"/>
        <v>142026</v>
      </c>
      <c r="BI3" s="74" t="str">
        <f t="shared" si="1"/>
        <v>152026</v>
      </c>
      <c r="BJ3" s="74" t="str">
        <f t="shared" si="1"/>
        <v>162026</v>
      </c>
      <c r="BK3" s="74" t="str">
        <f t="shared" si="1"/>
        <v>172026</v>
      </c>
      <c r="BL3" s="74" t="str">
        <f t="shared" si="1"/>
        <v>182026</v>
      </c>
      <c r="BM3" s="74" t="str">
        <f t="shared" si="1"/>
        <v>192026</v>
      </c>
      <c r="BN3" s="74" t="str">
        <f t="shared" si="1"/>
        <v>202026</v>
      </c>
      <c r="BO3" s="74" t="str">
        <f t="shared" si="1"/>
        <v>212026</v>
      </c>
      <c r="BP3" s="74" t="str">
        <f t="shared" si="1"/>
        <v>222026</v>
      </c>
      <c r="BQ3" s="74" t="str">
        <f t="shared" si="1"/>
        <v>232026</v>
      </c>
      <c r="BR3" s="74" t="str">
        <f t="shared" si="1"/>
        <v>242026</v>
      </c>
      <c r="BS3" s="74" t="str">
        <f t="shared" si="1"/>
        <v>252026</v>
      </c>
      <c r="BT3" s="74" t="str">
        <f t="shared" si="1"/>
        <v>262026</v>
      </c>
      <c r="BU3" s="74" t="str">
        <f t="shared" si="1"/>
        <v>272026</v>
      </c>
      <c r="BV3" s="74" t="str">
        <f t="shared" si="1"/>
        <v>282026</v>
      </c>
      <c r="BW3" s="74" t="str">
        <f t="shared" si="1"/>
        <v>292026</v>
      </c>
      <c r="BX3" s="74" t="str">
        <f t="shared" si="1"/>
        <v>302026</v>
      </c>
      <c r="BY3" s="74" t="str">
        <f t="shared" si="1"/>
        <v>312026</v>
      </c>
      <c r="BZ3" s="74" t="str">
        <f t="shared" si="1"/>
        <v>322026</v>
      </c>
      <c r="CA3" s="74" t="str">
        <f t="shared" si="1"/>
        <v>332026</v>
      </c>
      <c r="CB3" s="74" t="str">
        <f t="shared" si="1"/>
        <v>342026</v>
      </c>
      <c r="CC3" s="74" t="str">
        <f t="shared" si="1"/>
        <v>352026</v>
      </c>
      <c r="CD3" s="74" t="str">
        <f t="shared" si="1"/>
        <v>362026</v>
      </c>
      <c r="CE3" s="74" t="str">
        <f t="shared" si="1"/>
        <v>372026</v>
      </c>
      <c r="CF3" s="74" t="str">
        <f t="shared" si="1"/>
        <v>382026</v>
      </c>
      <c r="CG3" s="74" t="str">
        <f t="shared" si="1"/>
        <v>392026</v>
      </c>
      <c r="CH3" s="74" t="str">
        <f t="shared" si="1"/>
        <v>402026</v>
      </c>
      <c r="CI3" s="74" t="str">
        <f t="shared" si="1"/>
        <v>412026</v>
      </c>
      <c r="CJ3" s="74" t="str">
        <f t="shared" si="1"/>
        <v>422026</v>
      </c>
      <c r="CK3" s="74" t="str">
        <f t="shared" si="1"/>
        <v>432026</v>
      </c>
      <c r="CL3" s="74" t="str">
        <f t="shared" si="1"/>
        <v>442026</v>
      </c>
      <c r="CM3" s="74" t="str">
        <f t="shared" si="1"/>
        <v>452026</v>
      </c>
      <c r="CN3" s="74" t="str">
        <f t="shared" si="1"/>
        <v>462026</v>
      </c>
      <c r="CO3" s="74" t="str">
        <f t="shared" si="1"/>
        <v>472026</v>
      </c>
      <c r="CP3" s="74" t="str">
        <f t="shared" si="1"/>
        <v>482026</v>
      </c>
      <c r="CQ3" s="74" t="str">
        <f t="shared" si="1"/>
        <v>492026</v>
      </c>
      <c r="CR3" s="74" t="str">
        <f t="shared" si="1"/>
        <v>502026</v>
      </c>
      <c r="CS3" s="74" t="str">
        <f t="shared" si="1"/>
        <v>512026</v>
      </c>
      <c r="CT3" s="74" t="str">
        <f t="shared" si="1"/>
        <v>522026</v>
      </c>
      <c r="CU3" s="74" t="str">
        <f t="shared" si="1"/>
        <v>532026</v>
      </c>
    </row>
    <row r="4" spans="1:102" ht="14.25" customHeight="1" x14ac:dyDescent="0.2">
      <c r="F4" s="75" t="s">
        <v>65</v>
      </c>
      <c r="G4" s="76">
        <f t="shared" ref="G4:CU4" si="2">EOMONTH(G5,0)</f>
        <v>45747</v>
      </c>
      <c r="H4" s="76">
        <f t="shared" si="2"/>
        <v>45747</v>
      </c>
      <c r="I4" s="76">
        <f t="shared" si="2"/>
        <v>45777</v>
      </c>
      <c r="J4" s="76">
        <f t="shared" si="2"/>
        <v>45777</v>
      </c>
      <c r="K4" s="76">
        <f t="shared" si="2"/>
        <v>45777</v>
      </c>
      <c r="L4" s="76">
        <f t="shared" si="2"/>
        <v>45777</v>
      </c>
      <c r="M4" s="76">
        <f t="shared" si="2"/>
        <v>45808</v>
      </c>
      <c r="N4" s="76">
        <f t="shared" si="2"/>
        <v>45808</v>
      </c>
      <c r="O4" s="76">
        <f t="shared" si="2"/>
        <v>45808</v>
      </c>
      <c r="P4" s="76">
        <f t="shared" si="2"/>
        <v>45808</v>
      </c>
      <c r="Q4" s="76">
        <f t="shared" si="2"/>
        <v>45838</v>
      </c>
      <c r="R4" s="76">
        <f t="shared" si="2"/>
        <v>45838</v>
      </c>
      <c r="S4" s="76">
        <f t="shared" si="2"/>
        <v>45838</v>
      </c>
      <c r="T4" s="76">
        <f t="shared" si="2"/>
        <v>45838</v>
      </c>
      <c r="U4" s="76">
        <f t="shared" si="2"/>
        <v>45838</v>
      </c>
      <c r="V4" s="76">
        <f t="shared" si="2"/>
        <v>45869</v>
      </c>
      <c r="W4" s="76">
        <f t="shared" si="2"/>
        <v>45869</v>
      </c>
      <c r="X4" s="76">
        <f t="shared" si="2"/>
        <v>45869</v>
      </c>
      <c r="Y4" s="76">
        <f t="shared" si="2"/>
        <v>45869</v>
      </c>
      <c r="Z4" s="76">
        <f t="shared" si="2"/>
        <v>45900</v>
      </c>
      <c r="AA4" s="76">
        <f t="shared" si="2"/>
        <v>45900</v>
      </c>
      <c r="AB4" s="76">
        <f t="shared" si="2"/>
        <v>45900</v>
      </c>
      <c r="AC4" s="76">
        <f t="shared" si="2"/>
        <v>45900</v>
      </c>
      <c r="AD4" s="76">
        <f t="shared" si="2"/>
        <v>45930</v>
      </c>
      <c r="AE4" s="76">
        <f t="shared" si="2"/>
        <v>45930</v>
      </c>
      <c r="AF4" s="76">
        <f t="shared" si="2"/>
        <v>45930</v>
      </c>
      <c r="AG4" s="76">
        <f t="shared" si="2"/>
        <v>45930</v>
      </c>
      <c r="AH4" s="76">
        <f t="shared" si="2"/>
        <v>45930</v>
      </c>
      <c r="AI4" s="76">
        <f t="shared" si="2"/>
        <v>45961</v>
      </c>
      <c r="AJ4" s="76">
        <f t="shared" si="2"/>
        <v>45961</v>
      </c>
      <c r="AK4" s="76">
        <f t="shared" si="2"/>
        <v>45961</v>
      </c>
      <c r="AL4" s="76">
        <f t="shared" si="2"/>
        <v>45961</v>
      </c>
      <c r="AM4" s="76">
        <f t="shared" si="2"/>
        <v>45991</v>
      </c>
      <c r="AN4" s="76">
        <f t="shared" si="2"/>
        <v>45991</v>
      </c>
      <c r="AO4" s="76">
        <f t="shared" si="2"/>
        <v>45991</v>
      </c>
      <c r="AP4" s="76">
        <f t="shared" si="2"/>
        <v>45991</v>
      </c>
      <c r="AQ4" s="76">
        <f t="shared" si="2"/>
        <v>46022</v>
      </c>
      <c r="AR4" s="76">
        <f t="shared" si="2"/>
        <v>46022</v>
      </c>
      <c r="AS4" s="76">
        <f t="shared" si="2"/>
        <v>46022</v>
      </c>
      <c r="AT4" s="76">
        <f t="shared" si="2"/>
        <v>46022</v>
      </c>
      <c r="AU4" s="76">
        <f t="shared" si="2"/>
        <v>46022</v>
      </c>
      <c r="AV4" s="76">
        <f t="shared" si="2"/>
        <v>46053</v>
      </c>
      <c r="AW4" s="76">
        <f t="shared" si="2"/>
        <v>46053</v>
      </c>
      <c r="AX4" s="76">
        <f t="shared" si="2"/>
        <v>46053</v>
      </c>
      <c r="AY4" s="76">
        <f t="shared" si="2"/>
        <v>46053</v>
      </c>
      <c r="AZ4" s="76">
        <f t="shared" si="2"/>
        <v>46081</v>
      </c>
      <c r="BA4" s="76">
        <f t="shared" si="2"/>
        <v>46081</v>
      </c>
      <c r="BB4" s="76">
        <f t="shared" si="2"/>
        <v>46081</v>
      </c>
      <c r="BC4" s="76">
        <f t="shared" si="2"/>
        <v>46081</v>
      </c>
      <c r="BD4" s="76">
        <f t="shared" si="2"/>
        <v>46112</v>
      </c>
      <c r="BE4" s="76">
        <f t="shared" si="2"/>
        <v>46112</v>
      </c>
      <c r="BF4" s="76">
        <f t="shared" si="2"/>
        <v>46112</v>
      </c>
      <c r="BG4" s="76">
        <f t="shared" si="2"/>
        <v>46112</v>
      </c>
      <c r="BH4" s="76">
        <f t="shared" si="2"/>
        <v>46112</v>
      </c>
      <c r="BI4" s="76">
        <f t="shared" si="2"/>
        <v>46142</v>
      </c>
      <c r="BJ4" s="76">
        <f t="shared" si="2"/>
        <v>46142</v>
      </c>
      <c r="BK4" s="76">
        <f t="shared" si="2"/>
        <v>46142</v>
      </c>
      <c r="BL4" s="76">
        <f t="shared" si="2"/>
        <v>46142</v>
      </c>
      <c r="BM4" s="76">
        <f t="shared" si="2"/>
        <v>46173</v>
      </c>
      <c r="BN4" s="76">
        <f t="shared" si="2"/>
        <v>46173</v>
      </c>
      <c r="BO4" s="76">
        <f t="shared" si="2"/>
        <v>46173</v>
      </c>
      <c r="BP4" s="76">
        <f t="shared" si="2"/>
        <v>46173</v>
      </c>
      <c r="BQ4" s="76">
        <f t="shared" si="2"/>
        <v>46203</v>
      </c>
      <c r="BR4" s="76">
        <f t="shared" si="2"/>
        <v>46203</v>
      </c>
      <c r="BS4" s="76">
        <f t="shared" si="2"/>
        <v>46203</v>
      </c>
      <c r="BT4" s="76">
        <f t="shared" si="2"/>
        <v>46203</v>
      </c>
      <c r="BU4" s="76">
        <f t="shared" si="2"/>
        <v>46203</v>
      </c>
      <c r="BV4" s="76">
        <f t="shared" si="2"/>
        <v>46234</v>
      </c>
      <c r="BW4" s="76">
        <f t="shared" si="2"/>
        <v>46234</v>
      </c>
      <c r="BX4" s="76">
        <f t="shared" si="2"/>
        <v>46234</v>
      </c>
      <c r="BY4" s="76">
        <f t="shared" si="2"/>
        <v>46234</v>
      </c>
      <c r="BZ4" s="76">
        <f t="shared" si="2"/>
        <v>46265</v>
      </c>
      <c r="CA4" s="76">
        <f t="shared" si="2"/>
        <v>46265</v>
      </c>
      <c r="CB4" s="76">
        <f t="shared" si="2"/>
        <v>46265</v>
      </c>
      <c r="CC4" s="76">
        <f t="shared" si="2"/>
        <v>46265</v>
      </c>
      <c r="CD4" s="76">
        <f t="shared" si="2"/>
        <v>46265</v>
      </c>
      <c r="CE4" s="76">
        <f t="shared" si="2"/>
        <v>46295</v>
      </c>
      <c r="CF4" s="76">
        <f t="shared" si="2"/>
        <v>46295</v>
      </c>
      <c r="CG4" s="76">
        <f t="shared" si="2"/>
        <v>46295</v>
      </c>
      <c r="CH4" s="76">
        <f t="shared" si="2"/>
        <v>46295</v>
      </c>
      <c r="CI4" s="76">
        <f t="shared" si="2"/>
        <v>46326</v>
      </c>
      <c r="CJ4" s="76">
        <f t="shared" si="2"/>
        <v>46326</v>
      </c>
      <c r="CK4" s="76">
        <f t="shared" si="2"/>
        <v>46326</v>
      </c>
      <c r="CL4" s="76">
        <f t="shared" si="2"/>
        <v>46326</v>
      </c>
      <c r="CM4" s="76">
        <f t="shared" si="2"/>
        <v>46356</v>
      </c>
      <c r="CN4" s="76">
        <f t="shared" si="2"/>
        <v>46356</v>
      </c>
      <c r="CO4" s="76">
        <f t="shared" si="2"/>
        <v>46356</v>
      </c>
      <c r="CP4" s="76">
        <f t="shared" si="2"/>
        <v>46356</v>
      </c>
      <c r="CQ4" s="76">
        <f t="shared" si="2"/>
        <v>46356</v>
      </c>
      <c r="CR4" s="76">
        <f t="shared" si="2"/>
        <v>46387</v>
      </c>
      <c r="CS4" s="76">
        <f t="shared" si="2"/>
        <v>46387</v>
      </c>
      <c r="CT4" s="76">
        <f t="shared" si="2"/>
        <v>46387</v>
      </c>
      <c r="CU4" s="76">
        <f t="shared" si="2"/>
        <v>46387</v>
      </c>
      <c r="CV4" s="74"/>
      <c r="CW4" s="74"/>
      <c r="CX4" s="74"/>
    </row>
    <row r="5" spans="1:102" ht="14.25" customHeight="1" x14ac:dyDescent="0.2">
      <c r="F5" s="75" t="s">
        <v>67</v>
      </c>
      <c r="G5" s="76">
        <v>45740</v>
      </c>
      <c r="H5" s="76">
        <f t="shared" ref="H5:CU5" si="3">+G5+7</f>
        <v>45747</v>
      </c>
      <c r="I5" s="76">
        <f t="shared" si="3"/>
        <v>45754</v>
      </c>
      <c r="J5" s="76">
        <f t="shared" si="3"/>
        <v>45761</v>
      </c>
      <c r="K5" s="76">
        <f t="shared" si="3"/>
        <v>45768</v>
      </c>
      <c r="L5" s="76">
        <f t="shared" si="3"/>
        <v>45775</v>
      </c>
      <c r="M5" s="76">
        <f t="shared" si="3"/>
        <v>45782</v>
      </c>
      <c r="N5" s="76">
        <f t="shared" si="3"/>
        <v>45789</v>
      </c>
      <c r="O5" s="76">
        <f t="shared" si="3"/>
        <v>45796</v>
      </c>
      <c r="P5" s="76">
        <f t="shared" si="3"/>
        <v>45803</v>
      </c>
      <c r="Q5" s="76">
        <f t="shared" si="3"/>
        <v>45810</v>
      </c>
      <c r="R5" s="76">
        <f t="shared" si="3"/>
        <v>45817</v>
      </c>
      <c r="S5" s="76">
        <f t="shared" si="3"/>
        <v>45824</v>
      </c>
      <c r="T5" s="76">
        <f t="shared" si="3"/>
        <v>45831</v>
      </c>
      <c r="U5" s="76">
        <f t="shared" si="3"/>
        <v>45838</v>
      </c>
      <c r="V5" s="76">
        <f t="shared" si="3"/>
        <v>45845</v>
      </c>
      <c r="W5" s="76">
        <f t="shared" si="3"/>
        <v>45852</v>
      </c>
      <c r="X5" s="76">
        <f t="shared" si="3"/>
        <v>45859</v>
      </c>
      <c r="Y5" s="76">
        <f t="shared" si="3"/>
        <v>45866</v>
      </c>
      <c r="Z5" s="76">
        <f t="shared" si="3"/>
        <v>45873</v>
      </c>
      <c r="AA5" s="76">
        <f t="shared" si="3"/>
        <v>45880</v>
      </c>
      <c r="AB5" s="76">
        <f t="shared" si="3"/>
        <v>45887</v>
      </c>
      <c r="AC5" s="76">
        <f t="shared" si="3"/>
        <v>45894</v>
      </c>
      <c r="AD5" s="76">
        <f t="shared" si="3"/>
        <v>45901</v>
      </c>
      <c r="AE5" s="76">
        <f t="shared" si="3"/>
        <v>45908</v>
      </c>
      <c r="AF5" s="76">
        <f t="shared" si="3"/>
        <v>45915</v>
      </c>
      <c r="AG5" s="76">
        <f t="shared" si="3"/>
        <v>45922</v>
      </c>
      <c r="AH5" s="76">
        <f t="shared" si="3"/>
        <v>45929</v>
      </c>
      <c r="AI5" s="76">
        <f t="shared" si="3"/>
        <v>45936</v>
      </c>
      <c r="AJ5" s="76">
        <f t="shared" si="3"/>
        <v>45943</v>
      </c>
      <c r="AK5" s="76">
        <f t="shared" si="3"/>
        <v>45950</v>
      </c>
      <c r="AL5" s="76">
        <f t="shared" si="3"/>
        <v>45957</v>
      </c>
      <c r="AM5" s="76">
        <f t="shared" si="3"/>
        <v>45964</v>
      </c>
      <c r="AN5" s="76">
        <f t="shared" si="3"/>
        <v>45971</v>
      </c>
      <c r="AO5" s="76">
        <f t="shared" si="3"/>
        <v>45978</v>
      </c>
      <c r="AP5" s="76">
        <f t="shared" si="3"/>
        <v>45985</v>
      </c>
      <c r="AQ5" s="76">
        <f t="shared" si="3"/>
        <v>45992</v>
      </c>
      <c r="AR5" s="76">
        <f t="shared" si="3"/>
        <v>45999</v>
      </c>
      <c r="AS5" s="76">
        <f t="shared" si="3"/>
        <v>46006</v>
      </c>
      <c r="AT5" s="76">
        <f t="shared" si="3"/>
        <v>46013</v>
      </c>
      <c r="AU5" s="76">
        <f t="shared" si="3"/>
        <v>46020</v>
      </c>
      <c r="AV5" s="76">
        <f t="shared" si="3"/>
        <v>46027</v>
      </c>
      <c r="AW5" s="76">
        <f t="shared" si="3"/>
        <v>46034</v>
      </c>
      <c r="AX5" s="76">
        <f t="shared" si="3"/>
        <v>46041</v>
      </c>
      <c r="AY5" s="76">
        <f t="shared" si="3"/>
        <v>46048</v>
      </c>
      <c r="AZ5" s="76">
        <f t="shared" si="3"/>
        <v>46055</v>
      </c>
      <c r="BA5" s="76">
        <f t="shared" si="3"/>
        <v>46062</v>
      </c>
      <c r="BB5" s="76">
        <f t="shared" si="3"/>
        <v>46069</v>
      </c>
      <c r="BC5" s="76">
        <f t="shared" si="3"/>
        <v>46076</v>
      </c>
      <c r="BD5" s="76">
        <f t="shared" si="3"/>
        <v>46083</v>
      </c>
      <c r="BE5" s="76">
        <f t="shared" si="3"/>
        <v>46090</v>
      </c>
      <c r="BF5" s="76">
        <f t="shared" si="3"/>
        <v>46097</v>
      </c>
      <c r="BG5" s="76">
        <f t="shared" si="3"/>
        <v>46104</v>
      </c>
      <c r="BH5" s="76">
        <f t="shared" si="3"/>
        <v>46111</v>
      </c>
      <c r="BI5" s="76">
        <f t="shared" si="3"/>
        <v>46118</v>
      </c>
      <c r="BJ5" s="76">
        <f t="shared" si="3"/>
        <v>46125</v>
      </c>
      <c r="BK5" s="76">
        <f t="shared" si="3"/>
        <v>46132</v>
      </c>
      <c r="BL5" s="76">
        <f t="shared" si="3"/>
        <v>46139</v>
      </c>
      <c r="BM5" s="76">
        <f t="shared" si="3"/>
        <v>46146</v>
      </c>
      <c r="BN5" s="76">
        <f t="shared" si="3"/>
        <v>46153</v>
      </c>
      <c r="BO5" s="76">
        <f t="shared" si="3"/>
        <v>46160</v>
      </c>
      <c r="BP5" s="76">
        <f t="shared" si="3"/>
        <v>46167</v>
      </c>
      <c r="BQ5" s="76">
        <f t="shared" si="3"/>
        <v>46174</v>
      </c>
      <c r="BR5" s="76">
        <f t="shared" si="3"/>
        <v>46181</v>
      </c>
      <c r="BS5" s="76">
        <f t="shared" si="3"/>
        <v>46188</v>
      </c>
      <c r="BT5" s="76">
        <f t="shared" si="3"/>
        <v>46195</v>
      </c>
      <c r="BU5" s="76">
        <f t="shared" si="3"/>
        <v>46202</v>
      </c>
      <c r="BV5" s="76">
        <f t="shared" si="3"/>
        <v>46209</v>
      </c>
      <c r="BW5" s="76">
        <f t="shared" si="3"/>
        <v>46216</v>
      </c>
      <c r="BX5" s="76">
        <f t="shared" si="3"/>
        <v>46223</v>
      </c>
      <c r="BY5" s="76">
        <f t="shared" si="3"/>
        <v>46230</v>
      </c>
      <c r="BZ5" s="76">
        <f t="shared" si="3"/>
        <v>46237</v>
      </c>
      <c r="CA5" s="76">
        <f t="shared" si="3"/>
        <v>46244</v>
      </c>
      <c r="CB5" s="76">
        <f t="shared" si="3"/>
        <v>46251</v>
      </c>
      <c r="CC5" s="76">
        <f t="shared" si="3"/>
        <v>46258</v>
      </c>
      <c r="CD5" s="76">
        <f t="shared" si="3"/>
        <v>46265</v>
      </c>
      <c r="CE5" s="76">
        <f t="shared" si="3"/>
        <v>46272</v>
      </c>
      <c r="CF5" s="76">
        <f t="shared" si="3"/>
        <v>46279</v>
      </c>
      <c r="CG5" s="76">
        <f t="shared" si="3"/>
        <v>46286</v>
      </c>
      <c r="CH5" s="76">
        <f t="shared" si="3"/>
        <v>46293</v>
      </c>
      <c r="CI5" s="76">
        <f t="shared" si="3"/>
        <v>46300</v>
      </c>
      <c r="CJ5" s="76">
        <f t="shared" si="3"/>
        <v>46307</v>
      </c>
      <c r="CK5" s="76">
        <f t="shared" si="3"/>
        <v>46314</v>
      </c>
      <c r="CL5" s="76">
        <f t="shared" si="3"/>
        <v>46321</v>
      </c>
      <c r="CM5" s="76">
        <f t="shared" si="3"/>
        <v>46328</v>
      </c>
      <c r="CN5" s="76">
        <f t="shared" si="3"/>
        <v>46335</v>
      </c>
      <c r="CO5" s="76">
        <f t="shared" si="3"/>
        <v>46342</v>
      </c>
      <c r="CP5" s="76">
        <f t="shared" si="3"/>
        <v>46349</v>
      </c>
      <c r="CQ5" s="76">
        <f t="shared" si="3"/>
        <v>46356</v>
      </c>
      <c r="CR5" s="76">
        <f t="shared" si="3"/>
        <v>46363</v>
      </c>
      <c r="CS5" s="76">
        <f t="shared" si="3"/>
        <v>46370</v>
      </c>
      <c r="CT5" s="76">
        <f t="shared" si="3"/>
        <v>46377</v>
      </c>
      <c r="CU5" s="76">
        <f t="shared" si="3"/>
        <v>46384</v>
      </c>
      <c r="CV5" s="74"/>
      <c r="CW5" s="74"/>
      <c r="CX5" s="74"/>
    </row>
    <row r="6" spans="1:102" ht="14.25" customHeight="1" x14ac:dyDescent="0.2">
      <c r="G6" s="27">
        <f>_xlfn.XLOOKUP(G4, 'Cash in old version'!1:1, 'Cash in old version'!3:3)</f>
        <v>388914.49230000004</v>
      </c>
      <c r="H6" s="27">
        <f>_xlfn.XLOOKUP(H4, 'Cash in old version'!1:1, 'Cash in old version'!3:3)</f>
        <v>388914.49230000004</v>
      </c>
      <c r="I6" s="27">
        <f>_xlfn.XLOOKUP(I4, 'Cash in old version'!1:1, 'Cash in old version'!3:3)</f>
        <v>464044.58149999997</v>
      </c>
      <c r="J6" s="27">
        <f>_xlfn.XLOOKUP(J4, 'Cash in old version'!1:1, 'Cash in old version'!3:3)</f>
        <v>464044.58149999997</v>
      </c>
      <c r="K6" s="27">
        <f>_xlfn.XLOOKUP(K4, 'Cash in old version'!1:1, 'Cash in old version'!3:3)</f>
        <v>464044.58149999997</v>
      </c>
      <c r="L6" s="27">
        <f>_xlfn.XLOOKUP(L4, 'Cash in old version'!1:1, 'Cash in old version'!3:3)</f>
        <v>464044.58149999997</v>
      </c>
      <c r="M6" s="27">
        <f>_xlfn.XLOOKUP(M4, 'Cash in old version'!1:1, 'Cash in old version'!3:3)</f>
        <v>501751.20980000001</v>
      </c>
      <c r="N6" s="27">
        <f>_xlfn.XLOOKUP(N4, 'Cash in old version'!1:1, 'Cash in old version'!3:3)</f>
        <v>501751.20980000001</v>
      </c>
      <c r="O6" s="27">
        <f>_xlfn.XLOOKUP(O4, 'Cash in old version'!1:1, 'Cash in old version'!3:3)</f>
        <v>501751.20980000001</v>
      </c>
      <c r="P6" s="27">
        <f>_xlfn.XLOOKUP(P4, 'Cash in old version'!1:1, 'Cash in old version'!3:3)</f>
        <v>501751.20980000001</v>
      </c>
      <c r="Q6" s="27">
        <f>_xlfn.XLOOKUP(Q4, 'Cash in old version'!1:1, 'Cash in old version'!3:3)</f>
        <v>788495.25579999993</v>
      </c>
      <c r="R6" s="27">
        <f>_xlfn.XLOOKUP(R4, 'Cash in old version'!1:1, 'Cash in old version'!3:3)</f>
        <v>788495.25579999993</v>
      </c>
      <c r="S6" s="27">
        <f>_xlfn.XLOOKUP(S4, 'Cash in old version'!1:1, 'Cash in old version'!3:3)</f>
        <v>788495.25579999993</v>
      </c>
      <c r="T6" s="27">
        <f>_xlfn.XLOOKUP(T4, 'Cash in old version'!1:1, 'Cash in old version'!3:3)</f>
        <v>788495.25579999993</v>
      </c>
      <c r="U6" s="27">
        <f>_xlfn.XLOOKUP(U4, 'Cash in old version'!1:1, 'Cash in old version'!3:3)</f>
        <v>788495.25579999993</v>
      </c>
      <c r="V6" s="27">
        <f>_xlfn.XLOOKUP(V4, 'Cash in old version'!1:1, 'Cash in old version'!3:3)</f>
        <v>1243628.1910000001</v>
      </c>
      <c r="W6" s="27">
        <f>_xlfn.XLOOKUP(W4, 'Cash in old version'!1:1, 'Cash in old version'!3:3)</f>
        <v>1243628.1910000001</v>
      </c>
      <c r="X6" s="27">
        <f>_xlfn.XLOOKUP(X4, 'Cash in old version'!1:1, 'Cash in old version'!3:3)</f>
        <v>1243628.1910000001</v>
      </c>
      <c r="Y6" s="27">
        <f>_xlfn.XLOOKUP(Y4, 'Cash in old version'!1:1, 'Cash in old version'!3:3)</f>
        <v>1243628.1910000001</v>
      </c>
      <c r="Z6" s="27">
        <f>_xlfn.XLOOKUP(Z4, 'Cash in old version'!1:1, 'Cash in old version'!3:3)</f>
        <v>1594465.82</v>
      </c>
      <c r="AA6" s="27">
        <f>_xlfn.XLOOKUP(AA4, 'Cash in old version'!1:1, 'Cash in old version'!3:3)</f>
        <v>1594465.82</v>
      </c>
      <c r="AB6" s="27">
        <f>_xlfn.XLOOKUP(AB4, 'Cash in old version'!1:1, 'Cash in old version'!3:3)</f>
        <v>1594465.82</v>
      </c>
      <c r="AC6" s="27">
        <f>_xlfn.XLOOKUP(AC4, 'Cash in old version'!1:1, 'Cash in old version'!3:3)</f>
        <v>1594465.82</v>
      </c>
      <c r="AD6" s="27">
        <f>_xlfn.XLOOKUP(AD4, 'Cash in old version'!1:1, 'Cash in old version'!3:3)</f>
        <v>1705964.3900000001</v>
      </c>
      <c r="AE6" s="27">
        <f>_xlfn.XLOOKUP(AE4, 'Cash in old version'!1:1, 'Cash in old version'!3:3)</f>
        <v>1705964.3900000001</v>
      </c>
      <c r="AF6" s="27">
        <f>_xlfn.XLOOKUP(AF4, 'Cash in old version'!1:1, 'Cash in old version'!3:3)</f>
        <v>1705964.3900000001</v>
      </c>
      <c r="AG6" s="27">
        <f>_xlfn.XLOOKUP(AG4, 'Cash in old version'!1:1, 'Cash in old version'!3:3)</f>
        <v>1705964.3900000001</v>
      </c>
      <c r="AH6" s="27">
        <f>_xlfn.XLOOKUP(AH4, 'Cash in old version'!1:1, 'Cash in old version'!3:3)</f>
        <v>1705964.3900000001</v>
      </c>
      <c r="AI6" s="27">
        <f>_xlfn.XLOOKUP(AI4, 'Cash in old version'!1:1, 'Cash in old version'!3:3)</f>
        <v>1654332.8199999998</v>
      </c>
      <c r="AJ6" s="27">
        <f>_xlfn.XLOOKUP(AJ4, 'Cash in old version'!1:1, 'Cash in old version'!3:3)</f>
        <v>1654332.8199999998</v>
      </c>
      <c r="AK6" s="27">
        <f>_xlfn.XLOOKUP(AK4, 'Cash in old version'!1:1, 'Cash in old version'!3:3)</f>
        <v>1654332.8199999998</v>
      </c>
      <c r="AL6" s="27">
        <f>_xlfn.XLOOKUP(AL4, 'Cash in old version'!1:1, 'Cash in old version'!3:3)</f>
        <v>1654332.8199999998</v>
      </c>
      <c r="AM6" s="27">
        <f>_xlfn.XLOOKUP(AM4, 'Cash in old version'!1:1, 'Cash in old version'!3:3)</f>
        <v>1423153.0149999999</v>
      </c>
      <c r="AN6" s="27">
        <f>_xlfn.XLOOKUP(AN4, 'Cash in old version'!1:1, 'Cash in old version'!3:3)</f>
        <v>1423153.0149999999</v>
      </c>
      <c r="AO6" s="27">
        <f>_xlfn.XLOOKUP(AO4, 'Cash in old version'!1:1, 'Cash in old version'!3:3)</f>
        <v>1423153.0149999999</v>
      </c>
      <c r="AP6" s="27">
        <f>_xlfn.XLOOKUP(AP4, 'Cash in old version'!1:1, 'Cash in old version'!3:3)</f>
        <v>1423153.0149999999</v>
      </c>
      <c r="AQ6" s="27">
        <f>_xlfn.XLOOKUP(AQ4, 'Cash in old version'!1:1, 'Cash in old version'!3:3)</f>
        <v>1113631.5</v>
      </c>
      <c r="AR6" s="27">
        <f>_xlfn.XLOOKUP(AR4, 'Cash in old version'!1:1, 'Cash in old version'!3:3)</f>
        <v>1113631.5</v>
      </c>
      <c r="AS6" s="27">
        <f>_xlfn.XLOOKUP(AS4, 'Cash in old version'!1:1, 'Cash in old version'!3:3)</f>
        <v>1113631.5</v>
      </c>
      <c r="AT6" s="27">
        <f>_xlfn.XLOOKUP(AT4, 'Cash in old version'!1:1, 'Cash in old version'!3:3)</f>
        <v>1113631.5</v>
      </c>
      <c r="AU6" s="27">
        <f>_xlfn.XLOOKUP(AU4, 'Cash in old version'!1:1, 'Cash in old version'!3:3)</f>
        <v>1113631.5</v>
      </c>
      <c r="AV6" s="27">
        <f>_xlfn.XLOOKUP(AV4, 'Cash in old version'!1:1, 'Cash in old version'!3:3)</f>
        <v>674679.05500000005</v>
      </c>
      <c r="AW6" s="27">
        <f>_xlfn.XLOOKUP(AW4, 'Cash in old version'!1:1, 'Cash in old version'!3:3)</f>
        <v>674679.05500000005</v>
      </c>
      <c r="AX6" s="27">
        <f>_xlfn.XLOOKUP(AX4, 'Cash in old version'!1:1, 'Cash in old version'!3:3)</f>
        <v>674679.05500000005</v>
      </c>
      <c r="AY6" s="27">
        <f>_xlfn.XLOOKUP(AY4, 'Cash in old version'!1:1, 'Cash in old version'!3:3)</f>
        <v>674679.05500000005</v>
      </c>
      <c r="AZ6" s="27">
        <f>_xlfn.XLOOKUP(AZ4, 'Cash in old version'!1:1, 'Cash in old version'!3:3)</f>
        <v>402904.58999999997</v>
      </c>
      <c r="BA6" s="27">
        <f>_xlfn.XLOOKUP(BA4, 'Cash in old version'!1:1, 'Cash in old version'!3:3)</f>
        <v>402904.58999999997</v>
      </c>
      <c r="BB6" s="27">
        <f>_xlfn.XLOOKUP(BB4, 'Cash in old version'!1:1, 'Cash in old version'!3:3)</f>
        <v>402904.58999999997</v>
      </c>
      <c r="BC6" s="27">
        <f>_xlfn.XLOOKUP(BC4, 'Cash in old version'!1:1, 'Cash in old version'!3:3)</f>
        <v>402904.58999999997</v>
      </c>
      <c r="BD6" s="27">
        <f>_xlfn.XLOOKUP(BD4, 'Cash in old version'!1:1, 'Cash in old version'!3:3)</f>
        <v>665669.59300000011</v>
      </c>
      <c r="BE6" s="27">
        <f>_xlfn.XLOOKUP(BE4, 'Cash in old version'!1:1, 'Cash in old version'!3:3)</f>
        <v>665669.59300000011</v>
      </c>
      <c r="BF6" s="27">
        <f>_xlfn.XLOOKUP(BF4, 'Cash in old version'!1:1, 'Cash in old version'!3:3)</f>
        <v>665669.59300000011</v>
      </c>
      <c r="BG6" s="27">
        <f>_xlfn.XLOOKUP(BG4, 'Cash in old version'!1:1, 'Cash in old version'!3:3)</f>
        <v>665669.59300000011</v>
      </c>
      <c r="BH6" s="27">
        <f>_xlfn.XLOOKUP(BH4, 'Cash in old version'!1:1, 'Cash in old version'!3:3)</f>
        <v>665669.59300000011</v>
      </c>
      <c r="BI6" s="27">
        <f>_xlfn.XLOOKUP(BI4, 'Cash in old version'!1:1, 'Cash in old version'!3:3)</f>
        <v>3428511.0974000003</v>
      </c>
      <c r="BJ6" s="27">
        <f>_xlfn.XLOOKUP(BJ4, 'Cash in old version'!1:1, 'Cash in old version'!3:3)</f>
        <v>3428511.0974000003</v>
      </c>
      <c r="BK6" s="27">
        <f>_xlfn.XLOOKUP(BK4, 'Cash in old version'!1:1, 'Cash in old version'!3:3)</f>
        <v>3428511.0974000003</v>
      </c>
      <c r="BL6" s="27">
        <f>_xlfn.XLOOKUP(BL4, 'Cash in old version'!1:1, 'Cash in old version'!3:3)</f>
        <v>3428511.0974000003</v>
      </c>
      <c r="BM6" s="27">
        <f>_xlfn.XLOOKUP(BM4, 'Cash in old version'!1:1, 'Cash in old version'!3:3)</f>
        <v>5748913.2207500003</v>
      </c>
      <c r="BN6" s="27">
        <f>_xlfn.XLOOKUP(BN4, 'Cash in old version'!1:1, 'Cash in old version'!3:3)</f>
        <v>5748913.2207500003</v>
      </c>
      <c r="BO6" s="27">
        <f>_xlfn.XLOOKUP(BO4, 'Cash in old version'!1:1, 'Cash in old version'!3:3)</f>
        <v>5748913.2207500003</v>
      </c>
      <c r="BP6" s="27">
        <f>_xlfn.XLOOKUP(BP4, 'Cash in old version'!1:1, 'Cash in old version'!3:3)</f>
        <v>5748913.2207500003</v>
      </c>
      <c r="BQ6" s="27">
        <f>_xlfn.XLOOKUP(BQ4, 'Cash in old version'!1:1, 'Cash in old version'!3:3)</f>
        <v>7071187.7546499996</v>
      </c>
      <c r="BR6" s="27">
        <f>_xlfn.XLOOKUP(BR4, 'Cash in old version'!1:1, 'Cash in old version'!3:3)</f>
        <v>7071187.7546499996</v>
      </c>
      <c r="BS6" s="27">
        <f>_xlfn.XLOOKUP(BS4, 'Cash in old version'!1:1, 'Cash in old version'!3:3)</f>
        <v>7071187.7546499996</v>
      </c>
      <c r="BT6" s="27">
        <f>_xlfn.XLOOKUP(BT4, 'Cash in old version'!1:1, 'Cash in old version'!3:3)</f>
        <v>7071187.7546499996</v>
      </c>
      <c r="BU6" s="27">
        <f>_xlfn.XLOOKUP(BU4, 'Cash in old version'!1:1, 'Cash in old version'!3:3)</f>
        <v>7071187.7546499996</v>
      </c>
      <c r="BV6" s="27">
        <f>_xlfn.XLOOKUP(BV4, 'Cash in old version'!1:1, 'Cash in old version'!3:3)</f>
        <v>7682618.7479999997</v>
      </c>
      <c r="BW6" s="27">
        <f>_xlfn.XLOOKUP(BW4, 'Cash in old version'!1:1, 'Cash in old version'!3:3)</f>
        <v>7682618.7479999997</v>
      </c>
      <c r="BX6" s="27">
        <f>_xlfn.XLOOKUP(BX4, 'Cash in old version'!1:1, 'Cash in old version'!3:3)</f>
        <v>7682618.7479999997</v>
      </c>
      <c r="BY6" s="27">
        <f>_xlfn.XLOOKUP(BY4, 'Cash in old version'!1:1, 'Cash in old version'!3:3)</f>
        <v>7682618.7479999997</v>
      </c>
      <c r="BZ6" s="27">
        <f>_xlfn.XLOOKUP(BZ4, 'Cash in old version'!1:1, 'Cash in old version'!3:3)</f>
        <v>12024656.008099999</v>
      </c>
      <c r="CA6" s="27">
        <f>_xlfn.XLOOKUP(CA4, 'Cash in old version'!1:1, 'Cash in old version'!3:3)</f>
        <v>12024656.008099999</v>
      </c>
      <c r="CB6" s="27">
        <f>_xlfn.XLOOKUP(CB4, 'Cash in old version'!1:1, 'Cash in old version'!3:3)</f>
        <v>12024656.008099999</v>
      </c>
      <c r="CC6" s="27">
        <f>_xlfn.XLOOKUP(CC4, 'Cash in old version'!1:1, 'Cash in old version'!3:3)</f>
        <v>12024656.008099999</v>
      </c>
      <c r="CD6" s="27">
        <f>_xlfn.XLOOKUP(CD4, 'Cash in old version'!1:1, 'Cash in old version'!3:3)</f>
        <v>12024656.008099999</v>
      </c>
      <c r="CE6" s="27">
        <f>_xlfn.XLOOKUP(CE4, 'Cash in old version'!1:1, 'Cash in old version'!3:3)</f>
        <v>12636728.4234</v>
      </c>
      <c r="CF6" s="27">
        <f>_xlfn.XLOOKUP(CF4, 'Cash in old version'!1:1, 'Cash in old version'!3:3)</f>
        <v>12636728.4234</v>
      </c>
      <c r="CG6" s="27">
        <f>_xlfn.XLOOKUP(CG4, 'Cash in old version'!1:1, 'Cash in old version'!3:3)</f>
        <v>12636728.4234</v>
      </c>
      <c r="CH6" s="27">
        <f>_xlfn.XLOOKUP(CH4, 'Cash in old version'!1:1, 'Cash in old version'!3:3)</f>
        <v>12636728.4234</v>
      </c>
      <c r="CI6" s="27">
        <f>_xlfn.XLOOKUP(CI4, 'Cash in old version'!1:1, 'Cash in old version'!3:3)</f>
        <v>12841726.339000002</v>
      </c>
      <c r="CJ6" s="27">
        <f>_xlfn.XLOOKUP(CJ4, 'Cash in old version'!1:1, 'Cash in old version'!3:3)</f>
        <v>12841726.339000002</v>
      </c>
      <c r="CK6" s="27">
        <f>_xlfn.XLOOKUP(CK4, 'Cash in old version'!1:1, 'Cash in old version'!3:3)</f>
        <v>12841726.339000002</v>
      </c>
      <c r="CL6" s="27">
        <f>_xlfn.XLOOKUP(CL4, 'Cash in old version'!1:1, 'Cash in old version'!3:3)</f>
        <v>12841726.339000002</v>
      </c>
      <c r="CM6" s="27">
        <f>_xlfn.XLOOKUP(CM4, 'Cash in old version'!1:1, 'Cash in old version'!3:3)</f>
        <v>18891500.477899998</v>
      </c>
      <c r="CN6" s="27">
        <f>_xlfn.XLOOKUP(CN4, 'Cash in old version'!1:1, 'Cash in old version'!3:3)</f>
        <v>18891500.477899998</v>
      </c>
      <c r="CO6" s="27">
        <f>_xlfn.XLOOKUP(CO4, 'Cash in old version'!1:1, 'Cash in old version'!3:3)</f>
        <v>18891500.477899998</v>
      </c>
      <c r="CP6" s="27">
        <f>_xlfn.XLOOKUP(CP4, 'Cash in old version'!1:1, 'Cash in old version'!3:3)</f>
        <v>18891500.477899998</v>
      </c>
      <c r="CQ6" s="27">
        <f>_xlfn.XLOOKUP(CQ4, 'Cash in old version'!1:1, 'Cash in old version'!3:3)</f>
        <v>18891500.477899998</v>
      </c>
      <c r="CR6" s="27">
        <f>_xlfn.XLOOKUP(CR4, 'Cash in old version'!1:1, 'Cash in old version'!3:3)</f>
        <v>17876132.658190001</v>
      </c>
      <c r="CS6" s="27">
        <f>_xlfn.XLOOKUP(CS4, 'Cash in old version'!1:1, 'Cash in old version'!3:3)</f>
        <v>17876132.658190001</v>
      </c>
      <c r="CT6" s="27">
        <f>_xlfn.XLOOKUP(CT4, 'Cash in old version'!1:1, 'Cash in old version'!3:3)</f>
        <v>17876132.658190001</v>
      </c>
      <c r="CU6" s="27">
        <f>_xlfn.XLOOKUP(CU4, 'Cash in old version'!1:1, 'Cash in old version'!3:3)</f>
        <v>17876132.658190001</v>
      </c>
    </row>
    <row r="7" spans="1:102" ht="14.25" customHeight="1" x14ac:dyDescent="0.2">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c r="BH7" s="27"/>
      <c r="BI7" s="27"/>
      <c r="BJ7" s="27"/>
      <c r="BK7" s="27"/>
      <c r="BL7" s="27"/>
      <c r="BM7" s="27"/>
      <c r="BN7" s="27"/>
      <c r="BO7" s="27"/>
      <c r="BP7" s="27"/>
      <c r="BQ7" s="27"/>
      <c r="BR7" s="27"/>
      <c r="BS7" s="27"/>
      <c r="BT7" s="27"/>
      <c r="BU7" s="27"/>
      <c r="BV7" s="27"/>
      <c r="BW7" s="27"/>
      <c r="BX7" s="27"/>
      <c r="BY7" s="27"/>
      <c r="BZ7" s="27"/>
      <c r="CA7" s="27"/>
      <c r="CB7" s="27"/>
      <c r="CC7" s="27"/>
      <c r="CD7" s="27"/>
      <c r="CE7" s="27"/>
      <c r="CF7" s="27"/>
      <c r="CG7" s="27"/>
      <c r="CH7" s="27"/>
      <c r="CI7" s="27"/>
      <c r="CJ7" s="27"/>
      <c r="CK7" s="27"/>
      <c r="CL7" s="27"/>
      <c r="CM7" s="27"/>
      <c r="CN7" s="27"/>
      <c r="CO7" s="27"/>
      <c r="CP7" s="27"/>
      <c r="CQ7" s="27"/>
      <c r="CR7" s="27"/>
      <c r="CS7" s="27"/>
      <c r="CT7" s="27"/>
      <c r="CU7" s="27"/>
    </row>
    <row r="8" spans="1:102" ht="14.25" customHeight="1" x14ac:dyDescent="0.2">
      <c r="A8" s="27"/>
      <c r="B8" s="27"/>
      <c r="C8" s="27"/>
      <c r="D8" s="27"/>
      <c r="E8" s="27"/>
      <c r="F8" s="28" t="s">
        <v>507</v>
      </c>
      <c r="G8" s="28">
        <f>_xlfn.XLOOKUP(G4, 'Cash in old version'!1:1, 'Cash in old version'!3:3) / COUNTIF($G$2:$CU$2, G$2)</f>
        <v>194457.24615000002</v>
      </c>
      <c r="H8" s="28">
        <f>_xlfn.XLOOKUP(H4, 'Cash in old version'!1:1, 'Cash in old version'!3:3) / COUNTIF($G$2:$CU$2, H$2)</f>
        <v>194457.24615000002</v>
      </c>
      <c r="I8" s="28">
        <f>_xlfn.XLOOKUP(I4, 'Cash in old version'!1:1, 'Cash in old version'!3:3) / COUNTIF($G$2:$CU$2, I$2)</f>
        <v>116011.14537499999</v>
      </c>
      <c r="J8" s="28">
        <f>_xlfn.XLOOKUP(J4, 'Cash in old version'!1:1, 'Cash in old version'!3:3) / COUNTIF($G$2:$CU$2, J$2)</f>
        <v>116011.14537499999</v>
      </c>
      <c r="K8" s="28">
        <f>_xlfn.XLOOKUP(K4, 'Cash in old version'!1:1, 'Cash in old version'!3:3) / COUNTIF($G$2:$CU$2, K$2)</f>
        <v>116011.14537499999</v>
      </c>
      <c r="L8" s="28">
        <f>_xlfn.XLOOKUP(L4, 'Cash in old version'!1:1, 'Cash in old version'!3:3) / COUNTIF($G$2:$CU$2, L$2)</f>
        <v>116011.14537499999</v>
      </c>
      <c r="M8" s="28">
        <f>_xlfn.XLOOKUP(M4, 'Cash in old version'!1:1, 'Cash in old version'!3:3) / COUNTIF($G$2:$CU$2, M$2)</f>
        <v>125437.80245</v>
      </c>
      <c r="N8" s="28">
        <f>_xlfn.XLOOKUP(N4, 'Cash in old version'!1:1, 'Cash in old version'!3:3) / COUNTIF($G$2:$CU$2, N$2)</f>
        <v>125437.80245</v>
      </c>
      <c r="O8" s="28">
        <f>_xlfn.XLOOKUP(O4, 'Cash in old version'!1:1, 'Cash in old version'!3:3) / COUNTIF($G$2:$CU$2, O$2)</f>
        <v>125437.80245</v>
      </c>
      <c r="P8" s="28">
        <f>_xlfn.XLOOKUP(P4, 'Cash in old version'!1:1, 'Cash in old version'!3:3) / COUNTIF($G$2:$CU$2, P$2)</f>
        <v>125437.80245</v>
      </c>
      <c r="Q8" s="28">
        <f>_xlfn.XLOOKUP(Q4, 'Cash in old version'!1:1, 'Cash in old version'!3:3) / COUNTIF($G$2:$CU$2, Q$2)</f>
        <v>157699.05115999997</v>
      </c>
      <c r="R8" s="28">
        <f>_xlfn.XLOOKUP(R4, 'Cash in old version'!1:1, 'Cash in old version'!3:3) / COUNTIF($G$2:$CU$2, R$2)</f>
        <v>157699.05115999997</v>
      </c>
      <c r="S8" s="28">
        <f>_xlfn.XLOOKUP(S4, 'Cash in old version'!1:1, 'Cash in old version'!3:3) / COUNTIF($G$2:$CU$2, S$2)</f>
        <v>157699.05115999997</v>
      </c>
      <c r="T8" s="28">
        <f>_xlfn.XLOOKUP(T4, 'Cash in old version'!1:1, 'Cash in old version'!3:3) / COUNTIF($G$2:$CU$2, T$2)</f>
        <v>157699.05115999997</v>
      </c>
      <c r="U8" s="28">
        <f>_xlfn.XLOOKUP(U4, 'Cash in old version'!1:1, 'Cash in old version'!3:3) / COUNTIF($G$2:$CU$2, U$2)</f>
        <v>157699.05115999997</v>
      </c>
      <c r="V8" s="28">
        <f>_xlfn.XLOOKUP(V4, 'Cash in old version'!1:1, 'Cash in old version'!3:3) / COUNTIF($G$2:$CU$2, V$2)</f>
        <v>310907.04775000003</v>
      </c>
      <c r="W8" s="28">
        <f>_xlfn.XLOOKUP(W4, 'Cash in old version'!1:1, 'Cash in old version'!3:3) / COUNTIF($G$2:$CU$2, W$2)</f>
        <v>310907.04775000003</v>
      </c>
      <c r="X8" s="28">
        <f>_xlfn.XLOOKUP(X4, 'Cash in old version'!1:1, 'Cash in old version'!3:3) / COUNTIF($G$2:$CU$2, X$2)</f>
        <v>310907.04775000003</v>
      </c>
      <c r="Y8" s="28">
        <f>_xlfn.XLOOKUP(Y4, 'Cash in old version'!1:1, 'Cash in old version'!3:3) / COUNTIF($G$2:$CU$2, Y$2)</f>
        <v>310907.04775000003</v>
      </c>
      <c r="Z8" s="28">
        <f>_xlfn.XLOOKUP(Z4, 'Cash in old version'!1:1, 'Cash in old version'!3:3) / COUNTIF($G$2:$CU$2, Z$2)</f>
        <v>398616.45500000002</v>
      </c>
      <c r="AA8" s="28">
        <f>_xlfn.XLOOKUP(AA4, 'Cash in old version'!1:1, 'Cash in old version'!3:3) / COUNTIF($G$2:$CU$2, AA$2)</f>
        <v>398616.45500000002</v>
      </c>
      <c r="AB8" s="28">
        <f>_xlfn.XLOOKUP(AB4, 'Cash in old version'!1:1, 'Cash in old version'!3:3) / COUNTIF($G$2:$CU$2, AB$2)</f>
        <v>398616.45500000002</v>
      </c>
      <c r="AC8" s="28">
        <f>_xlfn.XLOOKUP(AC4, 'Cash in old version'!1:1, 'Cash in old version'!3:3) / COUNTIF($G$2:$CU$2, AC$2)</f>
        <v>398616.45500000002</v>
      </c>
      <c r="AD8" s="28">
        <f>_xlfn.XLOOKUP(AD4, 'Cash in old version'!1:1, 'Cash in old version'!3:3) / COUNTIF($G$2:$CU$2, AD$2)</f>
        <v>341192.87800000003</v>
      </c>
      <c r="AE8" s="28">
        <f>_xlfn.XLOOKUP(AE4, 'Cash in old version'!1:1, 'Cash in old version'!3:3) / COUNTIF($G$2:$CU$2, AE$2)</f>
        <v>341192.87800000003</v>
      </c>
      <c r="AF8" s="28">
        <f>_xlfn.XLOOKUP(AF4, 'Cash in old version'!1:1, 'Cash in old version'!3:3) / COUNTIF($G$2:$CU$2, AF$2)</f>
        <v>341192.87800000003</v>
      </c>
      <c r="AG8" s="28">
        <f>_xlfn.XLOOKUP(AG4, 'Cash in old version'!1:1, 'Cash in old version'!3:3) / COUNTIF($G$2:$CU$2, AG$2)</f>
        <v>341192.87800000003</v>
      </c>
      <c r="AH8" s="28">
        <f>_xlfn.XLOOKUP(AH4, 'Cash in old version'!1:1, 'Cash in old version'!3:3) / COUNTIF($G$2:$CU$2, AH$2)</f>
        <v>341192.87800000003</v>
      </c>
      <c r="AI8" s="28">
        <f>_xlfn.XLOOKUP(AI4, 'Cash in old version'!1:1, 'Cash in old version'!3:3) / COUNTIF($G$2:$CU$2, AI$2)</f>
        <v>413583.20499999996</v>
      </c>
      <c r="AJ8" s="28">
        <f>_xlfn.XLOOKUP(AJ4, 'Cash in old version'!1:1, 'Cash in old version'!3:3) / COUNTIF($G$2:$CU$2, AJ$2)</f>
        <v>413583.20499999996</v>
      </c>
      <c r="AK8" s="28">
        <f>_xlfn.XLOOKUP(AK4, 'Cash in old version'!1:1, 'Cash in old version'!3:3) / COUNTIF($G$2:$CU$2, AK$2)</f>
        <v>413583.20499999996</v>
      </c>
      <c r="AL8" s="28">
        <f>_xlfn.XLOOKUP(AL4, 'Cash in old version'!1:1, 'Cash in old version'!3:3) / COUNTIF($G$2:$CU$2, AL$2)</f>
        <v>413583.20499999996</v>
      </c>
      <c r="AM8" s="28">
        <f>_xlfn.XLOOKUP(AM4, 'Cash in old version'!1:1, 'Cash in old version'!3:3) / COUNTIF($G$2:$CU$2, AM$2)</f>
        <v>355788.25374999997</v>
      </c>
      <c r="AN8" s="28">
        <f>_xlfn.XLOOKUP(AN4, 'Cash in old version'!1:1, 'Cash in old version'!3:3) / COUNTIF($G$2:$CU$2, AN$2)</f>
        <v>355788.25374999997</v>
      </c>
      <c r="AO8" s="28">
        <f>_xlfn.XLOOKUP(AO4, 'Cash in old version'!1:1, 'Cash in old version'!3:3) / COUNTIF($G$2:$CU$2, AO$2)</f>
        <v>355788.25374999997</v>
      </c>
      <c r="AP8" s="28">
        <f>_xlfn.XLOOKUP(AP4, 'Cash in old version'!1:1, 'Cash in old version'!3:3) / COUNTIF($G$2:$CU$2, AP$2)</f>
        <v>355788.25374999997</v>
      </c>
      <c r="AQ8" s="28">
        <f>_xlfn.XLOOKUP(AQ4, 'Cash in old version'!1:1, 'Cash in old version'!3:3) / COUNTIF($G$2:$CU$2, AQ$2)</f>
        <v>222726.3</v>
      </c>
      <c r="AR8" s="28">
        <f>_xlfn.XLOOKUP(AR4, 'Cash in old version'!1:1, 'Cash in old version'!3:3) / COUNTIF($G$2:$CU$2, AR$2)</f>
        <v>222726.3</v>
      </c>
      <c r="AS8" s="28">
        <f>_xlfn.XLOOKUP(AS4, 'Cash in old version'!1:1, 'Cash in old version'!3:3) / COUNTIF($G$2:$CU$2, AS$2)</f>
        <v>222726.3</v>
      </c>
      <c r="AT8" s="28">
        <f>_xlfn.XLOOKUP(AT4, 'Cash in old version'!1:1, 'Cash in old version'!3:3) / COUNTIF($G$2:$CU$2, AT$2)</f>
        <v>222726.3</v>
      </c>
      <c r="AU8" s="28">
        <f>_xlfn.XLOOKUP(AU4, 'Cash in old version'!1:1, 'Cash in old version'!3:3) / COUNTIF($G$2:$CU$2, AU$2)</f>
        <v>222726.3</v>
      </c>
      <c r="AV8" s="28">
        <f>_xlfn.XLOOKUP(AV4, 'Cash in old version'!1:1, 'Cash in old version'!3:3) / COUNTIF($G$2:$CU$2, AV$2)</f>
        <v>168669.76375000001</v>
      </c>
      <c r="AW8" s="28">
        <f>_xlfn.XLOOKUP(AW4, 'Cash in old version'!1:1, 'Cash in old version'!3:3) / COUNTIF($G$2:$CU$2, AW$2)</f>
        <v>168669.76375000001</v>
      </c>
      <c r="AX8" s="28">
        <f>_xlfn.XLOOKUP(AX4, 'Cash in old version'!1:1, 'Cash in old version'!3:3) / COUNTIF($G$2:$CU$2, AX$2)</f>
        <v>168669.76375000001</v>
      </c>
      <c r="AY8" s="28">
        <f>_xlfn.XLOOKUP(AY4, 'Cash in old version'!1:1, 'Cash in old version'!3:3) / COUNTIF($G$2:$CU$2, AY$2)</f>
        <v>168669.76375000001</v>
      </c>
      <c r="AZ8" s="28">
        <f>_xlfn.XLOOKUP(AZ4, 'Cash in old version'!1:1, 'Cash in old version'!3:3) / COUNTIF($G$2:$CU$2, AZ$2)</f>
        <v>100726.14749999999</v>
      </c>
      <c r="BA8" s="28">
        <f>_xlfn.XLOOKUP(BA4, 'Cash in old version'!1:1, 'Cash in old version'!3:3) / COUNTIF($G$2:$CU$2, BA$2)</f>
        <v>100726.14749999999</v>
      </c>
      <c r="BB8" s="28">
        <f>_xlfn.XLOOKUP(BB4, 'Cash in old version'!1:1, 'Cash in old version'!3:3) / COUNTIF($G$2:$CU$2, BB$2)</f>
        <v>100726.14749999999</v>
      </c>
      <c r="BC8" s="28">
        <f>_xlfn.XLOOKUP(BC4, 'Cash in old version'!1:1, 'Cash in old version'!3:3) / COUNTIF($G$2:$CU$2, BC$2)</f>
        <v>100726.14749999999</v>
      </c>
      <c r="BD8" s="28">
        <f>_xlfn.XLOOKUP(BD4, 'Cash in old version'!1:1, 'Cash in old version'!3:3) / COUNTIF($G$2:$CU$2, BD$2)</f>
        <v>133133.91860000003</v>
      </c>
      <c r="BE8" s="28">
        <f>_xlfn.XLOOKUP(BE4, 'Cash in old version'!1:1, 'Cash in old version'!3:3) / COUNTIF($G$2:$CU$2, BE$2)</f>
        <v>133133.91860000003</v>
      </c>
      <c r="BF8" s="28">
        <f>_xlfn.XLOOKUP(BF4, 'Cash in old version'!1:1, 'Cash in old version'!3:3) / COUNTIF($G$2:$CU$2, BF$2)</f>
        <v>133133.91860000003</v>
      </c>
      <c r="BG8" s="28">
        <f>_xlfn.XLOOKUP(BG4, 'Cash in old version'!1:1, 'Cash in old version'!3:3) / COUNTIF($G$2:$CU$2, BG$2)</f>
        <v>133133.91860000003</v>
      </c>
      <c r="BH8" s="28">
        <f>_xlfn.XLOOKUP(BH4, 'Cash in old version'!1:1, 'Cash in old version'!3:3) / COUNTIF($G$2:$CU$2, BH$2)</f>
        <v>133133.91860000003</v>
      </c>
      <c r="BI8" s="28">
        <f>_xlfn.XLOOKUP(BI4, 'Cash in old version'!1:1, 'Cash in old version'!3:3) / COUNTIF($G$2:$CU$2, BI$2)</f>
        <v>857127.77435000008</v>
      </c>
      <c r="BJ8" s="28">
        <f>_xlfn.XLOOKUP(BJ4, 'Cash in old version'!1:1, 'Cash in old version'!3:3) / COUNTIF($G$2:$CU$2, BJ$2)</f>
        <v>857127.77435000008</v>
      </c>
      <c r="BK8" s="28">
        <f>_xlfn.XLOOKUP(BK4, 'Cash in old version'!1:1, 'Cash in old version'!3:3) / COUNTIF($G$2:$CU$2, BK$2)</f>
        <v>857127.77435000008</v>
      </c>
      <c r="BL8" s="28">
        <f>_xlfn.XLOOKUP(BL4, 'Cash in old version'!1:1, 'Cash in old version'!3:3) / COUNTIF($G$2:$CU$2, BL$2)</f>
        <v>857127.77435000008</v>
      </c>
      <c r="BM8" s="28">
        <f>_xlfn.XLOOKUP(BM4, 'Cash in old version'!1:1, 'Cash in old version'!3:3) / COUNTIF($G$2:$CU$2, BM$2)</f>
        <v>1437228.3051875001</v>
      </c>
      <c r="BN8" s="28">
        <f>_xlfn.XLOOKUP(BN4, 'Cash in old version'!1:1, 'Cash in old version'!3:3) / COUNTIF($G$2:$CU$2, BN$2)</f>
        <v>1437228.3051875001</v>
      </c>
      <c r="BO8" s="28">
        <f>_xlfn.XLOOKUP(BO4, 'Cash in old version'!1:1, 'Cash in old version'!3:3) / COUNTIF($G$2:$CU$2, BO$2)</f>
        <v>1437228.3051875001</v>
      </c>
      <c r="BP8" s="28">
        <f>_xlfn.XLOOKUP(BP4, 'Cash in old version'!1:1, 'Cash in old version'!3:3) / COUNTIF($G$2:$CU$2, BP$2)</f>
        <v>1437228.3051875001</v>
      </c>
      <c r="BQ8" s="28">
        <f>_xlfn.XLOOKUP(BQ4, 'Cash in old version'!1:1, 'Cash in old version'!3:3) / COUNTIF($G$2:$CU$2, BQ$2)</f>
        <v>1414237.5509299999</v>
      </c>
      <c r="BR8" s="28">
        <f>_xlfn.XLOOKUP(BR4, 'Cash in old version'!1:1, 'Cash in old version'!3:3) / COUNTIF($G$2:$CU$2, BR$2)</f>
        <v>1414237.5509299999</v>
      </c>
      <c r="BS8" s="28">
        <f>_xlfn.XLOOKUP(BS4, 'Cash in old version'!1:1, 'Cash in old version'!3:3) / COUNTIF($G$2:$CU$2, BS$2)</f>
        <v>1414237.5509299999</v>
      </c>
      <c r="BT8" s="28">
        <f>_xlfn.XLOOKUP(BT4, 'Cash in old version'!1:1, 'Cash in old version'!3:3) / COUNTIF($G$2:$CU$2, BT$2)</f>
        <v>1414237.5509299999</v>
      </c>
      <c r="BU8" s="28">
        <f>_xlfn.XLOOKUP(BU4, 'Cash in old version'!1:1, 'Cash in old version'!3:3) / COUNTIF($G$2:$CU$2, BU$2)</f>
        <v>1414237.5509299999</v>
      </c>
      <c r="BV8" s="28">
        <f>_xlfn.XLOOKUP(BV4, 'Cash in old version'!1:1, 'Cash in old version'!3:3) / COUNTIF($G$2:$CU$2, BV$2)</f>
        <v>1920654.6869999999</v>
      </c>
      <c r="BW8" s="28">
        <f>_xlfn.XLOOKUP(BW4, 'Cash in old version'!1:1, 'Cash in old version'!3:3) / COUNTIF($G$2:$CU$2, BW$2)</f>
        <v>1920654.6869999999</v>
      </c>
      <c r="BX8" s="28">
        <f>_xlfn.XLOOKUP(BX4, 'Cash in old version'!1:1, 'Cash in old version'!3:3) / COUNTIF($G$2:$CU$2, BX$2)</f>
        <v>1920654.6869999999</v>
      </c>
      <c r="BY8" s="28">
        <f>_xlfn.XLOOKUP(BY4, 'Cash in old version'!1:1, 'Cash in old version'!3:3) / COUNTIF($G$2:$CU$2, BY$2)</f>
        <v>1920654.6869999999</v>
      </c>
      <c r="BZ8" s="28">
        <f>_xlfn.XLOOKUP(BZ4, 'Cash in old version'!1:1, 'Cash in old version'!3:3) / COUNTIF($G$2:$CU$2, BZ$2)</f>
        <v>2404931.2016199999</v>
      </c>
      <c r="CA8" s="28">
        <f>_xlfn.XLOOKUP(CA4, 'Cash in old version'!1:1, 'Cash in old version'!3:3) / COUNTIF($G$2:$CU$2, CA$2)</f>
        <v>2404931.2016199999</v>
      </c>
      <c r="CB8" s="28">
        <f>_xlfn.XLOOKUP(CB4, 'Cash in old version'!1:1, 'Cash in old version'!3:3) / COUNTIF($G$2:$CU$2, CB$2)</f>
        <v>2404931.2016199999</v>
      </c>
      <c r="CC8" s="28">
        <f>_xlfn.XLOOKUP(CC4, 'Cash in old version'!1:1, 'Cash in old version'!3:3) / COUNTIF($G$2:$CU$2, CC$2)</f>
        <v>2404931.2016199999</v>
      </c>
      <c r="CD8" s="28">
        <f>_xlfn.XLOOKUP(CD4, 'Cash in old version'!1:1, 'Cash in old version'!3:3) / COUNTIF($G$2:$CU$2, CD$2)</f>
        <v>2404931.2016199999</v>
      </c>
      <c r="CE8" s="28">
        <f>_xlfn.XLOOKUP(CE4, 'Cash in old version'!1:1, 'Cash in old version'!3:3) / COUNTIF($G$2:$CU$2, CE$2)</f>
        <v>3159182.1058499999</v>
      </c>
      <c r="CF8" s="28">
        <f>_xlfn.XLOOKUP(CF4, 'Cash in old version'!1:1, 'Cash in old version'!3:3) / COUNTIF($G$2:$CU$2, CF$2)</f>
        <v>3159182.1058499999</v>
      </c>
      <c r="CG8" s="28">
        <f>_xlfn.XLOOKUP(CG4, 'Cash in old version'!1:1, 'Cash in old version'!3:3) / COUNTIF($G$2:$CU$2, CG$2)</f>
        <v>3159182.1058499999</v>
      </c>
      <c r="CH8" s="28">
        <f>_xlfn.XLOOKUP(CH4, 'Cash in old version'!1:1, 'Cash in old version'!3:3) / COUNTIF($G$2:$CU$2, CH$2)</f>
        <v>3159182.1058499999</v>
      </c>
      <c r="CI8" s="28">
        <f>_xlfn.XLOOKUP(CI4, 'Cash in old version'!1:1, 'Cash in old version'!3:3) / COUNTIF($G$2:$CU$2, CI$2)</f>
        <v>3210431.5847500004</v>
      </c>
      <c r="CJ8" s="28">
        <f>_xlfn.XLOOKUP(CJ4, 'Cash in old version'!1:1, 'Cash in old version'!3:3) / COUNTIF($G$2:$CU$2, CJ$2)</f>
        <v>3210431.5847500004</v>
      </c>
      <c r="CK8" s="28">
        <f>_xlfn.XLOOKUP(CK4, 'Cash in old version'!1:1, 'Cash in old version'!3:3) / COUNTIF($G$2:$CU$2, CK$2)</f>
        <v>3210431.5847500004</v>
      </c>
      <c r="CL8" s="28">
        <f>_xlfn.XLOOKUP(CL4, 'Cash in old version'!1:1, 'Cash in old version'!3:3) / COUNTIF($G$2:$CU$2, CL$2)</f>
        <v>3210431.5847500004</v>
      </c>
      <c r="CM8" s="28">
        <f>_xlfn.XLOOKUP(CM4, 'Cash in old version'!1:1, 'Cash in old version'!3:3) / COUNTIF($G$2:$CU$2, CM$2)</f>
        <v>3778300.0955799995</v>
      </c>
      <c r="CN8" s="28">
        <f>_xlfn.XLOOKUP(CN4, 'Cash in old version'!1:1, 'Cash in old version'!3:3) / COUNTIF($G$2:$CU$2, CN$2)</f>
        <v>3778300.0955799995</v>
      </c>
      <c r="CO8" s="28">
        <f>_xlfn.XLOOKUP(CO4, 'Cash in old version'!1:1, 'Cash in old version'!3:3) / COUNTIF($G$2:$CU$2, CO$2)</f>
        <v>3778300.0955799995</v>
      </c>
      <c r="CP8" s="28">
        <f>_xlfn.XLOOKUP(CP4, 'Cash in old version'!1:1, 'Cash in old version'!3:3) / COUNTIF($G$2:$CU$2, CP$2)</f>
        <v>3778300.0955799995</v>
      </c>
      <c r="CQ8" s="28">
        <f>_xlfn.XLOOKUP(CQ4, 'Cash in old version'!1:1, 'Cash in old version'!3:3) / COUNTIF($G$2:$CU$2, CQ$2)</f>
        <v>3778300.0955799995</v>
      </c>
      <c r="CR8" s="28">
        <f>_xlfn.XLOOKUP(CR4, 'Cash in old version'!1:1, 'Cash in old version'!3:3) / COUNTIF($G$2:$CU$2, CR$2)</f>
        <v>4469033.1645475002</v>
      </c>
      <c r="CS8" s="28">
        <f>_xlfn.XLOOKUP(CS4, 'Cash in old version'!1:1, 'Cash in old version'!3:3) / COUNTIF($G$2:$CU$2, CS$2)</f>
        <v>4469033.1645475002</v>
      </c>
      <c r="CT8" s="28">
        <f>_xlfn.XLOOKUP(CT4, 'Cash in old version'!1:1, 'Cash in old version'!3:3) / COUNTIF($G$2:$CU$2, CT$2)</f>
        <v>4469033.1645475002</v>
      </c>
      <c r="CU8" s="28">
        <f>_xlfn.XLOOKUP(CU4, 'Cash in old version'!1:1, 'Cash in old version'!3:3) / COUNTIF($G$2:$CU$2, CU$2)</f>
        <v>4469033.1645475002</v>
      </c>
      <c r="CV8" s="27"/>
      <c r="CW8" s="27"/>
      <c r="CX8" s="27"/>
    </row>
    <row r="9" spans="1:102" ht="14.25" customHeight="1" x14ac:dyDescent="0.2"/>
    <row r="10" spans="1:102" ht="14.25" customHeight="1" x14ac:dyDescent="0.2"/>
    <row r="11" spans="1:102" ht="14.25" customHeight="1" x14ac:dyDescent="0.2">
      <c r="T11" s="109">
        <f>SUM(J14:AA14)</f>
        <v>1280894</v>
      </c>
    </row>
    <row r="12" spans="1:102" ht="14.25" customHeight="1" x14ac:dyDescent="0.2"/>
    <row r="13" spans="1:102" ht="14.25" customHeight="1" x14ac:dyDescent="0.2">
      <c r="I13" s="110" t="s">
        <v>508</v>
      </c>
      <c r="J13" s="110">
        <v>99000</v>
      </c>
      <c r="K13" s="110"/>
      <c r="L13" s="110">
        <v>126000</v>
      </c>
      <c r="M13" s="110"/>
      <c r="N13" s="110"/>
      <c r="O13" s="110"/>
      <c r="P13" s="110"/>
      <c r="Q13" s="110"/>
      <c r="R13" s="110"/>
      <c r="S13" s="110"/>
      <c r="T13" s="110"/>
    </row>
    <row r="14" spans="1:102" ht="14.25" customHeight="1" x14ac:dyDescent="0.2">
      <c r="I14" s="111" t="s">
        <v>509</v>
      </c>
      <c r="J14" s="111">
        <f>334894/2</f>
        <v>167447</v>
      </c>
      <c r="K14" s="111"/>
      <c r="L14" s="111">
        <f>334894/2</f>
        <v>167447</v>
      </c>
      <c r="M14" s="111"/>
      <c r="N14" s="111">
        <v>189000</v>
      </c>
      <c r="O14" s="111"/>
      <c r="P14" s="111">
        <v>189000</v>
      </c>
      <c r="Q14" s="111"/>
      <c r="R14" s="111">
        <v>284000</v>
      </c>
      <c r="S14" s="111"/>
      <c r="T14" s="111">
        <v>284000</v>
      </c>
    </row>
    <row r="15" spans="1:102" ht="14.25" customHeight="1" x14ac:dyDescent="0.2">
      <c r="I15" s="1" t="s">
        <v>510</v>
      </c>
      <c r="J15" s="1">
        <f>J13-J14</f>
        <v>-68447</v>
      </c>
      <c r="L15" s="1">
        <f>L13-L14</f>
        <v>-41447</v>
      </c>
    </row>
    <row r="16" spans="1:102" ht="14.25" customHeight="1" x14ac:dyDescent="0.2">
      <c r="I16" s="1"/>
      <c r="N16" s="1"/>
      <c r="P16" s="1"/>
    </row>
    <row r="17" spans="1:102" ht="14.25" customHeight="1" x14ac:dyDescent="0.2">
      <c r="I17" s="111" t="s">
        <v>511</v>
      </c>
      <c r="J17" s="111"/>
      <c r="K17" s="111"/>
      <c r="L17" s="111"/>
      <c r="M17" s="111"/>
      <c r="N17" s="111">
        <v>150000</v>
      </c>
      <c r="O17" s="111"/>
      <c r="P17" s="111">
        <v>170000</v>
      </c>
      <c r="Q17" s="111"/>
      <c r="R17" s="111">
        <v>250000</v>
      </c>
      <c r="S17" s="111"/>
      <c r="T17" s="111">
        <v>250000</v>
      </c>
      <c r="V17" s="1">
        <v>420000</v>
      </c>
      <c r="X17" s="1">
        <v>430000</v>
      </c>
      <c r="Z17" s="1">
        <v>450000</v>
      </c>
      <c r="AB17" s="1">
        <v>450000</v>
      </c>
      <c r="AD17" s="1">
        <v>500000</v>
      </c>
      <c r="AF17" s="1">
        <v>500000</v>
      </c>
      <c r="AH17" s="1">
        <v>500000</v>
      </c>
    </row>
    <row r="18" spans="1:102" ht="14.25" customHeight="1" x14ac:dyDescent="0.2">
      <c r="I18" s="1" t="s">
        <v>388</v>
      </c>
      <c r="J18" s="1">
        <v>500</v>
      </c>
      <c r="K18" s="1">
        <v>500</v>
      </c>
      <c r="L18" s="1">
        <v>500</v>
      </c>
      <c r="M18" s="1">
        <f t="shared" ref="M18:P18" si="4">3200/4</f>
        <v>800</v>
      </c>
      <c r="N18" s="1">
        <f t="shared" si="4"/>
        <v>800</v>
      </c>
      <c r="O18" s="1">
        <f t="shared" si="4"/>
        <v>800</v>
      </c>
      <c r="P18" s="1">
        <f t="shared" si="4"/>
        <v>800</v>
      </c>
      <c r="Q18" s="1">
        <v>1250</v>
      </c>
      <c r="R18" s="1">
        <v>1250</v>
      </c>
      <c r="S18" s="1">
        <v>1250</v>
      </c>
      <c r="T18" s="1">
        <v>1250</v>
      </c>
      <c r="U18" s="1">
        <v>1250</v>
      </c>
    </row>
    <row r="19" spans="1:102" ht="14.25" customHeight="1" x14ac:dyDescent="0.2">
      <c r="I19" s="1" t="s">
        <v>512</v>
      </c>
      <c r="L19" s="1">
        <v>250</v>
      </c>
      <c r="M19" s="1">
        <v>250</v>
      </c>
      <c r="N19" s="1">
        <v>250</v>
      </c>
      <c r="O19" s="1">
        <v>250</v>
      </c>
      <c r="P19" s="1">
        <v>250</v>
      </c>
      <c r="Q19" s="1">
        <v>250</v>
      </c>
      <c r="R19" s="1">
        <v>350</v>
      </c>
      <c r="S19" s="1">
        <v>350</v>
      </c>
      <c r="T19" s="1">
        <v>350</v>
      </c>
      <c r="U19" s="1">
        <v>350</v>
      </c>
      <c r="V19" s="1">
        <v>350</v>
      </c>
      <c r="W19" s="1">
        <v>350</v>
      </c>
      <c r="X19" s="1">
        <v>400</v>
      </c>
      <c r="Y19" s="1">
        <v>400</v>
      </c>
      <c r="Z19" s="1">
        <v>400</v>
      </c>
      <c r="AA19" s="1">
        <v>400</v>
      </c>
      <c r="AB19" s="1">
        <v>400</v>
      </c>
      <c r="AC19" s="1">
        <v>400</v>
      </c>
      <c r="AD19" s="1">
        <v>400</v>
      </c>
    </row>
    <row r="20" spans="1:102" ht="14.25" customHeight="1" x14ac:dyDescent="0.2"/>
    <row r="21" spans="1:102" ht="14.25" customHeight="1" x14ac:dyDescent="0.2">
      <c r="T21" s="1">
        <f>SUM(J17:T17)</f>
        <v>820000</v>
      </c>
    </row>
    <row r="22" spans="1:102" ht="14.25" customHeight="1" x14ac:dyDescent="0.2">
      <c r="T22" s="1">
        <f>J13+L13</f>
        <v>225000</v>
      </c>
    </row>
    <row r="23" spans="1:102" ht="14.25" customHeight="1" x14ac:dyDescent="0.2">
      <c r="T23" s="109">
        <f>SUM(T21:T22)</f>
        <v>1045000</v>
      </c>
    </row>
    <row r="24" spans="1:102" ht="14.25" customHeight="1" x14ac:dyDescent="0.2">
      <c r="S24" s="1" t="s">
        <v>513</v>
      </c>
      <c r="Z24" s="1" t="s">
        <v>514</v>
      </c>
    </row>
    <row r="25" spans="1:102" ht="14.25" customHeight="1" x14ac:dyDescent="0.2">
      <c r="S25" s="112">
        <v>-464000</v>
      </c>
      <c r="T25" s="112">
        <f>T23-T11</f>
        <v>-235894</v>
      </c>
      <c r="Z25" s="113" t="s">
        <v>515</v>
      </c>
    </row>
    <row r="26" spans="1:102" ht="14.25" customHeight="1" x14ac:dyDescent="0.2"/>
    <row r="27" spans="1:102" ht="14.25" customHeight="1" x14ac:dyDescent="0.2"/>
    <row r="28" spans="1:102" ht="14.25" customHeight="1" x14ac:dyDescent="0.2"/>
    <row r="29" spans="1:102" ht="14.25" customHeight="1" x14ac:dyDescent="0.2"/>
    <row r="30" spans="1:102" ht="14.25" customHeight="1" x14ac:dyDescent="0.2">
      <c r="A30" s="27"/>
      <c r="B30" s="27"/>
      <c r="C30" s="27"/>
      <c r="D30" s="27"/>
      <c r="E30" s="28" t="s">
        <v>516</v>
      </c>
      <c r="F30" s="28"/>
      <c r="G30" s="28"/>
      <c r="H30" s="28"/>
      <c r="I30" s="28">
        <f t="shared" ref="I30:L30" si="5">SUM($J$13:$L$13)/4</f>
        <v>56250</v>
      </c>
      <c r="J30" s="28">
        <f t="shared" si="5"/>
        <v>56250</v>
      </c>
      <c r="K30" s="28">
        <f t="shared" si="5"/>
        <v>56250</v>
      </c>
      <c r="L30" s="28">
        <f t="shared" si="5"/>
        <v>56250</v>
      </c>
      <c r="M30" s="28">
        <f t="shared" ref="M30:P30" si="6">SUM($M$17:$P$17)/4</f>
        <v>80000</v>
      </c>
      <c r="N30" s="28">
        <f t="shared" si="6"/>
        <v>80000</v>
      </c>
      <c r="O30" s="28">
        <f t="shared" si="6"/>
        <v>80000</v>
      </c>
      <c r="P30" s="28">
        <f t="shared" si="6"/>
        <v>80000</v>
      </c>
      <c r="Q30" s="28">
        <f t="shared" ref="Q30:T30" si="7">SUM($Q$17:$T$17)/4</f>
        <v>125000</v>
      </c>
      <c r="R30" s="28">
        <f t="shared" si="7"/>
        <v>125000</v>
      </c>
      <c r="S30" s="28">
        <f t="shared" si="7"/>
        <v>125000</v>
      </c>
      <c r="T30" s="28">
        <f t="shared" si="7"/>
        <v>125000</v>
      </c>
      <c r="U30" s="28">
        <f t="shared" ref="U30:X30" si="8">SUM($U$17:$X$17)/4</f>
        <v>212500</v>
      </c>
      <c r="V30" s="28">
        <f t="shared" si="8"/>
        <v>212500</v>
      </c>
      <c r="W30" s="28">
        <f t="shared" si="8"/>
        <v>212500</v>
      </c>
      <c r="X30" s="28">
        <f t="shared" si="8"/>
        <v>212500</v>
      </c>
      <c r="Y30" s="28">
        <f t="shared" ref="Y30:AB30" si="9">SUM($Y$17:$AB$17)/4</f>
        <v>225000</v>
      </c>
      <c r="Z30" s="28">
        <f t="shared" si="9"/>
        <v>225000</v>
      </c>
      <c r="AA30" s="28">
        <f t="shared" si="9"/>
        <v>225000</v>
      </c>
      <c r="AB30" s="28">
        <f t="shared" si="9"/>
        <v>225000</v>
      </c>
      <c r="AC30" s="28">
        <f t="shared" ref="AC30:AF30" si="10">SUM($AC$17:$AF$17)/4</f>
        <v>250000</v>
      </c>
      <c r="AD30" s="28">
        <f t="shared" si="10"/>
        <v>250000</v>
      </c>
      <c r="AE30" s="28">
        <f t="shared" si="10"/>
        <v>250000</v>
      </c>
      <c r="AF30" s="28">
        <f t="shared" si="10"/>
        <v>250000</v>
      </c>
      <c r="AG30" s="28">
        <f t="shared" ref="AG30:AH30" si="11">SUM($AG$17:$AH$17)/4</f>
        <v>125000</v>
      </c>
      <c r="AH30" s="28">
        <f t="shared" si="11"/>
        <v>125000</v>
      </c>
      <c r="AI30" s="28">
        <f>_xlfn.XLOOKUP(AI26, 'Cash in old version'!23:23, 'Cash in old version'!25:25) / COUNTIF($G$2:$CU$2, AI$2)</f>
        <v>0</v>
      </c>
      <c r="AJ30" s="28">
        <f>_xlfn.XLOOKUP(AJ26, 'Cash in old version'!23:23, 'Cash in old version'!25:25) / COUNTIF($G$2:$CU$2, AJ$2)</f>
        <v>0</v>
      </c>
      <c r="AK30" s="28">
        <f>_xlfn.XLOOKUP(AK26, 'Cash in old version'!23:23, 'Cash in old version'!25:25) / COUNTIF($G$2:$CU$2, AK$2)</f>
        <v>0</v>
      </c>
      <c r="AL30" s="28">
        <f>_xlfn.XLOOKUP(AL26, 'Cash in old version'!23:23, 'Cash in old version'!25:25) / COUNTIF($G$2:$CU$2, AL$2)</f>
        <v>0</v>
      </c>
      <c r="AM30" s="28">
        <f>_xlfn.XLOOKUP(AM26, 'Cash in old version'!23:23, 'Cash in old version'!25:25) / COUNTIF($G$2:$CU$2, AM$2)</f>
        <v>0</v>
      </c>
      <c r="AN30" s="28">
        <f>_xlfn.XLOOKUP(AN26, 'Cash in old version'!23:23, 'Cash in old version'!25:25) / COUNTIF($G$2:$CU$2, AN$2)</f>
        <v>0</v>
      </c>
      <c r="AO30" s="28">
        <f>_xlfn.XLOOKUP(AO26, 'Cash in old version'!23:23, 'Cash in old version'!25:25) / COUNTIF($G$2:$CU$2, AO$2)</f>
        <v>0</v>
      </c>
      <c r="AP30" s="28">
        <f>_xlfn.XLOOKUP(AP26, 'Cash in old version'!23:23, 'Cash in old version'!25:25) / COUNTIF($G$2:$CU$2, AP$2)</f>
        <v>0</v>
      </c>
      <c r="AQ30" s="28">
        <f>_xlfn.XLOOKUP(AQ26, 'Cash in old version'!23:23, 'Cash in old version'!25:25) / COUNTIF($G$2:$CU$2, AQ$2)</f>
        <v>0</v>
      </c>
      <c r="AR30" s="28">
        <f>_xlfn.XLOOKUP(AR26, 'Cash in old version'!23:23, 'Cash in old version'!25:25) / COUNTIF($G$2:$CU$2, AR$2)</f>
        <v>0</v>
      </c>
      <c r="AS30" s="28">
        <f>_xlfn.XLOOKUP(AS26, 'Cash in old version'!23:23, 'Cash in old version'!25:25) / COUNTIF($G$2:$CU$2, AS$2)</f>
        <v>0</v>
      </c>
      <c r="AT30" s="28">
        <f>_xlfn.XLOOKUP(AT26, 'Cash in old version'!23:23, 'Cash in old version'!25:25) / COUNTIF($G$2:$CU$2, AT$2)</f>
        <v>0</v>
      </c>
      <c r="AU30" s="28">
        <f>_xlfn.XLOOKUP(AU26, 'Cash in old version'!23:23, 'Cash in old version'!25:25) / COUNTIF($G$2:$CU$2, AU$2)</f>
        <v>0</v>
      </c>
      <c r="AV30" s="28">
        <f>_xlfn.XLOOKUP(AV26, 'Cash in old version'!23:23, 'Cash in old version'!25:25) / COUNTIF($G$2:$CU$2, AV$2)</f>
        <v>0</v>
      </c>
      <c r="AW30" s="28">
        <f>_xlfn.XLOOKUP(AW26, 'Cash in old version'!23:23, 'Cash in old version'!25:25) / COUNTIF($G$2:$CU$2, AW$2)</f>
        <v>0</v>
      </c>
      <c r="AX30" s="28">
        <f>_xlfn.XLOOKUP(AX26, 'Cash in old version'!23:23, 'Cash in old version'!25:25) / COUNTIF($G$2:$CU$2, AX$2)</f>
        <v>0</v>
      </c>
      <c r="AY30" s="28">
        <f>_xlfn.XLOOKUP(AY26, 'Cash in old version'!23:23, 'Cash in old version'!25:25) / COUNTIF($G$2:$CU$2, AY$2)</f>
        <v>0</v>
      </c>
      <c r="AZ30" s="28">
        <f>_xlfn.XLOOKUP(AZ26, 'Cash in old version'!23:23, 'Cash in old version'!25:25) / COUNTIF($G$2:$CU$2, AZ$2)</f>
        <v>0</v>
      </c>
      <c r="BA30" s="28">
        <f>_xlfn.XLOOKUP(BA26, 'Cash in old version'!23:23, 'Cash in old version'!25:25) / COUNTIF($G$2:$CU$2, BA$2)</f>
        <v>0</v>
      </c>
      <c r="BB30" s="28">
        <f>_xlfn.XLOOKUP(BB26, 'Cash in old version'!23:23, 'Cash in old version'!25:25) / COUNTIF($G$2:$CU$2, BB$2)</f>
        <v>0</v>
      </c>
      <c r="BC30" s="28">
        <f>_xlfn.XLOOKUP(BC26, 'Cash in old version'!23:23, 'Cash in old version'!25:25) / COUNTIF($G$2:$CU$2, BC$2)</f>
        <v>0</v>
      </c>
      <c r="BD30" s="28">
        <f>_xlfn.XLOOKUP(BD26, 'Cash in old version'!23:23, 'Cash in old version'!25:25) / COUNTIF($G$2:$CU$2, BD$2)</f>
        <v>0</v>
      </c>
      <c r="BE30" s="28">
        <f>_xlfn.XLOOKUP(BE26, 'Cash in old version'!23:23, 'Cash in old version'!25:25) / COUNTIF($G$2:$CU$2, BE$2)</f>
        <v>0</v>
      </c>
      <c r="BF30" s="28">
        <f>_xlfn.XLOOKUP(BF26, 'Cash in old version'!23:23, 'Cash in old version'!25:25) / COUNTIF($G$2:$CU$2, BF$2)</f>
        <v>0</v>
      </c>
      <c r="BG30" s="28">
        <f>_xlfn.XLOOKUP(BG26, 'Cash in old version'!23:23, 'Cash in old version'!25:25) / COUNTIF($G$2:$CU$2, BG$2)</f>
        <v>0</v>
      </c>
      <c r="BH30" s="28">
        <f>_xlfn.XLOOKUP(BH26, 'Cash in old version'!23:23, 'Cash in old version'!25:25) / COUNTIF($G$2:$CU$2, BH$2)</f>
        <v>0</v>
      </c>
      <c r="BI30" s="28">
        <f>_xlfn.XLOOKUP(BI26, 'Cash in old version'!23:23, 'Cash in old version'!25:25) / COUNTIF($G$2:$CU$2, BI$2)</f>
        <v>0</v>
      </c>
      <c r="BJ30" s="28">
        <f>_xlfn.XLOOKUP(BJ26, 'Cash in old version'!23:23, 'Cash in old version'!25:25) / COUNTIF($G$2:$CU$2, BJ$2)</f>
        <v>0</v>
      </c>
      <c r="BK30" s="28">
        <f>_xlfn.XLOOKUP(BK26, 'Cash in old version'!23:23, 'Cash in old version'!25:25) / COUNTIF($G$2:$CU$2, BK$2)</f>
        <v>0</v>
      </c>
      <c r="BL30" s="28">
        <f>_xlfn.XLOOKUP(BL26, 'Cash in old version'!23:23, 'Cash in old version'!25:25) / COUNTIF($G$2:$CU$2, BL$2)</f>
        <v>0</v>
      </c>
      <c r="BM30" s="28">
        <f>_xlfn.XLOOKUP(BM26, 'Cash in old version'!23:23, 'Cash in old version'!25:25) / COUNTIF($G$2:$CU$2, BM$2)</f>
        <v>0</v>
      </c>
      <c r="BN30" s="28">
        <f>_xlfn.XLOOKUP(BN26, 'Cash in old version'!23:23, 'Cash in old version'!25:25) / COUNTIF($G$2:$CU$2, BN$2)</f>
        <v>0</v>
      </c>
      <c r="BO30" s="28">
        <f>_xlfn.XLOOKUP(BO26, 'Cash in old version'!23:23, 'Cash in old version'!25:25) / COUNTIF($G$2:$CU$2, BO$2)</f>
        <v>0</v>
      </c>
      <c r="BP30" s="28">
        <f>_xlfn.XLOOKUP(BP26, 'Cash in old version'!23:23, 'Cash in old version'!25:25) / COUNTIF($G$2:$CU$2, BP$2)</f>
        <v>0</v>
      </c>
      <c r="BQ30" s="28">
        <f>_xlfn.XLOOKUP(BQ26, 'Cash in old version'!23:23, 'Cash in old version'!25:25) / COUNTIF($G$2:$CU$2, BQ$2)</f>
        <v>0</v>
      </c>
      <c r="BR30" s="28">
        <f>_xlfn.XLOOKUP(BR26, 'Cash in old version'!23:23, 'Cash in old version'!25:25) / COUNTIF($G$2:$CU$2, BR$2)</f>
        <v>0</v>
      </c>
      <c r="BS30" s="28">
        <f>_xlfn.XLOOKUP(BS26, 'Cash in old version'!23:23, 'Cash in old version'!25:25) / COUNTIF($G$2:$CU$2, BS$2)</f>
        <v>0</v>
      </c>
      <c r="BT30" s="28">
        <f>_xlfn.XLOOKUP(BT26, 'Cash in old version'!23:23, 'Cash in old version'!25:25) / COUNTIF($G$2:$CU$2, BT$2)</f>
        <v>0</v>
      </c>
      <c r="BU30" s="28">
        <f>_xlfn.XLOOKUP(BU26, 'Cash in old version'!23:23, 'Cash in old version'!25:25) / COUNTIF($G$2:$CU$2, BU$2)</f>
        <v>0</v>
      </c>
      <c r="BV30" s="28">
        <f>_xlfn.XLOOKUP(BV26, 'Cash in old version'!23:23, 'Cash in old version'!25:25) / COUNTIF($G$2:$CU$2, BV$2)</f>
        <v>0</v>
      </c>
      <c r="BW30" s="28">
        <f>_xlfn.XLOOKUP(BW26, 'Cash in old version'!23:23, 'Cash in old version'!25:25) / COUNTIF($G$2:$CU$2, BW$2)</f>
        <v>0</v>
      </c>
      <c r="BX30" s="28">
        <f>_xlfn.XLOOKUP(BX26, 'Cash in old version'!23:23, 'Cash in old version'!25:25) / COUNTIF($G$2:$CU$2, BX$2)</f>
        <v>0</v>
      </c>
      <c r="BY30" s="28">
        <f>_xlfn.XLOOKUP(BY26, 'Cash in old version'!23:23, 'Cash in old version'!25:25) / COUNTIF($G$2:$CU$2, BY$2)</f>
        <v>0</v>
      </c>
      <c r="BZ30" s="28">
        <f>_xlfn.XLOOKUP(BZ26, 'Cash in old version'!23:23, 'Cash in old version'!25:25) / COUNTIF($G$2:$CU$2, BZ$2)</f>
        <v>0</v>
      </c>
      <c r="CA30" s="28">
        <f>_xlfn.XLOOKUP(CA26, 'Cash in old version'!23:23, 'Cash in old version'!25:25) / COUNTIF($G$2:$CU$2, CA$2)</f>
        <v>0</v>
      </c>
      <c r="CB30" s="28">
        <f>_xlfn.XLOOKUP(CB26, 'Cash in old version'!23:23, 'Cash in old version'!25:25) / COUNTIF($G$2:$CU$2, CB$2)</f>
        <v>0</v>
      </c>
      <c r="CC30" s="28">
        <f>_xlfn.XLOOKUP(CC26, 'Cash in old version'!23:23, 'Cash in old version'!25:25) / COUNTIF($G$2:$CU$2, CC$2)</f>
        <v>0</v>
      </c>
      <c r="CD30" s="28">
        <f>_xlfn.XLOOKUP(CD26, 'Cash in old version'!23:23, 'Cash in old version'!25:25) / COUNTIF($G$2:$CU$2, CD$2)</f>
        <v>0</v>
      </c>
      <c r="CE30" s="28">
        <f>_xlfn.XLOOKUP(CE26, 'Cash in old version'!23:23, 'Cash in old version'!25:25) / COUNTIF($G$2:$CU$2, CE$2)</f>
        <v>0</v>
      </c>
      <c r="CF30" s="28">
        <f>_xlfn.XLOOKUP(CF26, 'Cash in old version'!23:23, 'Cash in old version'!25:25) / COUNTIF($G$2:$CU$2, CF$2)</f>
        <v>0</v>
      </c>
      <c r="CG30" s="28">
        <f>_xlfn.XLOOKUP(CG26, 'Cash in old version'!23:23, 'Cash in old version'!25:25) / COUNTIF($G$2:$CU$2, CG$2)</f>
        <v>0</v>
      </c>
      <c r="CH30" s="28">
        <f>_xlfn.XLOOKUP(CH26, 'Cash in old version'!23:23, 'Cash in old version'!25:25) / COUNTIF($G$2:$CU$2, CH$2)</f>
        <v>0</v>
      </c>
      <c r="CI30" s="28">
        <f>_xlfn.XLOOKUP(CI26, 'Cash in old version'!23:23, 'Cash in old version'!25:25) / COUNTIF($G$2:$CU$2, CI$2)</f>
        <v>0</v>
      </c>
      <c r="CJ30" s="28">
        <f>_xlfn.XLOOKUP(CJ26, 'Cash in old version'!23:23, 'Cash in old version'!25:25) / COUNTIF($G$2:$CU$2, CJ$2)</f>
        <v>0</v>
      </c>
      <c r="CK30" s="28">
        <f>_xlfn.XLOOKUP(CK26, 'Cash in old version'!23:23, 'Cash in old version'!25:25) / COUNTIF($G$2:$CU$2, CK$2)</f>
        <v>0</v>
      </c>
      <c r="CL30" s="28">
        <f>_xlfn.XLOOKUP(CL26, 'Cash in old version'!23:23, 'Cash in old version'!25:25) / COUNTIF($G$2:$CU$2, CL$2)</f>
        <v>0</v>
      </c>
      <c r="CM30" s="28">
        <f>_xlfn.XLOOKUP(CM26, 'Cash in old version'!23:23, 'Cash in old version'!25:25) / COUNTIF($G$2:$CU$2, CM$2)</f>
        <v>0</v>
      </c>
      <c r="CN30" s="28">
        <f>_xlfn.XLOOKUP(CN26, 'Cash in old version'!23:23, 'Cash in old version'!25:25) / COUNTIF($G$2:$CU$2, CN$2)</f>
        <v>0</v>
      </c>
      <c r="CO30" s="28">
        <f>_xlfn.XLOOKUP(CO26, 'Cash in old version'!23:23, 'Cash in old version'!25:25) / COUNTIF($G$2:$CU$2, CO$2)</f>
        <v>0</v>
      </c>
      <c r="CP30" s="28">
        <f>_xlfn.XLOOKUP(CP26, 'Cash in old version'!23:23, 'Cash in old version'!25:25) / COUNTIF($G$2:$CU$2, CP$2)</f>
        <v>0</v>
      </c>
      <c r="CQ30" s="28">
        <f>_xlfn.XLOOKUP(CQ26, 'Cash in old version'!23:23, 'Cash in old version'!25:25) / COUNTIF($G$2:$CU$2, CQ$2)</f>
        <v>0</v>
      </c>
      <c r="CR30" s="28">
        <f>_xlfn.XLOOKUP(CR26, 'Cash in old version'!23:23, 'Cash in old version'!25:25) / COUNTIF($G$2:$CU$2, CR$2)</f>
        <v>0</v>
      </c>
      <c r="CS30" s="28">
        <f>_xlfn.XLOOKUP(CS26,'Cash in old version'!23:23,'Cash in old version'!25:25)/COUNTIF($G$2:$CU$2,CS$2)</f>
        <v>0</v>
      </c>
      <c r="CT30" s="28">
        <f>_xlfn.XLOOKUP(CT26,'Cash in old version'!23:23,'Cash in old version'!25:25)/COUNTIF($G$2:$CU$2,CT$2)</f>
        <v>0</v>
      </c>
      <c r="CU30" s="28">
        <f>_xlfn.XLOOKUP(CU26,'Cash in old version'!23:23,'Cash in old version'!25:25)/COUNTIF($G$2:$CU$2,CU$2)</f>
        <v>0</v>
      </c>
      <c r="CV30" s="27"/>
      <c r="CW30" s="27"/>
      <c r="CX30" s="27"/>
    </row>
    <row r="31" spans="1:102" ht="14.25" customHeight="1" x14ac:dyDescent="0.2"/>
    <row r="32" spans="1:10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row r="1001" ht="14.25" customHeight="1" x14ac:dyDescent="0.2"/>
    <row r="1002" ht="14.25" customHeight="1" x14ac:dyDescent="0.2"/>
    <row r="1003" ht="14.25" customHeight="1" x14ac:dyDescent="0.2"/>
    <row r="1004" ht="14.25" customHeight="1" x14ac:dyDescent="0.2"/>
  </sheetData>
  <pageMargins left="0.7" right="0.7" top="0.75" bottom="0.75" header="0" footer="0"/>
  <pageSetup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EE0000"/>
  </sheetPr>
  <dimension ref="A1:AE1000"/>
  <sheetViews>
    <sheetView workbookViewId="0">
      <selection activeCell="A14" sqref="A14"/>
    </sheetView>
  </sheetViews>
  <sheetFormatPr baseColWidth="10" defaultColWidth="14.5" defaultRowHeight="15" customHeight="1" x14ac:dyDescent="0.2"/>
  <cols>
    <col min="1" max="1" width="30.1640625" customWidth="1"/>
    <col min="2" max="2" width="10.5" customWidth="1"/>
    <col min="3" max="7" width="11" customWidth="1"/>
    <col min="8" max="8" width="12.6640625" customWidth="1"/>
    <col min="9" max="13" width="11" customWidth="1"/>
    <col min="14" max="19" width="12.6640625" customWidth="1"/>
    <col min="20" max="22" width="11" customWidth="1"/>
    <col min="23" max="26" width="12.6640625" customWidth="1"/>
    <col min="27" max="31" width="14" customWidth="1"/>
  </cols>
  <sheetData>
    <row r="1" spans="1:31" ht="14.25" customHeight="1" x14ac:dyDescent="0.2">
      <c r="B1" s="74">
        <f t="shared" ref="B1:AE1" si="0">EOMONTH(B2,0)</f>
        <v>45504</v>
      </c>
      <c r="C1" s="74">
        <f t="shared" si="0"/>
        <v>45535</v>
      </c>
      <c r="D1" s="74">
        <f t="shared" si="0"/>
        <v>45565</v>
      </c>
      <c r="E1" s="74">
        <f t="shared" si="0"/>
        <v>45596</v>
      </c>
      <c r="F1" s="74">
        <f t="shared" si="0"/>
        <v>45626</v>
      </c>
      <c r="G1" s="74">
        <f t="shared" si="0"/>
        <v>45657</v>
      </c>
      <c r="H1" s="74">
        <f t="shared" si="0"/>
        <v>45688</v>
      </c>
      <c r="I1" s="74">
        <f t="shared" si="0"/>
        <v>45716</v>
      </c>
      <c r="J1" s="74">
        <f t="shared" si="0"/>
        <v>45747</v>
      </c>
      <c r="K1" s="74">
        <f t="shared" si="0"/>
        <v>45777</v>
      </c>
      <c r="L1" s="74">
        <f t="shared" si="0"/>
        <v>45808</v>
      </c>
      <c r="M1" s="74">
        <f t="shared" si="0"/>
        <v>45838</v>
      </c>
      <c r="N1" s="74">
        <f t="shared" si="0"/>
        <v>45869</v>
      </c>
      <c r="O1" s="74">
        <f t="shared" si="0"/>
        <v>45900</v>
      </c>
      <c r="P1" s="74">
        <f t="shared" si="0"/>
        <v>45930</v>
      </c>
      <c r="Q1" s="74">
        <f t="shared" si="0"/>
        <v>45961</v>
      </c>
      <c r="R1" s="74">
        <f t="shared" si="0"/>
        <v>45991</v>
      </c>
      <c r="S1" s="74">
        <f t="shared" si="0"/>
        <v>46022</v>
      </c>
      <c r="T1" s="74">
        <f t="shared" si="0"/>
        <v>46053</v>
      </c>
      <c r="U1" s="74">
        <f t="shared" si="0"/>
        <v>46081</v>
      </c>
      <c r="V1" s="74">
        <f t="shared" si="0"/>
        <v>46112</v>
      </c>
      <c r="W1" s="74">
        <f t="shared" si="0"/>
        <v>46142</v>
      </c>
      <c r="X1" s="74">
        <f t="shared" si="0"/>
        <v>46173</v>
      </c>
      <c r="Y1" s="74">
        <f t="shared" si="0"/>
        <v>46203</v>
      </c>
      <c r="Z1" s="74">
        <f t="shared" si="0"/>
        <v>46234</v>
      </c>
      <c r="AA1" s="74">
        <f t="shared" si="0"/>
        <v>46265</v>
      </c>
      <c r="AB1" s="74">
        <f t="shared" si="0"/>
        <v>46295</v>
      </c>
      <c r="AC1" s="74">
        <f t="shared" si="0"/>
        <v>46326</v>
      </c>
      <c r="AD1" s="74">
        <f t="shared" si="0"/>
        <v>46356</v>
      </c>
      <c r="AE1" s="74">
        <f t="shared" si="0"/>
        <v>46387</v>
      </c>
    </row>
    <row r="2" spans="1:31" ht="14.25" customHeight="1" x14ac:dyDescent="0.2">
      <c r="A2" s="116" t="s">
        <v>517</v>
      </c>
      <c r="B2" s="117">
        <v>45474</v>
      </c>
      <c r="C2" s="117">
        <v>45505</v>
      </c>
      <c r="D2" s="117">
        <v>45536</v>
      </c>
      <c r="E2" s="117">
        <v>45566</v>
      </c>
      <c r="F2" s="117">
        <v>45597</v>
      </c>
      <c r="G2" s="117">
        <v>45627</v>
      </c>
      <c r="H2" s="117">
        <v>45658</v>
      </c>
      <c r="I2" s="117">
        <v>45689</v>
      </c>
      <c r="J2" s="117">
        <v>45717</v>
      </c>
      <c r="K2" s="117">
        <v>45748</v>
      </c>
      <c r="L2" s="117">
        <v>45778</v>
      </c>
      <c r="M2" s="117">
        <v>45809</v>
      </c>
      <c r="N2" s="117">
        <v>45839</v>
      </c>
      <c r="O2" s="117">
        <v>45870</v>
      </c>
      <c r="P2" s="117">
        <v>45901</v>
      </c>
      <c r="Q2" s="117">
        <v>45931</v>
      </c>
      <c r="R2" s="117">
        <v>45962</v>
      </c>
      <c r="S2" s="117">
        <v>45992</v>
      </c>
      <c r="T2" s="117">
        <v>46023</v>
      </c>
      <c r="U2" s="117">
        <v>46054</v>
      </c>
      <c r="V2" s="117">
        <v>46082</v>
      </c>
      <c r="W2" s="117">
        <v>46113</v>
      </c>
      <c r="X2" s="117">
        <v>46143</v>
      </c>
      <c r="Y2" s="117">
        <v>46174</v>
      </c>
      <c r="Z2" s="117">
        <v>46204</v>
      </c>
      <c r="AA2" s="117">
        <v>46235</v>
      </c>
      <c r="AB2" s="117">
        <v>46266</v>
      </c>
      <c r="AC2" s="117">
        <v>46296</v>
      </c>
      <c r="AD2" s="117">
        <v>46327</v>
      </c>
      <c r="AE2" s="117">
        <v>46357</v>
      </c>
    </row>
    <row r="3" spans="1:31" ht="14.25" customHeight="1" x14ac:dyDescent="0.2">
      <c r="A3" s="118" t="s">
        <v>518</v>
      </c>
      <c r="B3" s="119">
        <v>14249.25</v>
      </c>
      <c r="C3" s="119">
        <v>118198.77</v>
      </c>
      <c r="D3" s="119">
        <v>155821.80499999999</v>
      </c>
      <c r="E3" s="119">
        <v>106771.4235</v>
      </c>
      <c r="F3" s="119">
        <v>214702.492</v>
      </c>
      <c r="G3" s="119">
        <v>362743.10325000004</v>
      </c>
      <c r="H3" s="119">
        <v>1168411.9809000001</v>
      </c>
      <c r="I3" s="119">
        <v>327853.36695</v>
      </c>
      <c r="J3" s="119">
        <v>388914.49230000004</v>
      </c>
      <c r="K3" s="119">
        <v>464044.58149999997</v>
      </c>
      <c r="L3" s="119">
        <v>501751.20980000001</v>
      </c>
      <c r="M3" s="119">
        <v>788495.25579999993</v>
      </c>
      <c r="N3" s="119">
        <v>1243628.1910000001</v>
      </c>
      <c r="O3" s="119">
        <v>1594465.82</v>
      </c>
      <c r="P3" s="119">
        <v>1705964.3900000001</v>
      </c>
      <c r="Q3" s="119">
        <v>1654332.8199999998</v>
      </c>
      <c r="R3" s="119">
        <v>1423153.0149999999</v>
      </c>
      <c r="S3" s="119">
        <v>1113631.5</v>
      </c>
      <c r="T3" s="119">
        <v>674679.05500000005</v>
      </c>
      <c r="U3" s="119">
        <v>402904.58999999997</v>
      </c>
      <c r="V3" s="119">
        <v>665669.59300000011</v>
      </c>
      <c r="W3" s="119">
        <v>3428511.0974000003</v>
      </c>
      <c r="X3" s="119">
        <v>5748913.2207500003</v>
      </c>
      <c r="Y3" s="119">
        <v>7071187.7546499996</v>
      </c>
      <c r="Z3" s="119">
        <v>7682618.7479999997</v>
      </c>
      <c r="AA3" s="119">
        <v>12024656.008099999</v>
      </c>
      <c r="AB3" s="119">
        <v>12636728.4234</v>
      </c>
      <c r="AC3" s="119">
        <v>12841726.339000002</v>
      </c>
      <c r="AD3" s="119">
        <v>18891500.477899998</v>
      </c>
      <c r="AE3" s="119">
        <v>17876132.658190001</v>
      </c>
    </row>
    <row r="4" spans="1:31" ht="14.25" customHeight="1" x14ac:dyDescent="0.2">
      <c r="A4" s="120" t="s">
        <v>519</v>
      </c>
      <c r="B4" s="41">
        <v>14249.25</v>
      </c>
      <c r="C4" s="41">
        <v>118198.77</v>
      </c>
      <c r="D4" s="41">
        <v>155821.80499999999</v>
      </c>
      <c r="E4" s="41">
        <v>106771.4235</v>
      </c>
      <c r="F4" s="41">
        <v>214702.492</v>
      </c>
      <c r="G4" s="41">
        <v>362743.10325000004</v>
      </c>
      <c r="H4" s="41">
        <v>368451.98090000002</v>
      </c>
      <c r="I4" s="41">
        <v>327853.36695</v>
      </c>
      <c r="J4" s="41">
        <v>378115.09230000002</v>
      </c>
      <c r="K4" s="41">
        <v>452345.23149999999</v>
      </c>
      <c r="L4" s="41">
        <v>489151.90980000002</v>
      </c>
      <c r="M4" s="41">
        <v>774996.00579999993</v>
      </c>
      <c r="N4" s="41">
        <v>1229228.9910000002</v>
      </c>
      <c r="O4" s="41">
        <v>1579166.6700000002</v>
      </c>
      <c r="P4" s="41">
        <v>1689765.29</v>
      </c>
      <c r="Q4" s="41">
        <v>1636333.8199999998</v>
      </c>
      <c r="R4" s="41">
        <v>1403354.115</v>
      </c>
      <c r="S4" s="41">
        <v>1093832.6000000001</v>
      </c>
      <c r="T4" s="41">
        <v>654880.15500000003</v>
      </c>
      <c r="U4" s="41">
        <v>402904.58999999997</v>
      </c>
      <c r="V4" s="41">
        <v>665669.59300000011</v>
      </c>
      <c r="W4" s="41">
        <v>1107273.3974000001</v>
      </c>
      <c r="X4" s="41">
        <v>1470590.92075</v>
      </c>
      <c r="Y4" s="41">
        <v>1722916.20465</v>
      </c>
      <c r="Z4" s="41">
        <v>2015765.0229999998</v>
      </c>
      <c r="AA4" s="41">
        <v>2274382.9830999998</v>
      </c>
      <c r="AB4" s="41">
        <v>2520167.7484000004</v>
      </c>
      <c r="AC4" s="41">
        <v>2722465.8140000002</v>
      </c>
      <c r="AD4" s="41">
        <v>2932479.9529000004</v>
      </c>
      <c r="AE4" s="41">
        <v>3153432.3331900006</v>
      </c>
    </row>
    <row r="5" spans="1:31" ht="14.25" customHeight="1" x14ac:dyDescent="0.2">
      <c r="A5" s="120" t="s">
        <v>520</v>
      </c>
      <c r="B5" s="41">
        <v>0</v>
      </c>
      <c r="C5" s="41">
        <v>0</v>
      </c>
      <c r="D5" s="41">
        <v>0</v>
      </c>
      <c r="E5" s="41">
        <v>0</v>
      </c>
      <c r="F5" s="41">
        <v>0</v>
      </c>
      <c r="G5" s="41">
        <v>0</v>
      </c>
      <c r="H5" s="41">
        <v>799960</v>
      </c>
      <c r="I5" s="41">
        <v>0</v>
      </c>
      <c r="J5" s="41">
        <v>10799.400000000001</v>
      </c>
      <c r="K5" s="41">
        <v>11699.35</v>
      </c>
      <c r="L5" s="41">
        <v>12599.300000000001</v>
      </c>
      <c r="M5" s="41">
        <v>13499.25</v>
      </c>
      <c r="N5" s="41">
        <v>14399.2</v>
      </c>
      <c r="O5" s="41">
        <v>15299.150000000001</v>
      </c>
      <c r="P5" s="41">
        <v>16199.1</v>
      </c>
      <c r="Q5" s="41">
        <v>17999</v>
      </c>
      <c r="R5" s="41">
        <v>19798.900000000001</v>
      </c>
      <c r="S5" s="41">
        <v>19798.900000000001</v>
      </c>
      <c r="T5" s="41">
        <v>19798.900000000001</v>
      </c>
      <c r="U5" s="41">
        <v>0</v>
      </c>
      <c r="V5" s="41">
        <v>0</v>
      </c>
      <c r="W5" s="41">
        <v>401377.7</v>
      </c>
      <c r="X5" s="41">
        <v>1018552.3</v>
      </c>
      <c r="Y5" s="41">
        <v>2048491.5499999998</v>
      </c>
      <c r="Z5" s="41">
        <v>2407083.7250000001</v>
      </c>
      <c r="AA5" s="41">
        <v>2830673.0249999999</v>
      </c>
      <c r="AB5" s="41">
        <v>4716900.6749999998</v>
      </c>
      <c r="AC5" s="41">
        <v>4719600.5250000004</v>
      </c>
      <c r="AD5" s="41">
        <v>7119560.5250000004</v>
      </c>
      <c r="AE5" s="41">
        <v>7623150.3250000002</v>
      </c>
    </row>
    <row r="6" spans="1:31" ht="14.25" customHeight="1" x14ac:dyDescent="0.2">
      <c r="A6" s="120" t="s">
        <v>521</v>
      </c>
      <c r="B6" s="41">
        <v>0</v>
      </c>
      <c r="C6" s="41">
        <v>0</v>
      </c>
      <c r="D6" s="41">
        <v>0</v>
      </c>
      <c r="E6" s="41">
        <v>0</v>
      </c>
      <c r="F6" s="41">
        <v>0</v>
      </c>
      <c r="G6" s="41">
        <v>0</v>
      </c>
      <c r="H6" s="41">
        <v>0</v>
      </c>
      <c r="I6" s="41">
        <v>0</v>
      </c>
      <c r="J6" s="41">
        <v>0</v>
      </c>
      <c r="K6" s="41">
        <v>0</v>
      </c>
      <c r="L6" s="41">
        <v>0</v>
      </c>
      <c r="M6" s="41">
        <v>0</v>
      </c>
      <c r="N6" s="41">
        <v>0</v>
      </c>
      <c r="O6" s="41">
        <v>0</v>
      </c>
      <c r="P6" s="41">
        <v>0</v>
      </c>
      <c r="Q6" s="41">
        <v>0</v>
      </c>
      <c r="R6" s="41">
        <v>0</v>
      </c>
      <c r="S6" s="41">
        <v>0</v>
      </c>
      <c r="T6" s="41">
        <v>0</v>
      </c>
      <c r="U6" s="41">
        <v>0</v>
      </c>
      <c r="V6" s="41">
        <v>0</v>
      </c>
      <c r="W6" s="41">
        <v>1919860</v>
      </c>
      <c r="X6" s="41">
        <v>3259770</v>
      </c>
      <c r="Y6" s="41">
        <v>3299780</v>
      </c>
      <c r="Z6" s="41">
        <v>3259770</v>
      </c>
      <c r="AA6" s="41">
        <v>6919600</v>
      </c>
      <c r="AB6" s="41">
        <v>5399660</v>
      </c>
      <c r="AC6" s="41">
        <v>5399660</v>
      </c>
      <c r="AD6" s="41">
        <v>8839460</v>
      </c>
      <c r="AE6" s="41">
        <v>7099550</v>
      </c>
    </row>
    <row r="7" spans="1:31" ht="14.25" customHeight="1" x14ac:dyDescent="0.2">
      <c r="A7" s="121" t="s">
        <v>522</v>
      </c>
      <c r="B7" s="119">
        <v>3008.855</v>
      </c>
      <c r="C7" s="119">
        <v>24966.278599999998</v>
      </c>
      <c r="D7" s="119">
        <v>32923.159899999999</v>
      </c>
      <c r="E7" s="119">
        <v>22539.623124999998</v>
      </c>
      <c r="F7" s="119">
        <v>45537.921650000004</v>
      </c>
      <c r="G7" s="119">
        <v>77017.725349999993</v>
      </c>
      <c r="H7" s="119">
        <v>409173.74494</v>
      </c>
      <c r="I7" s="119">
        <v>91193.102795000013</v>
      </c>
      <c r="J7" s="119">
        <v>108508.44108000002</v>
      </c>
      <c r="K7" s="119">
        <v>129150.61825</v>
      </c>
      <c r="L7" s="119">
        <v>134854.25578000001</v>
      </c>
      <c r="M7" s="119">
        <v>219863.78688000003</v>
      </c>
      <c r="N7" s="119">
        <v>370669.54964999994</v>
      </c>
      <c r="O7" s="119">
        <v>478217.82674999995</v>
      </c>
      <c r="P7" s="119">
        <v>506454.54224999994</v>
      </c>
      <c r="Q7" s="119">
        <v>474096.70699999994</v>
      </c>
      <c r="R7" s="119">
        <v>372776.04899999994</v>
      </c>
      <c r="S7" s="119">
        <v>270358.92025000002</v>
      </c>
      <c r="T7" s="119">
        <v>170977.99425000002</v>
      </c>
      <c r="U7" s="119">
        <v>116904.74000000002</v>
      </c>
      <c r="V7" s="119">
        <v>189649.37725000002</v>
      </c>
      <c r="W7" s="119">
        <v>1318089.203975</v>
      </c>
      <c r="X7" s="119">
        <v>2293068.4858125001</v>
      </c>
      <c r="Y7" s="119">
        <v>2789289.3966624998</v>
      </c>
      <c r="Z7" s="119">
        <v>2994637.6305</v>
      </c>
      <c r="AA7" s="119">
        <v>4988518.9725250006</v>
      </c>
      <c r="AB7" s="119">
        <v>5148723.3528499994</v>
      </c>
      <c r="AC7" s="119">
        <v>5209081.7930000005</v>
      </c>
      <c r="AD7" s="119">
        <v>7998432.7752250005</v>
      </c>
      <c r="AE7" s="119">
        <v>7490760.7063974999</v>
      </c>
    </row>
    <row r="8" spans="1:31" ht="14.25" customHeight="1" x14ac:dyDescent="0.2">
      <c r="A8" s="120" t="s">
        <v>519</v>
      </c>
      <c r="B8" s="41">
        <v>3008.855</v>
      </c>
      <c r="C8" s="41">
        <v>24966.278599999998</v>
      </c>
      <c r="D8" s="41">
        <v>32923.159899999999</v>
      </c>
      <c r="E8" s="41">
        <v>22539.623124999998</v>
      </c>
      <c r="F8" s="41">
        <v>45537.921650000004</v>
      </c>
      <c r="G8" s="41">
        <v>77017.725349999993</v>
      </c>
      <c r="H8" s="41">
        <v>89189.74493999999</v>
      </c>
      <c r="I8" s="41">
        <v>91193.102795000013</v>
      </c>
      <c r="J8" s="41">
        <v>104836.64508000002</v>
      </c>
      <c r="K8" s="41">
        <v>125172.83925</v>
      </c>
      <c r="L8" s="41">
        <v>130570.49378000002</v>
      </c>
      <c r="M8" s="41">
        <v>215274.04188000003</v>
      </c>
      <c r="N8" s="41">
        <v>365773.82164999994</v>
      </c>
      <c r="O8" s="41">
        <v>473016.11574999994</v>
      </c>
      <c r="P8" s="41">
        <v>500946.84824999992</v>
      </c>
      <c r="Q8" s="41">
        <v>467977.04699999996</v>
      </c>
      <c r="R8" s="41">
        <v>366044.42299999995</v>
      </c>
      <c r="S8" s="41">
        <v>263627.29425000004</v>
      </c>
      <c r="T8" s="41">
        <v>164246.36825000003</v>
      </c>
      <c r="U8" s="41">
        <v>116904.74000000002</v>
      </c>
      <c r="V8" s="41">
        <v>189649.37725000002</v>
      </c>
      <c r="W8" s="41">
        <v>313885.99697499996</v>
      </c>
      <c r="X8" s="41">
        <v>419895.66881249996</v>
      </c>
      <c r="Y8" s="41">
        <v>497970.33266249998</v>
      </c>
      <c r="Z8" s="41">
        <v>586865.90399999998</v>
      </c>
      <c r="AA8" s="41">
        <v>664570.39102500002</v>
      </c>
      <c r="AB8" s="41">
        <v>738605.59184999997</v>
      </c>
      <c r="AC8" s="41">
        <v>798019.08450000011</v>
      </c>
      <c r="AD8" s="41">
        <v>859480.06672500004</v>
      </c>
      <c r="AE8" s="41">
        <v>923547.56589750003</v>
      </c>
    </row>
    <row r="9" spans="1:31" ht="14.25" customHeight="1" x14ac:dyDescent="0.2">
      <c r="A9" s="120" t="s">
        <v>520</v>
      </c>
      <c r="B9" s="41">
        <v>0</v>
      </c>
      <c r="C9" s="41">
        <v>0</v>
      </c>
      <c r="D9" s="41">
        <v>0</v>
      </c>
      <c r="E9" s="41">
        <v>0</v>
      </c>
      <c r="F9" s="41">
        <v>0</v>
      </c>
      <c r="G9" s="41">
        <v>0</v>
      </c>
      <c r="H9" s="41">
        <v>319984</v>
      </c>
      <c r="I9" s="41">
        <v>0</v>
      </c>
      <c r="J9" s="41">
        <v>3671.7960000000003</v>
      </c>
      <c r="K9" s="41">
        <v>3977.7790000000005</v>
      </c>
      <c r="L9" s="41">
        <v>4283.7620000000006</v>
      </c>
      <c r="M9" s="41">
        <v>4589.7449999999999</v>
      </c>
      <c r="N9" s="41">
        <v>4895.7280000000001</v>
      </c>
      <c r="O9" s="41">
        <v>5201.7110000000002</v>
      </c>
      <c r="P9" s="41">
        <v>5507.6940000000004</v>
      </c>
      <c r="Q9" s="41">
        <v>6119.6600000000008</v>
      </c>
      <c r="R9" s="41">
        <v>6731.6260000000002</v>
      </c>
      <c r="S9" s="41">
        <v>6731.6260000000002</v>
      </c>
      <c r="T9" s="41">
        <v>6731.6260000000002</v>
      </c>
      <c r="U9" s="41">
        <v>0</v>
      </c>
      <c r="V9" s="41">
        <v>0</v>
      </c>
      <c r="W9" s="41">
        <v>140266.20699999999</v>
      </c>
      <c r="X9" s="41">
        <v>381276.81699999998</v>
      </c>
      <c r="Y9" s="41">
        <v>761419.06400000001</v>
      </c>
      <c r="Z9" s="41">
        <v>915875.72650000011</v>
      </c>
      <c r="AA9" s="41">
        <v>1080131.5815000001</v>
      </c>
      <c r="AB9" s="41">
        <v>1890272.7609999999</v>
      </c>
      <c r="AC9" s="41">
        <v>1891217.7085000002</v>
      </c>
      <c r="AD9" s="41">
        <v>3031198.7085000002</v>
      </c>
      <c r="AE9" s="41">
        <v>3257418.1404999997</v>
      </c>
    </row>
    <row r="10" spans="1:31" ht="14.25" customHeight="1" x14ac:dyDescent="0.2">
      <c r="A10" s="120" t="s">
        <v>521</v>
      </c>
      <c r="B10" s="41">
        <v>0</v>
      </c>
      <c r="C10" s="41">
        <v>0</v>
      </c>
      <c r="D10" s="41">
        <v>0</v>
      </c>
      <c r="E10" s="41">
        <v>0</v>
      </c>
      <c r="F10" s="41">
        <v>0</v>
      </c>
      <c r="G10" s="41">
        <v>0</v>
      </c>
      <c r="H10" s="41">
        <v>0</v>
      </c>
      <c r="I10" s="41">
        <v>0</v>
      </c>
      <c r="J10" s="41">
        <v>0</v>
      </c>
      <c r="K10" s="41">
        <v>0</v>
      </c>
      <c r="L10" s="41">
        <v>0</v>
      </c>
      <c r="M10" s="41">
        <v>0</v>
      </c>
      <c r="N10" s="41">
        <v>0</v>
      </c>
      <c r="O10" s="41">
        <v>0</v>
      </c>
      <c r="P10" s="41">
        <v>0</v>
      </c>
      <c r="Q10" s="41">
        <v>0</v>
      </c>
      <c r="R10" s="41">
        <v>0</v>
      </c>
      <c r="S10" s="41">
        <v>0</v>
      </c>
      <c r="T10" s="41">
        <v>0</v>
      </c>
      <c r="U10" s="41">
        <v>0</v>
      </c>
      <c r="V10" s="41">
        <v>0</v>
      </c>
      <c r="W10" s="41">
        <v>863937</v>
      </c>
      <c r="X10" s="41">
        <v>1491896</v>
      </c>
      <c r="Y10" s="41">
        <v>1529900</v>
      </c>
      <c r="Z10" s="41">
        <v>1491896</v>
      </c>
      <c r="AA10" s="41">
        <v>3243817</v>
      </c>
      <c r="AB10" s="41">
        <v>2519845</v>
      </c>
      <c r="AC10" s="41">
        <v>2519845</v>
      </c>
      <c r="AD10" s="41">
        <v>4107754</v>
      </c>
      <c r="AE10" s="41">
        <v>3309795</v>
      </c>
    </row>
    <row r="11" spans="1:31" ht="14.25" customHeight="1" x14ac:dyDescent="0.2">
      <c r="A11" s="118" t="s">
        <v>523</v>
      </c>
      <c r="B11" s="119">
        <v>11240.395</v>
      </c>
      <c r="C11" s="119">
        <v>93232.491400000014</v>
      </c>
      <c r="D11" s="119">
        <v>122898.64510000002</v>
      </c>
      <c r="E11" s="119">
        <v>84231.800375000021</v>
      </c>
      <c r="F11" s="119">
        <v>169164.57035000002</v>
      </c>
      <c r="G11" s="119">
        <v>285725.37790000008</v>
      </c>
      <c r="H11" s="119">
        <v>759238.23596000008</v>
      </c>
      <c r="I11" s="119">
        <v>236660.26415500001</v>
      </c>
      <c r="J11" s="119">
        <v>280406.05122000002</v>
      </c>
      <c r="K11" s="119">
        <v>334893.96325000003</v>
      </c>
      <c r="L11" s="119">
        <v>366896.95402</v>
      </c>
      <c r="M11" s="119">
        <v>568631.46892000001</v>
      </c>
      <c r="N11" s="119">
        <v>872958.64135000005</v>
      </c>
      <c r="O11" s="119">
        <v>1116247.9932500001</v>
      </c>
      <c r="P11" s="119">
        <v>1199509.8477500002</v>
      </c>
      <c r="Q11" s="119">
        <v>1180236.1130000001</v>
      </c>
      <c r="R11" s="119">
        <v>1050376.966</v>
      </c>
      <c r="S11" s="119">
        <v>843272.57975000003</v>
      </c>
      <c r="T11" s="119">
        <v>503701.06074999995</v>
      </c>
      <c r="U11" s="119">
        <v>285999.85000000003</v>
      </c>
      <c r="V11" s="119">
        <v>476020.21575000009</v>
      </c>
      <c r="W11" s="119">
        <v>2110421.8934249999</v>
      </c>
      <c r="X11" s="119">
        <v>3455844.7349375002</v>
      </c>
      <c r="Y11" s="119">
        <v>4281898.3579874998</v>
      </c>
      <c r="Z11" s="119">
        <v>4687981.1174999997</v>
      </c>
      <c r="AA11" s="119">
        <v>7036137.0355749987</v>
      </c>
      <c r="AB11" s="119">
        <v>7488005.0705500003</v>
      </c>
      <c r="AC11" s="119">
        <v>7632644.5460000001</v>
      </c>
      <c r="AD11" s="119">
        <v>10893067.702675</v>
      </c>
      <c r="AE11" s="119">
        <v>10385371.951792501</v>
      </c>
    </row>
    <row r="12" spans="1:31" ht="14.25" customHeight="1" x14ac:dyDescent="0.2">
      <c r="A12" s="120" t="s">
        <v>519</v>
      </c>
      <c r="B12" s="41">
        <v>11240.395</v>
      </c>
      <c r="C12" s="41">
        <v>93232.491400000014</v>
      </c>
      <c r="D12" s="41">
        <v>122898.64510000002</v>
      </c>
      <c r="E12" s="41">
        <v>84231.800375000021</v>
      </c>
      <c r="F12" s="41">
        <v>169164.57035000002</v>
      </c>
      <c r="G12" s="41">
        <v>285725.37790000008</v>
      </c>
      <c r="H12" s="41">
        <v>279262.23596000002</v>
      </c>
      <c r="I12" s="41">
        <v>236660.26415500001</v>
      </c>
      <c r="J12" s="41">
        <v>273278.44722000003</v>
      </c>
      <c r="K12" s="41">
        <v>327172.39225000003</v>
      </c>
      <c r="L12" s="41">
        <v>358581.41602</v>
      </c>
      <c r="M12" s="41">
        <v>559721.96392000001</v>
      </c>
      <c r="N12" s="41">
        <v>863455.1693500001</v>
      </c>
      <c r="O12" s="41">
        <v>1106150.55425</v>
      </c>
      <c r="P12" s="41">
        <v>1188818.4417500002</v>
      </c>
      <c r="Q12" s="41">
        <v>1168356.773</v>
      </c>
      <c r="R12" s="41">
        <v>1037309.692</v>
      </c>
      <c r="S12" s="41">
        <v>830205.30575000006</v>
      </c>
      <c r="T12" s="41">
        <v>490633.78674999997</v>
      </c>
      <c r="U12" s="41">
        <v>285999.85000000003</v>
      </c>
      <c r="V12" s="41">
        <v>476020.21575000009</v>
      </c>
      <c r="W12" s="41">
        <v>793387.40042500012</v>
      </c>
      <c r="X12" s="41">
        <v>1050695.2519375002</v>
      </c>
      <c r="Y12" s="41">
        <v>1224945.8719875</v>
      </c>
      <c r="Z12" s="41">
        <v>1428899.1189999999</v>
      </c>
      <c r="AA12" s="41">
        <v>1609812.5920749998</v>
      </c>
      <c r="AB12" s="41">
        <v>1781562.15655</v>
      </c>
      <c r="AC12" s="41">
        <v>1924446.7295000001</v>
      </c>
      <c r="AD12" s="41">
        <v>2072999.8861750006</v>
      </c>
      <c r="AE12" s="41">
        <v>2229884.7672925005</v>
      </c>
    </row>
    <row r="13" spans="1:31" ht="14.25" customHeight="1" x14ac:dyDescent="0.2">
      <c r="A13" s="120" t="s">
        <v>520</v>
      </c>
      <c r="B13" s="41">
        <v>0</v>
      </c>
      <c r="C13" s="41">
        <v>0</v>
      </c>
      <c r="D13" s="41">
        <v>0</v>
      </c>
      <c r="E13" s="41">
        <v>0</v>
      </c>
      <c r="F13" s="41">
        <v>0</v>
      </c>
      <c r="G13" s="41">
        <v>0</v>
      </c>
      <c r="H13" s="41">
        <v>479976.00000000006</v>
      </c>
      <c r="I13" s="41">
        <v>0</v>
      </c>
      <c r="J13" s="41">
        <v>7127.6040000000003</v>
      </c>
      <c r="K13" s="41">
        <v>7721.5709999999999</v>
      </c>
      <c r="L13" s="41">
        <v>8315.5380000000005</v>
      </c>
      <c r="M13" s="41">
        <v>8909.505000000001</v>
      </c>
      <c r="N13" s="41">
        <v>9503.4719999999998</v>
      </c>
      <c r="O13" s="41">
        <v>10097.439</v>
      </c>
      <c r="P13" s="41">
        <v>10691.406000000001</v>
      </c>
      <c r="Q13" s="41">
        <v>11879.34</v>
      </c>
      <c r="R13" s="41">
        <v>13067.274000000001</v>
      </c>
      <c r="S13" s="41">
        <v>13067.274000000001</v>
      </c>
      <c r="T13" s="41">
        <v>13067.274000000001</v>
      </c>
      <c r="U13" s="41">
        <v>0</v>
      </c>
      <c r="V13" s="41">
        <v>0</v>
      </c>
      <c r="W13" s="41">
        <v>261111.49300000005</v>
      </c>
      <c r="X13" s="41">
        <v>637275.48300000001</v>
      </c>
      <c r="Y13" s="41">
        <v>1287072.486</v>
      </c>
      <c r="Z13" s="41">
        <v>1491207.9985000002</v>
      </c>
      <c r="AA13" s="41">
        <v>1750541.4435000001</v>
      </c>
      <c r="AB13" s="41">
        <v>2826627.9139999999</v>
      </c>
      <c r="AC13" s="41">
        <v>2828382.8165000002</v>
      </c>
      <c r="AD13" s="41">
        <v>4088361.8165000002</v>
      </c>
      <c r="AE13" s="41">
        <v>4365732.1845000004</v>
      </c>
    </row>
    <row r="14" spans="1:31" ht="14.25" customHeight="1" x14ac:dyDescent="0.2">
      <c r="A14" s="122" t="s">
        <v>521</v>
      </c>
      <c r="B14" s="215">
        <v>0</v>
      </c>
      <c r="C14" s="215">
        <v>0</v>
      </c>
      <c r="D14" s="215">
        <v>0</v>
      </c>
      <c r="E14" s="215">
        <v>0</v>
      </c>
      <c r="F14" s="215">
        <v>0</v>
      </c>
      <c r="G14" s="215">
        <v>0</v>
      </c>
      <c r="H14" s="215">
        <v>0</v>
      </c>
      <c r="I14" s="215">
        <v>0</v>
      </c>
      <c r="J14" s="215">
        <v>0</v>
      </c>
      <c r="K14" s="215">
        <v>0</v>
      </c>
      <c r="L14" s="215">
        <v>0</v>
      </c>
      <c r="M14" s="215">
        <v>0</v>
      </c>
      <c r="N14" s="215">
        <v>0</v>
      </c>
      <c r="O14" s="215">
        <v>0</v>
      </c>
      <c r="P14" s="215">
        <v>0</v>
      </c>
      <c r="Q14" s="215">
        <v>0</v>
      </c>
      <c r="R14" s="215">
        <v>0</v>
      </c>
      <c r="S14" s="215">
        <v>0</v>
      </c>
      <c r="T14" s="215">
        <v>0</v>
      </c>
      <c r="U14" s="215">
        <v>0</v>
      </c>
      <c r="V14" s="215">
        <v>0</v>
      </c>
      <c r="W14" s="215">
        <v>1055923</v>
      </c>
      <c r="X14" s="215">
        <v>1767873.9999999998</v>
      </c>
      <c r="Y14" s="215">
        <v>1769879.9999999998</v>
      </c>
      <c r="Z14" s="215">
        <v>1767873.9999999998</v>
      </c>
      <c r="AA14" s="215">
        <v>3675782.9999999995</v>
      </c>
      <c r="AB14" s="215">
        <v>2879814.9999999995</v>
      </c>
      <c r="AC14" s="215">
        <v>2879814.9999999995</v>
      </c>
      <c r="AD14" s="215">
        <v>4731706</v>
      </c>
      <c r="AE14" s="215">
        <v>3789754.9999999995</v>
      </c>
    </row>
    <row r="15" spans="1:31" ht="14.25" customHeight="1" x14ac:dyDescent="0.2"/>
    <row r="16" spans="1:31" ht="14.25" customHeight="1" x14ac:dyDescent="0.2"/>
    <row r="17" spans="11:11" ht="14.25" customHeight="1" x14ac:dyDescent="0.2">
      <c r="K17" s="1">
        <f>116000+99000</f>
        <v>215000</v>
      </c>
    </row>
    <row r="18" spans="11:11" ht="14.25" customHeight="1" x14ac:dyDescent="0.2"/>
    <row r="19" spans="11:11" ht="14.25" customHeight="1" x14ac:dyDescent="0.2"/>
    <row r="20" spans="11:11" ht="14.25" customHeight="1" x14ac:dyDescent="0.2"/>
    <row r="21" spans="11:11" ht="14.25" customHeight="1" x14ac:dyDescent="0.2"/>
    <row r="22" spans="11:11" ht="14.25" customHeight="1" x14ac:dyDescent="0.2"/>
    <row r="23" spans="11:11" ht="14.25" customHeight="1" x14ac:dyDescent="0.2"/>
    <row r="24" spans="11:11" ht="14.25" customHeight="1" x14ac:dyDescent="0.2"/>
    <row r="25" spans="11:11" ht="14.25" customHeight="1" x14ac:dyDescent="0.2"/>
    <row r="26" spans="11:11" ht="14.25" customHeight="1" x14ac:dyDescent="0.2"/>
    <row r="27" spans="11:11" ht="14.25" customHeight="1" x14ac:dyDescent="0.2"/>
    <row r="28" spans="11:11" ht="14.25" customHeight="1" x14ac:dyDescent="0.2"/>
    <row r="29" spans="11:11" ht="14.25" customHeight="1" x14ac:dyDescent="0.2"/>
    <row r="30" spans="11:11" ht="14.25" customHeight="1" x14ac:dyDescent="0.2"/>
    <row r="31" spans="11:11" ht="14.25" customHeight="1" x14ac:dyDescent="0.2"/>
    <row r="32" spans="11:11"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EF2CB"/>
  </sheetPr>
  <dimension ref="A1:CV1005"/>
  <sheetViews>
    <sheetView topLeftCell="A54" zoomScale="110" zoomScaleNormal="110" workbookViewId="0">
      <selection activeCell="J24" sqref="J24"/>
    </sheetView>
  </sheetViews>
  <sheetFormatPr baseColWidth="10" defaultColWidth="14.5" defaultRowHeight="15" customHeight="1" x14ac:dyDescent="0.2"/>
  <cols>
    <col min="1" max="1" width="13.33203125" customWidth="1"/>
    <col min="2" max="2" width="39.5" bestFit="1" customWidth="1"/>
    <col min="3" max="3" width="16" customWidth="1"/>
    <col min="4" max="4" width="15.33203125" bestFit="1" customWidth="1"/>
    <col min="5" max="5" width="18.33203125" bestFit="1" customWidth="1"/>
    <col min="6" max="70" width="13.5" customWidth="1"/>
    <col min="71" max="100" width="13.33203125" customWidth="1"/>
  </cols>
  <sheetData>
    <row r="1" spans="1:100" ht="14.25" customHeight="1" x14ac:dyDescent="0.2">
      <c r="D1" s="1" t="s">
        <v>64</v>
      </c>
      <c r="E1" s="1" t="s">
        <v>524</v>
      </c>
    </row>
    <row r="2" spans="1:100" ht="14.25" customHeight="1" x14ac:dyDescent="0.2"/>
    <row r="3" spans="1:100" ht="14.25" customHeight="1" x14ac:dyDescent="0.2"/>
    <row r="4" spans="1:100" ht="14.25" customHeight="1" x14ac:dyDescent="0.2">
      <c r="F4" s="1" t="s">
        <v>64</v>
      </c>
      <c r="H4" s="1" t="s">
        <v>64</v>
      </c>
      <c r="J4" s="1" t="str">
        <f t="shared" ref="J4:AX4" si="0">F4</f>
        <v>Labor</v>
      </c>
      <c r="K4" s="1">
        <f t="shared" si="0"/>
        <v>0</v>
      </c>
      <c r="L4" s="1" t="str">
        <f t="shared" si="0"/>
        <v>Labor</v>
      </c>
      <c r="M4" s="1">
        <f t="shared" si="0"/>
        <v>0</v>
      </c>
      <c r="N4" s="1" t="str">
        <f t="shared" si="0"/>
        <v>Labor</v>
      </c>
      <c r="O4" s="1">
        <f t="shared" si="0"/>
        <v>0</v>
      </c>
      <c r="P4" s="1" t="str">
        <f t="shared" si="0"/>
        <v>Labor</v>
      </c>
      <c r="Q4" s="1">
        <f t="shared" si="0"/>
        <v>0</v>
      </c>
      <c r="R4" s="1" t="str">
        <f t="shared" si="0"/>
        <v>Labor</v>
      </c>
      <c r="S4" s="1">
        <f t="shared" si="0"/>
        <v>0</v>
      </c>
      <c r="T4" s="1" t="str">
        <f t="shared" si="0"/>
        <v>Labor</v>
      </c>
      <c r="U4" s="1">
        <f t="shared" si="0"/>
        <v>0</v>
      </c>
      <c r="V4" s="1" t="str">
        <f t="shared" si="0"/>
        <v>Labor</v>
      </c>
      <c r="W4" s="1">
        <f t="shared" si="0"/>
        <v>0</v>
      </c>
      <c r="X4" s="1" t="str">
        <f t="shared" si="0"/>
        <v>Labor</v>
      </c>
      <c r="Y4" s="1">
        <f t="shared" si="0"/>
        <v>0</v>
      </c>
      <c r="Z4" s="1" t="str">
        <f t="shared" si="0"/>
        <v>Labor</v>
      </c>
      <c r="AA4" s="1">
        <f t="shared" si="0"/>
        <v>0</v>
      </c>
      <c r="AB4" s="1" t="str">
        <f t="shared" si="0"/>
        <v>Labor</v>
      </c>
      <c r="AC4" s="1">
        <f t="shared" si="0"/>
        <v>0</v>
      </c>
      <c r="AD4" s="1" t="str">
        <f t="shared" si="0"/>
        <v>Labor</v>
      </c>
      <c r="AE4" s="1">
        <f t="shared" si="0"/>
        <v>0</v>
      </c>
      <c r="AF4" s="1" t="str">
        <f t="shared" si="0"/>
        <v>Labor</v>
      </c>
      <c r="AG4" s="1">
        <f t="shared" si="0"/>
        <v>0</v>
      </c>
      <c r="AH4" s="1" t="str">
        <f t="shared" si="0"/>
        <v>Labor</v>
      </c>
      <c r="AI4" s="1">
        <f t="shared" si="0"/>
        <v>0</v>
      </c>
      <c r="AJ4" s="1" t="str">
        <f t="shared" si="0"/>
        <v>Labor</v>
      </c>
      <c r="AK4" s="1">
        <f t="shared" si="0"/>
        <v>0</v>
      </c>
      <c r="AL4" s="1" t="str">
        <f t="shared" si="0"/>
        <v>Labor</v>
      </c>
      <c r="AM4" s="1">
        <f t="shared" si="0"/>
        <v>0</v>
      </c>
      <c r="AN4" s="1" t="str">
        <f t="shared" si="0"/>
        <v>Labor</v>
      </c>
      <c r="AO4" s="1">
        <f t="shared" si="0"/>
        <v>0</v>
      </c>
      <c r="AP4" s="1" t="str">
        <f t="shared" si="0"/>
        <v>Labor</v>
      </c>
      <c r="AQ4" s="1">
        <f t="shared" si="0"/>
        <v>0</v>
      </c>
      <c r="AR4" s="1" t="str">
        <f t="shared" si="0"/>
        <v>Labor</v>
      </c>
      <c r="AS4" s="1">
        <f t="shared" si="0"/>
        <v>0</v>
      </c>
      <c r="AT4" s="1" t="str">
        <f t="shared" si="0"/>
        <v>Labor</v>
      </c>
      <c r="AU4" s="1">
        <f t="shared" si="0"/>
        <v>0</v>
      </c>
      <c r="AV4" s="1" t="str">
        <f t="shared" si="0"/>
        <v>Labor</v>
      </c>
      <c r="AW4" s="1">
        <f t="shared" si="0"/>
        <v>0</v>
      </c>
      <c r="AX4" s="1" t="str">
        <f t="shared" si="0"/>
        <v>Labor</v>
      </c>
    </row>
    <row r="5" spans="1:100" ht="14.25" customHeight="1" x14ac:dyDescent="0.2">
      <c r="E5" s="74" t="str">
        <f t="shared" ref="E5:AX5" si="1">WEEKNUM(E7)&amp;YEAR(E7)</f>
        <v>142025</v>
      </c>
      <c r="F5" s="74" t="str">
        <f t="shared" si="1"/>
        <v>182025</v>
      </c>
      <c r="G5" s="74" t="str">
        <f t="shared" si="1"/>
        <v>222025</v>
      </c>
      <c r="H5" s="74" t="str">
        <f t="shared" si="1"/>
        <v>272025</v>
      </c>
      <c r="I5" s="74" t="str">
        <f t="shared" si="1"/>
        <v>272025</v>
      </c>
      <c r="J5" s="74" t="str">
        <f t="shared" si="1"/>
        <v>312025</v>
      </c>
      <c r="K5" s="74" t="str">
        <f t="shared" si="1"/>
        <v>312025</v>
      </c>
      <c r="L5" s="74" t="str">
        <f t="shared" si="1"/>
        <v>362025</v>
      </c>
      <c r="M5" s="74" t="str">
        <f t="shared" si="1"/>
        <v>362025</v>
      </c>
      <c r="N5" s="74" t="str">
        <f t="shared" si="1"/>
        <v>402025</v>
      </c>
      <c r="O5" s="74" t="str">
        <f t="shared" si="1"/>
        <v>402025</v>
      </c>
      <c r="P5" s="74" t="str">
        <f t="shared" si="1"/>
        <v>442025</v>
      </c>
      <c r="Q5" s="74" t="str">
        <f t="shared" si="1"/>
        <v>442025</v>
      </c>
      <c r="R5" s="74" t="str">
        <f t="shared" si="1"/>
        <v>492025</v>
      </c>
      <c r="S5" s="74" t="str">
        <f t="shared" si="1"/>
        <v>492025</v>
      </c>
      <c r="T5" s="74" t="str">
        <f t="shared" si="1"/>
        <v>532025</v>
      </c>
      <c r="U5" s="74" t="str">
        <f t="shared" si="1"/>
        <v>532025</v>
      </c>
      <c r="V5" s="74" t="str">
        <f t="shared" si="1"/>
        <v>532025</v>
      </c>
      <c r="W5" s="74" t="str">
        <f t="shared" si="1"/>
        <v>52026</v>
      </c>
      <c r="X5" s="74" t="str">
        <f t="shared" si="1"/>
        <v>52026</v>
      </c>
      <c r="Y5" s="74" t="str">
        <f t="shared" si="1"/>
        <v>92026</v>
      </c>
      <c r="Z5" s="74" t="str">
        <f t="shared" si="1"/>
        <v>92026</v>
      </c>
      <c r="AA5" s="74" t="str">
        <f t="shared" si="1"/>
        <v>142026</v>
      </c>
      <c r="AB5" s="74" t="str">
        <f t="shared" si="1"/>
        <v>142026</v>
      </c>
      <c r="AC5" s="74" t="str">
        <f t="shared" si="1"/>
        <v>182026</v>
      </c>
      <c r="AD5" s="74" t="str">
        <f t="shared" si="1"/>
        <v>182026</v>
      </c>
      <c r="AE5" s="74" t="str">
        <f t="shared" si="1"/>
        <v>232026</v>
      </c>
      <c r="AF5" s="74" t="str">
        <f t="shared" si="1"/>
        <v>232026</v>
      </c>
      <c r="AG5" s="74" t="str">
        <f t="shared" si="1"/>
        <v>272026</v>
      </c>
      <c r="AH5" s="74" t="str">
        <f t="shared" si="1"/>
        <v>272026</v>
      </c>
      <c r="AI5" s="74" t="str">
        <f t="shared" si="1"/>
        <v>272026</v>
      </c>
      <c r="AJ5" s="74" t="str">
        <f t="shared" si="1"/>
        <v>312026</v>
      </c>
      <c r="AK5" s="74" t="str">
        <f t="shared" si="1"/>
        <v>312026</v>
      </c>
      <c r="AL5" s="74" t="str">
        <f t="shared" si="1"/>
        <v>362026</v>
      </c>
      <c r="AM5" s="74" t="str">
        <f t="shared" si="1"/>
        <v>362026</v>
      </c>
      <c r="AN5" s="74" t="str">
        <f t="shared" si="1"/>
        <v>402026</v>
      </c>
      <c r="AO5" s="74" t="str">
        <f t="shared" si="1"/>
        <v>402026</v>
      </c>
      <c r="AP5" s="74" t="str">
        <f t="shared" si="1"/>
        <v>442026</v>
      </c>
      <c r="AQ5" s="74" t="str">
        <f t="shared" si="1"/>
        <v>442026</v>
      </c>
      <c r="AR5" s="74" t="str">
        <f t="shared" si="1"/>
        <v>492026</v>
      </c>
      <c r="AS5" s="74" t="str">
        <f t="shared" si="1"/>
        <v>492026</v>
      </c>
      <c r="AT5" s="74" t="str">
        <f t="shared" si="1"/>
        <v>492026</v>
      </c>
      <c r="AU5" s="74" t="str">
        <f t="shared" si="1"/>
        <v>532026</v>
      </c>
      <c r="AV5" s="74" t="str">
        <f t="shared" si="1"/>
        <v>532026</v>
      </c>
      <c r="AW5" s="74" t="str">
        <f t="shared" si="1"/>
        <v>62027</v>
      </c>
      <c r="AX5" s="74" t="str">
        <f t="shared" si="1"/>
        <v>62027</v>
      </c>
    </row>
    <row r="6" spans="1:100" ht="14.25" customHeight="1" x14ac:dyDescent="0.2">
      <c r="E6" s="74" t="str">
        <f t="shared" ref="E6:AX6" si="2">WEEKNUM(E8)&amp;YEAR(E8)</f>
        <v>142025</v>
      </c>
      <c r="F6" s="74" t="str">
        <f t="shared" si="2"/>
        <v>162025</v>
      </c>
      <c r="G6" s="74" t="str">
        <f t="shared" si="2"/>
        <v>212025</v>
      </c>
      <c r="H6" s="74" t="str">
        <f t="shared" si="2"/>
        <v>242025</v>
      </c>
      <c r="I6" s="74" t="str">
        <f t="shared" si="2"/>
        <v>262025</v>
      </c>
      <c r="J6" s="74" t="str">
        <f t="shared" si="2"/>
        <v>282025</v>
      </c>
      <c r="K6" s="74" t="str">
        <f t="shared" si="2"/>
        <v>302025</v>
      </c>
      <c r="L6" s="74" t="str">
        <f t="shared" si="2"/>
        <v>322025</v>
      </c>
      <c r="M6" s="74" t="str">
        <f t="shared" si="2"/>
        <v>342025</v>
      </c>
      <c r="N6" s="74" t="str">
        <f t="shared" si="2"/>
        <v>372025</v>
      </c>
      <c r="O6" s="74" t="str">
        <f t="shared" si="2"/>
        <v>392025</v>
      </c>
      <c r="P6" s="74" t="str">
        <f t="shared" si="2"/>
        <v>412025</v>
      </c>
      <c r="Q6" s="74" t="str">
        <f t="shared" si="2"/>
        <v>432025</v>
      </c>
      <c r="R6" s="74" t="str">
        <f t="shared" si="2"/>
        <v>452025</v>
      </c>
      <c r="S6" s="74" t="str">
        <f t="shared" si="2"/>
        <v>472025</v>
      </c>
      <c r="T6" s="74" t="str">
        <f t="shared" si="2"/>
        <v>492025</v>
      </c>
      <c r="U6" s="74" t="str">
        <f t="shared" si="2"/>
        <v>512025</v>
      </c>
      <c r="V6" s="74" t="str">
        <f t="shared" si="2"/>
        <v>532025</v>
      </c>
      <c r="W6" s="74" t="str">
        <f t="shared" si="2"/>
        <v>32026</v>
      </c>
      <c r="X6" s="74" t="str">
        <f t="shared" si="2"/>
        <v>52026</v>
      </c>
      <c r="Y6" s="74" t="str">
        <f t="shared" si="2"/>
        <v>72026</v>
      </c>
      <c r="Z6" s="74" t="str">
        <f t="shared" si="2"/>
        <v>92026</v>
      </c>
      <c r="AA6" s="74" t="str">
        <f t="shared" si="2"/>
        <v>112026</v>
      </c>
      <c r="AB6" s="74" t="str">
        <f t="shared" si="2"/>
        <v>132026</v>
      </c>
      <c r="AC6" s="74" t="str">
        <f t="shared" si="2"/>
        <v>152026</v>
      </c>
      <c r="AD6" s="74" t="str">
        <f t="shared" si="2"/>
        <v>172026</v>
      </c>
      <c r="AE6" s="74" t="str">
        <f t="shared" si="2"/>
        <v>192026</v>
      </c>
      <c r="AF6" s="74" t="str">
        <f t="shared" si="2"/>
        <v>212026</v>
      </c>
      <c r="AG6" s="74" t="str">
        <f t="shared" si="2"/>
        <v>232026</v>
      </c>
      <c r="AH6" s="74" t="str">
        <f t="shared" si="2"/>
        <v>252026</v>
      </c>
      <c r="AI6" s="74" t="str">
        <f t="shared" si="2"/>
        <v>272026</v>
      </c>
      <c r="AJ6" s="74" t="str">
        <f t="shared" si="2"/>
        <v>292026</v>
      </c>
      <c r="AK6" s="74" t="str">
        <f t="shared" si="2"/>
        <v>312026</v>
      </c>
      <c r="AL6" s="74" t="str">
        <f t="shared" si="2"/>
        <v>332026</v>
      </c>
      <c r="AM6" s="74" t="str">
        <f t="shared" si="2"/>
        <v>352026</v>
      </c>
      <c r="AN6" s="74" t="str">
        <f t="shared" si="2"/>
        <v>372026</v>
      </c>
      <c r="AO6" s="74" t="str">
        <f t="shared" si="2"/>
        <v>392026</v>
      </c>
      <c r="AP6" s="74" t="str">
        <f t="shared" si="2"/>
        <v>412026</v>
      </c>
      <c r="AQ6" s="74" t="str">
        <f t="shared" si="2"/>
        <v>432026</v>
      </c>
      <c r="AR6" s="74" t="str">
        <f t="shared" si="2"/>
        <v>452026</v>
      </c>
      <c r="AS6" s="74" t="str">
        <f t="shared" si="2"/>
        <v>472026</v>
      </c>
      <c r="AT6" s="74" t="str">
        <f t="shared" si="2"/>
        <v>492026</v>
      </c>
      <c r="AU6" s="74" t="str">
        <f t="shared" si="2"/>
        <v>512026</v>
      </c>
      <c r="AV6" s="74" t="str">
        <f t="shared" si="2"/>
        <v>532026</v>
      </c>
      <c r="AW6" s="74" t="str">
        <f t="shared" si="2"/>
        <v>32027</v>
      </c>
      <c r="AX6" s="74" t="str">
        <f t="shared" si="2"/>
        <v>52027</v>
      </c>
    </row>
    <row r="7" spans="1:100" ht="14.25" customHeight="1" x14ac:dyDescent="0.2">
      <c r="E7" s="74">
        <f t="shared" ref="E7:AX7" si="3">EOMONTH(E8,0)</f>
        <v>45747</v>
      </c>
      <c r="F7" s="74">
        <f t="shared" si="3"/>
        <v>45777</v>
      </c>
      <c r="G7" s="74">
        <f t="shared" si="3"/>
        <v>45808</v>
      </c>
      <c r="H7" s="74">
        <f t="shared" si="3"/>
        <v>45838</v>
      </c>
      <c r="I7" s="74">
        <f t="shared" si="3"/>
        <v>45838</v>
      </c>
      <c r="J7" s="74">
        <f t="shared" si="3"/>
        <v>45869</v>
      </c>
      <c r="K7" s="74">
        <f t="shared" si="3"/>
        <v>45869</v>
      </c>
      <c r="L7" s="74">
        <f t="shared" si="3"/>
        <v>45900</v>
      </c>
      <c r="M7" s="74">
        <f t="shared" si="3"/>
        <v>45900</v>
      </c>
      <c r="N7" s="74">
        <f t="shared" si="3"/>
        <v>45930</v>
      </c>
      <c r="O7" s="74">
        <f t="shared" si="3"/>
        <v>45930</v>
      </c>
      <c r="P7" s="74">
        <f t="shared" si="3"/>
        <v>45961</v>
      </c>
      <c r="Q7" s="74">
        <f t="shared" si="3"/>
        <v>45961</v>
      </c>
      <c r="R7" s="74">
        <f t="shared" si="3"/>
        <v>45991</v>
      </c>
      <c r="S7" s="74">
        <f t="shared" si="3"/>
        <v>45991</v>
      </c>
      <c r="T7" s="74">
        <f t="shared" si="3"/>
        <v>46022</v>
      </c>
      <c r="U7" s="74">
        <f t="shared" si="3"/>
        <v>46022</v>
      </c>
      <c r="V7" s="74">
        <f t="shared" si="3"/>
        <v>46022</v>
      </c>
      <c r="W7" s="74">
        <f t="shared" si="3"/>
        <v>46053</v>
      </c>
      <c r="X7" s="74">
        <f t="shared" si="3"/>
        <v>46053</v>
      </c>
      <c r="Y7" s="74">
        <f t="shared" si="3"/>
        <v>46081</v>
      </c>
      <c r="Z7" s="74">
        <f t="shared" si="3"/>
        <v>46081</v>
      </c>
      <c r="AA7" s="74">
        <f t="shared" si="3"/>
        <v>46112</v>
      </c>
      <c r="AB7" s="74">
        <f t="shared" si="3"/>
        <v>46112</v>
      </c>
      <c r="AC7" s="74">
        <f t="shared" si="3"/>
        <v>46142</v>
      </c>
      <c r="AD7" s="74">
        <f t="shared" si="3"/>
        <v>46142</v>
      </c>
      <c r="AE7" s="74">
        <f t="shared" si="3"/>
        <v>46173</v>
      </c>
      <c r="AF7" s="74">
        <f t="shared" si="3"/>
        <v>46173</v>
      </c>
      <c r="AG7" s="74">
        <f t="shared" si="3"/>
        <v>46203</v>
      </c>
      <c r="AH7" s="74">
        <f t="shared" si="3"/>
        <v>46203</v>
      </c>
      <c r="AI7" s="74">
        <f t="shared" si="3"/>
        <v>46203</v>
      </c>
      <c r="AJ7" s="74">
        <f t="shared" si="3"/>
        <v>46234</v>
      </c>
      <c r="AK7" s="74">
        <f t="shared" si="3"/>
        <v>46234</v>
      </c>
      <c r="AL7" s="74">
        <f t="shared" si="3"/>
        <v>46265</v>
      </c>
      <c r="AM7" s="74">
        <f t="shared" si="3"/>
        <v>46265</v>
      </c>
      <c r="AN7" s="74">
        <f t="shared" si="3"/>
        <v>46295</v>
      </c>
      <c r="AO7" s="74">
        <f t="shared" si="3"/>
        <v>46295</v>
      </c>
      <c r="AP7" s="74">
        <f t="shared" si="3"/>
        <v>46326</v>
      </c>
      <c r="AQ7" s="74">
        <f t="shared" si="3"/>
        <v>46326</v>
      </c>
      <c r="AR7" s="74">
        <f t="shared" si="3"/>
        <v>46356</v>
      </c>
      <c r="AS7" s="74">
        <f t="shared" si="3"/>
        <v>46356</v>
      </c>
      <c r="AT7" s="74">
        <f t="shared" si="3"/>
        <v>46356</v>
      </c>
      <c r="AU7" s="74">
        <f t="shared" si="3"/>
        <v>46387</v>
      </c>
      <c r="AV7" s="74">
        <f t="shared" si="3"/>
        <v>46387</v>
      </c>
      <c r="AW7" s="74">
        <f t="shared" si="3"/>
        <v>46418</v>
      </c>
      <c r="AX7" s="74">
        <f t="shared" si="3"/>
        <v>46418</v>
      </c>
      <c r="CT7" s="74"/>
      <c r="CU7" s="74"/>
      <c r="CV7" s="74"/>
    </row>
    <row r="8" spans="1:100" ht="14.25" customHeight="1" x14ac:dyDescent="0.2">
      <c r="E8" s="74">
        <v>45747</v>
      </c>
      <c r="F8" s="74">
        <f t="shared" ref="F8" si="4">+E8+14</f>
        <v>45761</v>
      </c>
      <c r="G8" s="74">
        <v>45796</v>
      </c>
      <c r="H8" s="74">
        <v>45817</v>
      </c>
      <c r="I8" s="74">
        <f>+H8+14</f>
        <v>45831</v>
      </c>
      <c r="J8" s="74">
        <f>+I8+14</f>
        <v>45845</v>
      </c>
      <c r="K8" s="74">
        <f t="shared" ref="K8:AX8" si="5">+J8+14</f>
        <v>45859</v>
      </c>
      <c r="L8" s="74">
        <f t="shared" si="5"/>
        <v>45873</v>
      </c>
      <c r="M8" s="74">
        <f t="shared" si="5"/>
        <v>45887</v>
      </c>
      <c r="N8" s="74">
        <v>45908</v>
      </c>
      <c r="O8" s="74">
        <f t="shared" si="5"/>
        <v>45922</v>
      </c>
      <c r="P8" s="74">
        <f t="shared" si="5"/>
        <v>45936</v>
      </c>
      <c r="Q8" s="74">
        <f t="shared" si="5"/>
        <v>45950</v>
      </c>
      <c r="R8" s="74">
        <f t="shared" si="5"/>
        <v>45964</v>
      </c>
      <c r="S8" s="74">
        <f t="shared" si="5"/>
        <v>45978</v>
      </c>
      <c r="T8" s="74">
        <f t="shared" si="5"/>
        <v>45992</v>
      </c>
      <c r="U8" s="74">
        <f t="shared" si="5"/>
        <v>46006</v>
      </c>
      <c r="V8" s="74">
        <f t="shared" si="5"/>
        <v>46020</v>
      </c>
      <c r="W8" s="74">
        <f t="shared" si="5"/>
        <v>46034</v>
      </c>
      <c r="X8" s="74">
        <f t="shared" si="5"/>
        <v>46048</v>
      </c>
      <c r="Y8" s="74">
        <f t="shared" si="5"/>
        <v>46062</v>
      </c>
      <c r="Z8" s="74">
        <f t="shared" si="5"/>
        <v>46076</v>
      </c>
      <c r="AA8" s="74">
        <f t="shared" si="5"/>
        <v>46090</v>
      </c>
      <c r="AB8" s="74">
        <f t="shared" si="5"/>
        <v>46104</v>
      </c>
      <c r="AC8" s="74">
        <f t="shared" si="5"/>
        <v>46118</v>
      </c>
      <c r="AD8" s="74">
        <f t="shared" si="5"/>
        <v>46132</v>
      </c>
      <c r="AE8" s="74">
        <f t="shared" si="5"/>
        <v>46146</v>
      </c>
      <c r="AF8" s="74">
        <f t="shared" si="5"/>
        <v>46160</v>
      </c>
      <c r="AG8" s="74">
        <f t="shared" si="5"/>
        <v>46174</v>
      </c>
      <c r="AH8" s="74">
        <f t="shared" si="5"/>
        <v>46188</v>
      </c>
      <c r="AI8" s="74">
        <f t="shared" si="5"/>
        <v>46202</v>
      </c>
      <c r="AJ8" s="74">
        <f t="shared" si="5"/>
        <v>46216</v>
      </c>
      <c r="AK8" s="74">
        <f t="shared" si="5"/>
        <v>46230</v>
      </c>
      <c r="AL8" s="74">
        <f t="shared" si="5"/>
        <v>46244</v>
      </c>
      <c r="AM8" s="74">
        <f t="shared" si="5"/>
        <v>46258</v>
      </c>
      <c r="AN8" s="74">
        <f t="shared" si="5"/>
        <v>46272</v>
      </c>
      <c r="AO8" s="74">
        <f t="shared" si="5"/>
        <v>46286</v>
      </c>
      <c r="AP8" s="74">
        <f t="shared" si="5"/>
        <v>46300</v>
      </c>
      <c r="AQ8" s="74">
        <f t="shared" si="5"/>
        <v>46314</v>
      </c>
      <c r="AR8" s="74">
        <f t="shared" si="5"/>
        <v>46328</v>
      </c>
      <c r="AS8" s="74">
        <f t="shared" si="5"/>
        <v>46342</v>
      </c>
      <c r="AT8" s="74">
        <f t="shared" si="5"/>
        <v>46356</v>
      </c>
      <c r="AU8" s="74">
        <f t="shared" si="5"/>
        <v>46370</v>
      </c>
      <c r="AV8" s="74">
        <f t="shared" si="5"/>
        <v>46384</v>
      </c>
      <c r="AW8" s="74">
        <f t="shared" si="5"/>
        <v>46398</v>
      </c>
      <c r="AX8" s="74">
        <f t="shared" si="5"/>
        <v>46412</v>
      </c>
      <c r="CT8" s="74"/>
      <c r="CU8" s="74"/>
      <c r="CV8" s="74"/>
    </row>
    <row r="9" spans="1:100" ht="14.25" customHeight="1" x14ac:dyDescent="0.2">
      <c r="A9" s="335" t="s">
        <v>525</v>
      </c>
      <c r="B9" s="151" t="s">
        <v>526</v>
      </c>
      <c r="C9" s="151" t="s">
        <v>110</v>
      </c>
      <c r="D9" s="151" t="s">
        <v>64</v>
      </c>
      <c r="E9" s="334"/>
      <c r="F9" s="334">
        <f t="array" ref="F9">INDEX('SC Cost File'!$A$2:$AB$31,MATCH($A9,'SC Cost File'!$A$2:$A$31,0),MATCH(F$7,'SC Cost File'!$A$2:$AB$2,0))/COUNTIF($E$7:$CS$7,F$7)</f>
        <v>9533</v>
      </c>
      <c r="G9" s="334">
        <f t="array" ref="G9">INDEX('SC Cost File'!$A$2:$AB$31,MATCH($A9,'SC Cost File'!$A$2:$A$31,0),MATCH(G$7,'SC Cost File'!$A$2:$AB$2,0))/COUNTIF($E$7:$CS$7,G$7)</f>
        <v>9533</v>
      </c>
      <c r="H9" s="334"/>
      <c r="I9" s="334"/>
      <c r="J9" s="334">
        <v>0</v>
      </c>
      <c r="K9" s="334">
        <f>D55</f>
        <v>2000</v>
      </c>
      <c r="L9" s="334">
        <f>SUM(E55+E57+E58)/2</f>
        <v>3937.5</v>
      </c>
      <c r="M9" s="334">
        <v>7850</v>
      </c>
      <c r="N9" s="334">
        <f>SUM(F55:F58)/2</f>
        <v>4850</v>
      </c>
      <c r="O9" s="334">
        <f t="shared" ref="O9:P9" si="6">SUM(E55:E58)/2</f>
        <v>3937.5</v>
      </c>
      <c r="P9" s="334">
        <f t="shared" si="6"/>
        <v>4850</v>
      </c>
      <c r="Q9" s="334">
        <f>SUM(G55:G58)/2</f>
        <v>4850</v>
      </c>
      <c r="R9" s="334">
        <f>SUM(H55:H58)/2</f>
        <v>4100</v>
      </c>
      <c r="S9" s="334">
        <f>SUM(H55:H58)/2</f>
        <v>4100</v>
      </c>
      <c r="T9" s="334">
        <f>SUM(I55:I58)/2</f>
        <v>4100</v>
      </c>
      <c r="U9" s="334">
        <f>SUM(I55:I58)/2</f>
        <v>4100</v>
      </c>
      <c r="V9" s="334">
        <f>SUM(J55:J58)/2</f>
        <v>8350</v>
      </c>
      <c r="W9" s="334">
        <f>SUM(J55:J57)/2</f>
        <v>8350</v>
      </c>
      <c r="X9" s="334">
        <f>W9</f>
        <v>8350</v>
      </c>
      <c r="Y9" s="90">
        <f>SUM(J54:J56)/2</f>
        <v>9250</v>
      </c>
      <c r="Z9" s="90">
        <v>9250</v>
      </c>
      <c r="AA9" s="90">
        <v>9250</v>
      </c>
      <c r="AB9" s="90">
        <v>9250</v>
      </c>
      <c r="AC9" s="90">
        <v>9250</v>
      </c>
      <c r="AD9" s="90">
        <v>9250</v>
      </c>
      <c r="AE9" s="90">
        <v>9250</v>
      </c>
      <c r="AF9" s="90">
        <v>9250</v>
      </c>
      <c r="AG9" s="90">
        <v>9250</v>
      </c>
      <c r="AH9" s="90">
        <v>9250</v>
      </c>
      <c r="AI9" s="90">
        <v>9250</v>
      </c>
      <c r="AJ9" s="90">
        <v>9250</v>
      </c>
      <c r="AK9" s="90">
        <v>9250</v>
      </c>
      <c r="AL9" s="90">
        <v>9250</v>
      </c>
      <c r="AM9" s="90">
        <v>9250</v>
      </c>
      <c r="AN9" s="90">
        <v>9250</v>
      </c>
      <c r="AO9" s="90">
        <v>9250</v>
      </c>
      <c r="AP9" s="90">
        <v>9250</v>
      </c>
      <c r="AQ9" s="90">
        <v>9250</v>
      </c>
      <c r="AR9" s="90">
        <v>9250</v>
      </c>
      <c r="AS9" s="90">
        <v>9250</v>
      </c>
      <c r="AT9" s="90">
        <v>9250</v>
      </c>
      <c r="AU9" s="90">
        <v>9250</v>
      </c>
      <c r="AV9" s="90">
        <v>9250</v>
      </c>
      <c r="AW9" s="90">
        <v>9250</v>
      </c>
      <c r="AX9" s="90">
        <v>9250</v>
      </c>
      <c r="CT9" s="90"/>
      <c r="CU9" s="90"/>
      <c r="CV9" s="90"/>
    </row>
    <row r="10" spans="1:100" ht="14.25" customHeight="1" x14ac:dyDescent="0.2">
      <c r="A10" s="1" t="s">
        <v>527</v>
      </c>
      <c r="B10" s="41" t="s">
        <v>528</v>
      </c>
      <c r="C10" s="41"/>
      <c r="D10" s="41" t="s">
        <v>64</v>
      </c>
      <c r="E10" s="90">
        <f t="array" ref="E10">INDEX('SC Cost File'!$A$2:$AB$31,MATCH($A10,'SC Cost File'!$A$2:$A$31,0),MATCH(E$7,'SC Cost File'!$A$2:$AB$2,0))/COUNTIF($E$7:$CS$7,E$7)</f>
        <v>0</v>
      </c>
      <c r="F10" s="90">
        <f t="array" ref="F10">INDEX('SC Cost File'!$A$2:$AB$31,MATCH($A10,'SC Cost File'!$A$2:$A$31,0),MATCH(F$7,'SC Cost File'!$A$2:$AB$2,0))/COUNTIF($E$7:$CS$7,F$7)</f>
        <v>0</v>
      </c>
      <c r="G10" s="90">
        <f t="array" ref="G10">INDEX('SC Cost File'!$A$2:$AB$31,MATCH($A10,'SC Cost File'!$A$2:$A$31,0),MATCH(G$7,'SC Cost File'!$A$2:$AB$2,0))/COUNTIF($E$7:$CS$7,G$7)</f>
        <v>0</v>
      </c>
      <c r="H10" s="90">
        <f t="array" ref="H10">INDEX('SC Cost File'!$A$2:$AB$31,MATCH($A10,'SC Cost File'!$A$2:$A$31,0),MATCH(H$7,'SC Cost File'!$A$2:$AB$2,0))/COUNTIF($E$7:$CS$7,H$7)</f>
        <v>0</v>
      </c>
      <c r="I10" s="90">
        <f t="array" ref="I10">INDEX('SC Cost File'!$A$2:$AB$31,MATCH($A10,'SC Cost File'!$A$2:$A$31,0),MATCH(I$7,'SC Cost File'!$A$2:$AB$2,0))/COUNTIF($E$7:$CS$7,I$7)</f>
        <v>0</v>
      </c>
      <c r="J10" s="90">
        <v>0</v>
      </c>
      <c r="K10" s="90">
        <v>0</v>
      </c>
      <c r="L10" s="90">
        <v>0</v>
      </c>
      <c r="M10" s="90">
        <v>0</v>
      </c>
      <c r="N10" s="90">
        <v>0</v>
      </c>
      <c r="O10" s="90">
        <v>0</v>
      </c>
      <c r="P10" s="90">
        <v>0</v>
      </c>
      <c r="Q10" s="90">
        <v>0</v>
      </c>
      <c r="R10" s="90">
        <v>0</v>
      </c>
      <c r="S10" s="90">
        <v>0</v>
      </c>
      <c r="T10" s="90">
        <v>0</v>
      </c>
      <c r="U10" s="90">
        <v>0</v>
      </c>
      <c r="V10" s="90">
        <v>0</v>
      </c>
      <c r="W10" s="90">
        <v>0</v>
      </c>
      <c r="X10" s="90">
        <v>0</v>
      </c>
      <c r="Y10" s="90">
        <v>0</v>
      </c>
      <c r="Z10" s="90">
        <v>0</v>
      </c>
      <c r="AA10" s="90"/>
      <c r="AB10" s="90"/>
      <c r="AC10" s="90">
        <f>N41</f>
        <v>312272.60416666663</v>
      </c>
      <c r="AD10" s="90">
        <v>0</v>
      </c>
      <c r="AE10" s="90"/>
      <c r="AF10" s="90">
        <v>0</v>
      </c>
      <c r="AG10" s="90">
        <v>0</v>
      </c>
      <c r="AH10" s="90">
        <v>0</v>
      </c>
      <c r="AI10" s="90">
        <v>0</v>
      </c>
      <c r="AJ10" s="90">
        <v>0</v>
      </c>
      <c r="AK10" s="90">
        <v>0</v>
      </c>
      <c r="AL10" s="90">
        <v>0</v>
      </c>
      <c r="AM10" s="90">
        <v>0</v>
      </c>
      <c r="AN10" s="90">
        <v>0</v>
      </c>
      <c r="AO10" s="90">
        <v>0</v>
      </c>
      <c r="AP10" s="90">
        <v>0</v>
      </c>
      <c r="AQ10" s="90">
        <v>0</v>
      </c>
      <c r="AR10" s="90">
        <v>0</v>
      </c>
      <c r="AS10" s="90">
        <v>0</v>
      </c>
      <c r="AT10" s="90">
        <v>0</v>
      </c>
      <c r="AU10" s="90">
        <v>0</v>
      </c>
      <c r="AV10" s="90">
        <v>0</v>
      </c>
      <c r="AW10" s="90">
        <v>0</v>
      </c>
      <c r="AX10" s="90">
        <v>0</v>
      </c>
      <c r="CT10" s="90"/>
      <c r="CU10" s="90"/>
      <c r="CV10" s="90"/>
    </row>
    <row r="11" spans="1:100" ht="14.25" customHeight="1" x14ac:dyDescent="0.2">
      <c r="A11" s="1" t="s">
        <v>529</v>
      </c>
      <c r="B11" s="41" t="s">
        <v>530</v>
      </c>
      <c r="C11" s="41" t="s">
        <v>110</v>
      </c>
      <c r="D11" s="41" t="s">
        <v>64</v>
      </c>
      <c r="E11" s="90">
        <v>0</v>
      </c>
      <c r="F11" s="90">
        <f t="array" ref="F11">INDEX('SC Cost File'!$A$2:$AB$31,MATCH($A11,'SC Cost File'!$A$2:$A$31,0),MATCH(F$7,'SC Cost File'!$A$2:$AB$2,0))/COUNTIF($E$7:$CS$7,F$7)</f>
        <v>10000</v>
      </c>
      <c r="G11" s="90">
        <f t="array" ref="G11">INDEX('SC Cost File'!$A$2:$AB$31,MATCH($A11,'SC Cost File'!$A$2:$A$31,0),MATCH(G$7,'SC Cost File'!$A$2:$AB$2,0))/COUNTIF($E$7:$CS$7,G$7)</f>
        <v>10000</v>
      </c>
      <c r="H11" s="90">
        <v>10000</v>
      </c>
      <c r="I11" s="90">
        <v>10000</v>
      </c>
      <c r="J11" s="90">
        <v>10000</v>
      </c>
      <c r="K11" s="90">
        <v>10000</v>
      </c>
      <c r="L11" s="90">
        <v>10000</v>
      </c>
      <c r="M11" s="90">
        <v>10000</v>
      </c>
      <c r="N11" s="90">
        <v>10000</v>
      </c>
      <c r="O11" s="90">
        <f>N11</f>
        <v>10000</v>
      </c>
      <c r="P11" s="90">
        <v>8000</v>
      </c>
      <c r="Q11" s="90">
        <f>P11</f>
        <v>8000</v>
      </c>
      <c r="R11" s="90">
        <v>8000</v>
      </c>
      <c r="S11" s="90">
        <v>8000</v>
      </c>
      <c r="T11" s="90">
        <v>8000</v>
      </c>
      <c r="U11" s="90">
        <v>8000</v>
      </c>
      <c r="V11" s="90">
        <v>8000</v>
      </c>
      <c r="W11" s="90">
        <v>8000</v>
      </c>
      <c r="X11" s="90">
        <v>8000</v>
      </c>
      <c r="Y11" s="90">
        <v>8000</v>
      </c>
      <c r="Z11" s="90">
        <v>8000</v>
      </c>
      <c r="AA11" s="90">
        <v>8000</v>
      </c>
      <c r="AB11" s="90">
        <v>8000</v>
      </c>
      <c r="AC11" s="90">
        <v>8000</v>
      </c>
      <c r="AD11" s="90">
        <v>8000</v>
      </c>
      <c r="AE11" s="90">
        <v>8000</v>
      </c>
      <c r="AF11" s="90">
        <v>8000</v>
      </c>
      <c r="AG11" s="90">
        <v>8000</v>
      </c>
      <c r="AH11" s="90">
        <v>8000</v>
      </c>
      <c r="AI11" s="90">
        <v>8000</v>
      </c>
      <c r="AJ11" s="90">
        <v>8000</v>
      </c>
      <c r="AK11" s="90">
        <v>8000</v>
      </c>
      <c r="AL11" s="90">
        <v>8000</v>
      </c>
      <c r="AM11" s="90">
        <v>8000</v>
      </c>
      <c r="AN11" s="90">
        <v>8000</v>
      </c>
      <c r="AO11" s="90">
        <v>8000</v>
      </c>
      <c r="AP11" s="90">
        <v>8000</v>
      </c>
      <c r="AQ11" s="90">
        <v>8000</v>
      </c>
      <c r="AR11" s="90">
        <v>8000</v>
      </c>
      <c r="AS11" s="90">
        <v>8000</v>
      </c>
      <c r="AT11" s="90">
        <v>8000</v>
      </c>
      <c r="AU11" s="90">
        <v>8000</v>
      </c>
      <c r="AV11" s="90">
        <v>8000</v>
      </c>
      <c r="AW11" s="90">
        <v>8000</v>
      </c>
      <c r="AX11" s="90">
        <v>8000</v>
      </c>
      <c r="CT11" s="90"/>
      <c r="CU11" s="90"/>
      <c r="CV11" s="90"/>
    </row>
    <row r="12" spans="1:100" ht="14.25" customHeight="1" x14ac:dyDescent="0.2">
      <c r="A12" s="1" t="s">
        <v>531</v>
      </c>
      <c r="B12" s="41" t="s">
        <v>386</v>
      </c>
      <c r="C12" s="41" t="s">
        <v>110</v>
      </c>
      <c r="D12" s="41" t="s">
        <v>64</v>
      </c>
      <c r="E12" s="90">
        <f t="array" ref="E12">INDEX('SC Cost File'!$A$2:$AB$31,MATCH($A12,'SC Cost File'!$A$2:$A$31,0),MATCH(E$7,'SC Cost File'!$A$2:$AB$2,0))/COUNTIF($E$7:$CS$7,E$7)</f>
        <v>0</v>
      </c>
      <c r="F12" s="90">
        <f t="array" ref="F12">INDEX('SC Cost File'!$A$2:$AB$31,MATCH($A12,'SC Cost File'!$A$2:$A$31,0),MATCH(F$7,'SC Cost File'!$A$2:$AB$2,0))/COUNTIF($E$7:$CS$7,F$7)</f>
        <v>0</v>
      </c>
      <c r="G12" s="90">
        <f t="array" ref="G12">INDEX('SC Cost File'!$A$2:$AB$31,MATCH($A12,'SC Cost File'!$A$2:$A$31,0),MATCH(G$7,'SC Cost File'!$A$2:$AB$2,0))/COUNTIF($E$7:$CS$7,G$7)</f>
        <v>0</v>
      </c>
      <c r="H12" s="90">
        <f t="array" ref="H12">INDEX('SC Cost File'!$A$2:$AB$31,MATCH($A12,'SC Cost File'!$A$2:$A$31,0),MATCH(H$7,'SC Cost File'!$A$2:$AB$2,0))/COUNTIF($E$7:$CS$7,H$7)</f>
        <v>0</v>
      </c>
      <c r="I12" s="90">
        <f t="array" ref="I12">INDEX('SC Cost File'!$A$2:$AB$31,MATCH($A12,'SC Cost File'!$A$2:$A$31,0),MATCH(I$7,'SC Cost File'!$A$2:$AB$2,0))/COUNTIF($E$7:$CS$7,I$7)</f>
        <v>0</v>
      </c>
      <c r="J12" s="90">
        <f t="array" ref="J12">INDEX('SC Cost File'!$A$2:$AB$31,MATCH($A12,'SC Cost File'!$A$2:$A$31,0),MATCH(J$7,'SC Cost File'!$A$2:$AB$2,0))/COUNTIF($E$7:$CS$7,J$7)</f>
        <v>0</v>
      </c>
      <c r="K12" s="90"/>
      <c r="L12" s="90">
        <f>F43+F44</f>
        <v>4640</v>
      </c>
      <c r="M12" s="90">
        <v>4640</v>
      </c>
      <c r="N12" s="90">
        <v>4640</v>
      </c>
      <c r="O12" s="90">
        <v>4640</v>
      </c>
      <c r="P12" s="90">
        <v>4640</v>
      </c>
      <c r="Q12" s="90">
        <v>4640</v>
      </c>
      <c r="R12" s="90">
        <v>4640</v>
      </c>
      <c r="S12" s="90">
        <v>4640</v>
      </c>
      <c r="T12" s="90">
        <v>4640</v>
      </c>
      <c r="U12" s="90">
        <v>4640</v>
      </c>
      <c r="V12" s="90">
        <v>4640</v>
      </c>
      <c r="W12" s="90">
        <v>4640</v>
      </c>
      <c r="X12" s="90">
        <v>4640</v>
      </c>
      <c r="Y12" s="90">
        <v>4640</v>
      </c>
      <c r="Z12" s="90">
        <v>4640</v>
      </c>
      <c r="AA12" s="90">
        <v>4640</v>
      </c>
      <c r="AB12" s="90">
        <v>4640</v>
      </c>
      <c r="AC12" s="90">
        <v>4640</v>
      </c>
      <c r="AD12" s="90">
        <v>4640</v>
      </c>
      <c r="AE12" s="90">
        <v>4640</v>
      </c>
      <c r="AF12" s="90">
        <v>4640</v>
      </c>
      <c r="AG12" s="90">
        <v>4640</v>
      </c>
      <c r="AH12" s="90">
        <v>4640</v>
      </c>
      <c r="AI12" s="90">
        <v>4640</v>
      </c>
      <c r="AJ12" s="90">
        <v>4640</v>
      </c>
      <c r="AK12" s="90">
        <v>4640</v>
      </c>
      <c r="AL12" s="90">
        <v>4640</v>
      </c>
      <c r="AM12" s="90">
        <v>4640</v>
      </c>
      <c r="AN12" s="90">
        <v>4640</v>
      </c>
      <c r="AO12" s="90">
        <v>4640</v>
      </c>
      <c r="AP12" s="90">
        <v>4640</v>
      </c>
      <c r="AQ12" s="90">
        <v>4640</v>
      </c>
      <c r="AR12" s="90">
        <v>4640</v>
      </c>
      <c r="AS12" s="90">
        <v>4640</v>
      </c>
      <c r="AT12" s="90">
        <v>4640</v>
      </c>
      <c r="AU12" s="90">
        <v>4640</v>
      </c>
      <c r="AV12" s="90">
        <v>4640</v>
      </c>
      <c r="AW12" s="90">
        <v>4640</v>
      </c>
      <c r="AX12" s="90">
        <v>4640</v>
      </c>
      <c r="CT12" s="90"/>
      <c r="CU12" s="90"/>
      <c r="CV12" s="90"/>
    </row>
    <row r="13" spans="1:100" ht="14.25" customHeight="1" x14ac:dyDescent="0.2">
      <c r="A13" s="1" t="s">
        <v>532</v>
      </c>
      <c r="B13" s="151" t="s">
        <v>533</v>
      </c>
      <c r="C13" s="41" t="s">
        <v>110</v>
      </c>
      <c r="D13" s="41" t="s">
        <v>64</v>
      </c>
      <c r="E13" s="90">
        <f t="array" ref="E13">INDEX('SC Cost File'!$A$2:$AB$31,MATCH($A13,'SC Cost File'!$A$2:$A$31,0),MATCH(E$7,'SC Cost File'!$A$2:$AB$2,0))/COUNTIF($E$7:$CS$7,E$7)</f>
        <v>3000</v>
      </c>
      <c r="F13" s="90">
        <f t="array" ref="F13">INDEX('SC Cost File'!$A$2:$AB$31,MATCH($A13,'SC Cost File'!$A$2:$A$31,0),MATCH(F$7,'SC Cost File'!$A$2:$AB$2,0))/COUNTIF($E$7:$CS$7,F$7)</f>
        <v>3000</v>
      </c>
      <c r="G13" s="90">
        <f t="array" ref="G13">INDEX('SC Cost File'!$A$2:$AB$31,MATCH($A13,'SC Cost File'!$A$2:$A$31,0),MATCH(G$7,'SC Cost File'!$A$2:$AB$2,0))/COUNTIF($E$7:$CS$7,G$7)</f>
        <v>3000</v>
      </c>
      <c r="H13" s="90">
        <f t="array" ref="H13">INDEX('SC Cost File'!$A$2:$AB$31,MATCH($A13,'SC Cost File'!$A$2:$A$31,0),MATCH(H$7,'SC Cost File'!$A$2:$AB$2,0))/COUNTIF($E$7:$CS$7,H$7)</f>
        <v>1500</v>
      </c>
      <c r="I13" s="90">
        <f t="array" ref="I13">INDEX('SC Cost File'!$A$2:$AB$31,MATCH($A13,'SC Cost File'!$A$2:$A$31,0),MATCH(I$7,'SC Cost File'!$A$2:$AB$2,0))/COUNTIF($E$7:$CS$7,I$7)</f>
        <v>1500</v>
      </c>
      <c r="J13" s="90">
        <f t="array" ref="J13">INDEX('SC Cost File'!$A$2:$AB$31,MATCH($A13,'SC Cost File'!$A$2:$A$31,0),MATCH(J$7,'SC Cost File'!$A$2:$AB$2,0))/COUNTIF($E$7:$CS$7,J$7)</f>
        <v>3000</v>
      </c>
      <c r="K13" s="90">
        <f t="array" ref="K13">INDEX('SC Cost File'!$A$2:$AB$31,MATCH($A13,'SC Cost File'!$A$2:$A$31,0),MATCH(K$7,'SC Cost File'!$A$2:$AB$2,0))/COUNTIF($E$7:$CS$7,K$7)</f>
        <v>3000</v>
      </c>
      <c r="L13" s="90">
        <f t="array" ref="L13">INDEX('SC Cost File'!$A$2:$AB$31,MATCH($A13,'SC Cost File'!$A$2:$A$31,0),MATCH(L$7,'SC Cost File'!$A$2:$AB$2,0))/COUNTIF($E$7:$CS$7,L$7)</f>
        <v>3000</v>
      </c>
      <c r="M13" s="90">
        <f t="array" ref="M13">INDEX('SC Cost File'!$A$2:$AB$31,MATCH($A13,'SC Cost File'!$A$2:$A$31,0),MATCH(M$7,'SC Cost File'!$A$2:$AB$2,0))/COUNTIF($E$7:$CS$7,M$7)</f>
        <v>3000</v>
      </c>
      <c r="N13" s="90"/>
      <c r="O13" s="90">
        <v>5000</v>
      </c>
      <c r="P13" s="90"/>
      <c r="Q13" s="90">
        <v>6750</v>
      </c>
      <c r="R13" s="90"/>
      <c r="S13" s="334">
        <v>6750</v>
      </c>
      <c r="T13" s="90"/>
      <c r="U13" s="90">
        <v>7000</v>
      </c>
      <c r="V13" s="90"/>
      <c r="W13" s="90"/>
      <c r="X13" s="90">
        <v>9000</v>
      </c>
      <c r="Y13" s="90"/>
      <c r="Z13" s="90">
        <v>9000</v>
      </c>
      <c r="AA13" s="90"/>
      <c r="AB13" s="90">
        <v>9000</v>
      </c>
      <c r="AC13" s="90"/>
      <c r="AD13" s="90">
        <v>9000</v>
      </c>
      <c r="AE13" s="90"/>
      <c r="AF13" s="90">
        <v>9000</v>
      </c>
      <c r="AG13" s="90"/>
      <c r="AH13" s="90"/>
      <c r="AI13" s="90">
        <v>9000</v>
      </c>
      <c r="AJ13" s="90"/>
      <c r="AK13" s="90">
        <v>9000</v>
      </c>
      <c r="AL13" s="90"/>
      <c r="AM13" s="90">
        <v>9000</v>
      </c>
      <c r="AN13" s="90"/>
      <c r="AO13" s="90">
        <v>9000</v>
      </c>
      <c r="AP13" s="90"/>
      <c r="AQ13" s="90">
        <v>9000</v>
      </c>
      <c r="AR13" s="90"/>
      <c r="AS13" s="90"/>
      <c r="AT13" s="90">
        <v>9000</v>
      </c>
      <c r="AU13" s="90"/>
      <c r="AV13" s="90">
        <v>9000</v>
      </c>
      <c r="AW13" s="90"/>
      <c r="AX13" s="90">
        <v>9000</v>
      </c>
      <c r="CT13" s="90"/>
      <c r="CU13" s="90"/>
      <c r="CV13" s="90"/>
    </row>
    <row r="14" spans="1:100" ht="14.25" customHeight="1" x14ac:dyDescent="0.2">
      <c r="A14" s="1" t="s">
        <v>534</v>
      </c>
      <c r="B14" s="41" t="s">
        <v>535</v>
      </c>
      <c r="C14" s="41" t="s">
        <v>110</v>
      </c>
      <c r="D14" s="41" t="s">
        <v>64</v>
      </c>
      <c r="E14" s="90"/>
      <c r="F14" s="90">
        <f t="array" ref="F14">INDEX('SC Cost File'!$A$2:$AB$31,MATCH($A14,'SC Cost File'!$A$2:$A$31,0),MATCH(F$7,'SC Cost File'!$A$2:$AB$2,0))/COUNTIF($E$7:$CS$7,F$7)</f>
        <v>20000</v>
      </c>
      <c r="G14" s="90">
        <f t="array" ref="G14">INDEX('SC Cost File'!$A$2:$AB$31,MATCH($A14,'SC Cost File'!$A$2:$A$31,0),MATCH(G$7,'SC Cost File'!$A$2:$AB$2,0))/COUNTIF($E$7:$CS$7,G$7)</f>
        <v>20000</v>
      </c>
      <c r="H14" s="90">
        <v>2500</v>
      </c>
      <c r="I14" s="90">
        <v>2500</v>
      </c>
      <c r="J14" s="90">
        <v>2500</v>
      </c>
      <c r="K14" s="90">
        <v>2500</v>
      </c>
      <c r="L14" s="90">
        <f>F42</f>
        <v>4250</v>
      </c>
      <c r="M14" s="90">
        <v>4250</v>
      </c>
      <c r="N14" s="90">
        <v>4250</v>
      </c>
      <c r="O14" s="90">
        <v>4250</v>
      </c>
      <c r="P14" s="90">
        <v>4250</v>
      </c>
      <c r="Q14" s="90">
        <v>4250</v>
      </c>
      <c r="R14" s="90">
        <v>4250</v>
      </c>
      <c r="S14" s="90">
        <v>4250</v>
      </c>
      <c r="T14" s="90">
        <v>4250</v>
      </c>
      <c r="U14" s="90">
        <v>4250</v>
      </c>
      <c r="V14" s="90">
        <v>4250</v>
      </c>
      <c r="W14" s="90">
        <v>4250</v>
      </c>
      <c r="X14" s="90">
        <v>4250</v>
      </c>
      <c r="Y14" s="90">
        <v>4250</v>
      </c>
      <c r="Z14" s="90">
        <v>4250</v>
      </c>
      <c r="AA14" s="90">
        <v>4250</v>
      </c>
      <c r="AB14" s="90">
        <v>4250</v>
      </c>
      <c r="AC14" s="90">
        <v>4250</v>
      </c>
      <c r="AD14" s="90">
        <v>4250</v>
      </c>
      <c r="AE14" s="90">
        <v>4250</v>
      </c>
      <c r="AF14" s="90">
        <v>4250</v>
      </c>
      <c r="AG14" s="90">
        <v>4250</v>
      </c>
      <c r="AH14" s="90">
        <v>4250</v>
      </c>
      <c r="AI14" s="90">
        <v>4250</v>
      </c>
      <c r="AJ14" s="90">
        <v>4250</v>
      </c>
      <c r="AK14" s="90">
        <v>4250</v>
      </c>
      <c r="AL14" s="90">
        <v>4250</v>
      </c>
      <c r="AM14" s="90">
        <v>4250</v>
      </c>
      <c r="AN14" s="90">
        <v>4250</v>
      </c>
      <c r="AO14" s="90">
        <v>4250</v>
      </c>
      <c r="AP14" s="90">
        <v>4250</v>
      </c>
      <c r="AQ14" s="90">
        <v>4250</v>
      </c>
      <c r="AR14" s="90">
        <v>4250</v>
      </c>
      <c r="AS14" s="90">
        <v>4250</v>
      </c>
      <c r="AT14" s="90">
        <v>4250</v>
      </c>
      <c r="AU14" s="90">
        <v>4250</v>
      </c>
      <c r="AV14" s="90">
        <v>4250</v>
      </c>
      <c r="AW14" s="90">
        <v>4250</v>
      </c>
      <c r="AX14" s="90">
        <v>4250</v>
      </c>
      <c r="CT14" s="90"/>
      <c r="CU14" s="90"/>
      <c r="CV14" s="90"/>
    </row>
    <row r="15" spans="1:100" ht="14.25" customHeight="1" x14ac:dyDescent="0.2">
      <c r="A15" s="1" t="s">
        <v>536</v>
      </c>
      <c r="B15" s="41" t="s">
        <v>537</v>
      </c>
      <c r="C15" s="41" t="s">
        <v>25</v>
      </c>
      <c r="D15" s="41" t="s">
        <v>64</v>
      </c>
      <c r="E15" s="90"/>
      <c r="F15" s="334">
        <f t="array" ref="F15">INDEX('SC Cost File'!$A$2:$AB$31,MATCH($A15,'SC Cost File'!$A$2:$A$31,0),MATCH(F$7,'SC Cost File'!$A$2:$AB$2,0))/COUNTIF($E$7:$CS$7,F$7)</f>
        <v>20000</v>
      </c>
      <c r="G15" s="90">
        <f t="array" ref="G15">INDEX('SC Cost File'!$A$2:$AB$31,MATCH($A15,'SC Cost File'!$A$2:$A$31,0),MATCH(G$7,'SC Cost File'!$A$2:$AB$2,0))/COUNTIF($E$7:$CS$7,G$7)</f>
        <v>20000</v>
      </c>
      <c r="H15" s="90"/>
      <c r="I15" s="90"/>
      <c r="J15" s="90">
        <v>0</v>
      </c>
      <c r="K15" s="90">
        <v>0</v>
      </c>
      <c r="L15" s="90">
        <v>0</v>
      </c>
      <c r="M15" s="90">
        <v>0</v>
      </c>
      <c r="N15" s="90">
        <v>3750</v>
      </c>
      <c r="O15" s="90">
        <v>0</v>
      </c>
      <c r="P15" s="90">
        <v>7500</v>
      </c>
      <c r="Q15" s="90">
        <v>0</v>
      </c>
      <c r="R15" s="90">
        <v>7930</v>
      </c>
      <c r="S15" s="90">
        <v>7291.67</v>
      </c>
      <c r="T15" s="334">
        <f>7500+6634+10000+2000</f>
        <v>26134</v>
      </c>
      <c r="U15" s="90">
        <f>7500+6634</f>
        <v>14134</v>
      </c>
      <c r="V15" s="90">
        <f t="shared" ref="V15:AJ15" si="7">7500+6634</f>
        <v>14134</v>
      </c>
      <c r="W15" s="90">
        <f t="shared" si="7"/>
        <v>14134</v>
      </c>
      <c r="X15" s="90">
        <f t="shared" si="7"/>
        <v>14134</v>
      </c>
      <c r="Y15" s="334">
        <f>7500+6634+10000+2000</f>
        <v>26134</v>
      </c>
      <c r="Z15" s="90">
        <f>7500+6731</f>
        <v>14231</v>
      </c>
      <c r="AA15" s="90">
        <f t="shared" ref="AA15:AF15" si="8">7500+6731</f>
        <v>14231</v>
      </c>
      <c r="AB15" s="90">
        <f t="shared" si="8"/>
        <v>14231</v>
      </c>
      <c r="AC15" s="334">
        <f>7500+6731+10000+2000</f>
        <v>26231</v>
      </c>
      <c r="AD15" s="90">
        <f t="shared" si="8"/>
        <v>14231</v>
      </c>
      <c r="AE15" s="90">
        <f t="shared" si="8"/>
        <v>14231</v>
      </c>
      <c r="AF15" s="90">
        <f t="shared" si="8"/>
        <v>14231</v>
      </c>
      <c r="AG15" s="334">
        <f>7500+6731+10000+2000</f>
        <v>26231</v>
      </c>
      <c r="AH15" s="90">
        <f t="shared" si="7"/>
        <v>14134</v>
      </c>
      <c r="AI15" s="90">
        <f t="shared" si="7"/>
        <v>14134</v>
      </c>
      <c r="AJ15" s="90">
        <f t="shared" si="7"/>
        <v>14134</v>
      </c>
      <c r="AK15" s="334">
        <f>7500+6731+10000+2000</f>
        <v>26231</v>
      </c>
      <c r="AL15" s="90">
        <f>10000+6731</f>
        <v>16731</v>
      </c>
      <c r="AM15" s="90">
        <f t="shared" ref="AM15:AW15" si="9">10000+6731</f>
        <v>16731</v>
      </c>
      <c r="AN15" s="90">
        <f t="shared" si="9"/>
        <v>16731</v>
      </c>
      <c r="AO15" s="90">
        <f t="shared" si="9"/>
        <v>16731</v>
      </c>
      <c r="AP15" s="334">
        <f>7500+6731+10000+2000</f>
        <v>26231</v>
      </c>
      <c r="AQ15" s="90">
        <f t="shared" si="9"/>
        <v>16731</v>
      </c>
      <c r="AR15" s="90">
        <f t="shared" si="9"/>
        <v>16731</v>
      </c>
      <c r="AS15" s="90">
        <f t="shared" si="9"/>
        <v>16731</v>
      </c>
      <c r="AT15" s="334">
        <f>7500+6731+10000+2000</f>
        <v>26231</v>
      </c>
      <c r="AU15" s="90">
        <f t="shared" si="9"/>
        <v>16731</v>
      </c>
      <c r="AV15" s="90">
        <f t="shared" si="9"/>
        <v>16731</v>
      </c>
      <c r="AW15" s="90">
        <f t="shared" si="9"/>
        <v>16731</v>
      </c>
      <c r="AX15" s="334">
        <f>7500+6731+10000+2000</f>
        <v>26231</v>
      </c>
      <c r="CT15" s="90"/>
      <c r="CU15" s="90"/>
      <c r="CV15" s="90"/>
    </row>
    <row r="16" spans="1:100" ht="14.25" customHeight="1" x14ac:dyDescent="0.2">
      <c r="A16" s="1" t="s">
        <v>180</v>
      </c>
      <c r="B16" s="41" t="s">
        <v>538</v>
      </c>
      <c r="C16" s="41" t="s">
        <v>181</v>
      </c>
      <c r="D16" s="41" t="s">
        <v>64</v>
      </c>
      <c r="E16" s="123">
        <v>0</v>
      </c>
      <c r="F16" s="123">
        <v>46679.46</v>
      </c>
      <c r="G16" s="123">
        <v>46679.46</v>
      </c>
      <c r="H16" s="123">
        <v>46679.46</v>
      </c>
      <c r="I16" s="123">
        <v>46679.46</v>
      </c>
      <c r="J16" s="123">
        <v>50000</v>
      </c>
      <c r="K16" s="90">
        <v>50000</v>
      </c>
      <c r="L16" s="90">
        <f>50000+I33-7350</f>
        <v>42650</v>
      </c>
      <c r="M16" s="90">
        <f>L16+I34</f>
        <v>42650</v>
      </c>
      <c r="N16" s="90">
        <f>I45</f>
        <v>48442.692307692312</v>
      </c>
      <c r="O16" s="90">
        <f>N16</f>
        <v>48442.692307692312</v>
      </c>
      <c r="P16" s="90">
        <f>O16</f>
        <v>48442.692307692312</v>
      </c>
      <c r="Q16" s="90">
        <f t="shared" ref="Q16:AX16" si="10">P16</f>
        <v>48442.692307692312</v>
      </c>
      <c r="R16" s="90">
        <f t="shared" si="10"/>
        <v>48442.692307692312</v>
      </c>
      <c r="S16" s="90">
        <f t="shared" si="10"/>
        <v>48442.692307692312</v>
      </c>
      <c r="T16" s="90">
        <f t="shared" si="10"/>
        <v>48442.692307692312</v>
      </c>
      <c r="U16" s="90">
        <f t="shared" si="10"/>
        <v>48442.692307692312</v>
      </c>
      <c r="V16" s="90">
        <f t="shared" si="10"/>
        <v>48442.692307692312</v>
      </c>
      <c r="W16" s="90">
        <f t="shared" si="10"/>
        <v>48442.692307692312</v>
      </c>
      <c r="X16" s="90">
        <f t="shared" si="10"/>
        <v>48442.692307692312</v>
      </c>
      <c r="Y16" s="90">
        <f t="shared" si="10"/>
        <v>48442.692307692312</v>
      </c>
      <c r="Z16" s="90">
        <f t="shared" si="10"/>
        <v>48442.692307692312</v>
      </c>
      <c r="AA16" s="90">
        <f t="shared" si="10"/>
        <v>48442.692307692312</v>
      </c>
      <c r="AB16" s="90">
        <f t="shared" si="10"/>
        <v>48442.692307692312</v>
      </c>
      <c r="AC16" s="90">
        <f t="shared" si="10"/>
        <v>48442.692307692312</v>
      </c>
      <c r="AD16" s="90">
        <f t="shared" si="10"/>
        <v>48442.692307692312</v>
      </c>
      <c r="AE16" s="90">
        <f t="shared" si="10"/>
        <v>48442.692307692312</v>
      </c>
      <c r="AF16" s="90">
        <f t="shared" si="10"/>
        <v>48442.692307692312</v>
      </c>
      <c r="AG16" s="90">
        <f t="shared" si="10"/>
        <v>48442.692307692312</v>
      </c>
      <c r="AH16" s="90">
        <f t="shared" si="10"/>
        <v>48442.692307692312</v>
      </c>
      <c r="AI16" s="90">
        <f t="shared" si="10"/>
        <v>48442.692307692312</v>
      </c>
      <c r="AJ16" s="90">
        <f t="shared" si="10"/>
        <v>48442.692307692312</v>
      </c>
      <c r="AK16" s="90">
        <f t="shared" si="10"/>
        <v>48442.692307692312</v>
      </c>
      <c r="AL16" s="90">
        <f t="shared" si="10"/>
        <v>48442.692307692312</v>
      </c>
      <c r="AM16" s="90">
        <f t="shared" si="10"/>
        <v>48442.692307692312</v>
      </c>
      <c r="AN16" s="90">
        <f t="shared" si="10"/>
        <v>48442.692307692312</v>
      </c>
      <c r="AO16" s="90">
        <f t="shared" si="10"/>
        <v>48442.692307692312</v>
      </c>
      <c r="AP16" s="90">
        <f t="shared" si="10"/>
        <v>48442.692307692312</v>
      </c>
      <c r="AQ16" s="90">
        <f t="shared" si="10"/>
        <v>48442.692307692312</v>
      </c>
      <c r="AR16" s="90">
        <f t="shared" si="10"/>
        <v>48442.692307692312</v>
      </c>
      <c r="AS16" s="90">
        <f t="shared" si="10"/>
        <v>48442.692307692312</v>
      </c>
      <c r="AT16" s="90">
        <f t="shared" si="10"/>
        <v>48442.692307692312</v>
      </c>
      <c r="AU16" s="90">
        <f t="shared" si="10"/>
        <v>48442.692307692312</v>
      </c>
      <c r="AV16" s="90">
        <f t="shared" si="10"/>
        <v>48442.692307692312</v>
      </c>
      <c r="AW16" s="90">
        <f t="shared" si="10"/>
        <v>48442.692307692312</v>
      </c>
      <c r="AX16" s="90">
        <f t="shared" si="10"/>
        <v>48442.692307692312</v>
      </c>
      <c r="CT16" s="90"/>
      <c r="CU16" s="90"/>
      <c r="CV16" s="90"/>
    </row>
    <row r="17" spans="1:100" ht="14.25" customHeight="1" x14ac:dyDescent="0.2"/>
    <row r="18" spans="1:100" ht="14.25" customHeight="1" x14ac:dyDescent="0.2">
      <c r="A18" s="81"/>
      <c r="B18" s="81"/>
      <c r="C18" s="81"/>
      <c r="D18" s="81"/>
      <c r="E18" s="81"/>
      <c r="F18" s="81"/>
      <c r="G18" s="81"/>
      <c r="H18" s="81"/>
      <c r="I18" s="81"/>
      <c r="J18" s="81"/>
      <c r="K18" s="81"/>
      <c r="L18" s="81"/>
      <c r="M18" s="81"/>
      <c r="N18" s="81"/>
      <c r="O18" s="81"/>
      <c r="P18" s="81"/>
      <c r="Q18" s="81"/>
      <c r="R18" s="81"/>
      <c r="S18" s="81"/>
      <c r="T18" s="81"/>
      <c r="U18" s="81"/>
      <c r="V18" s="81"/>
      <c r="W18" s="81"/>
      <c r="X18" s="81"/>
      <c r="Y18" s="81"/>
      <c r="Z18" s="81"/>
      <c r="AA18" s="81"/>
      <c r="AB18" s="81"/>
      <c r="AC18" s="81"/>
      <c r="AD18" s="81"/>
      <c r="AE18" s="81"/>
      <c r="AF18" s="81"/>
      <c r="AG18" s="81"/>
      <c r="AH18" s="81"/>
      <c r="AI18" s="81"/>
      <c r="AJ18" s="81"/>
      <c r="AK18" s="81"/>
      <c r="AL18" s="81"/>
      <c r="AM18" s="81"/>
      <c r="AN18" s="81"/>
      <c r="AO18" s="81"/>
      <c r="AP18" s="81"/>
      <c r="AQ18" s="81"/>
      <c r="AR18" s="81"/>
      <c r="AS18" s="81"/>
      <c r="AT18" s="81"/>
      <c r="AU18" s="81"/>
      <c r="AV18" s="81"/>
      <c r="AW18" s="81"/>
      <c r="AX18" s="81"/>
    </row>
    <row r="19" spans="1:100" ht="14.25" customHeight="1" x14ac:dyDescent="0.2"/>
    <row r="20" spans="1:100" ht="14.25" customHeight="1" x14ac:dyDescent="0.2"/>
    <row r="21" spans="1:100" ht="14.25" customHeight="1" x14ac:dyDescent="0.2"/>
    <row r="22" spans="1:100" ht="14.25" customHeight="1" x14ac:dyDescent="0.2">
      <c r="A22" s="41"/>
      <c r="B22" s="41"/>
      <c r="C22" s="41"/>
      <c r="D22" s="41" t="s">
        <v>197</v>
      </c>
      <c r="E22" s="41">
        <f t="shared" ref="E22:N27" si="11">SUMIF($D$9:$D$18,$D22,E$9:E$18)</f>
        <v>0</v>
      </c>
      <c r="F22" s="41">
        <f t="shared" si="11"/>
        <v>0</v>
      </c>
      <c r="G22" s="41">
        <f t="shared" si="11"/>
        <v>0</v>
      </c>
      <c r="H22" s="41">
        <f t="shared" si="11"/>
        <v>0</v>
      </c>
      <c r="I22" s="41">
        <f t="shared" si="11"/>
        <v>0</v>
      </c>
      <c r="J22" s="41">
        <f t="shared" si="11"/>
        <v>0</v>
      </c>
      <c r="K22" s="41">
        <f t="shared" si="11"/>
        <v>0</v>
      </c>
      <c r="L22" s="41">
        <f t="shared" si="11"/>
        <v>0</v>
      </c>
      <c r="M22" s="41">
        <f t="shared" si="11"/>
        <v>0</v>
      </c>
      <c r="N22" s="41">
        <f t="shared" si="11"/>
        <v>0</v>
      </c>
      <c r="O22" s="41">
        <f t="shared" ref="O22:X27" si="12">SUMIF($D$9:$D$18,$D22,O$9:O$18)</f>
        <v>0</v>
      </c>
      <c r="P22" s="41">
        <f t="shared" si="12"/>
        <v>0</v>
      </c>
      <c r="Q22" s="41">
        <f t="shared" si="12"/>
        <v>0</v>
      </c>
      <c r="R22" s="41">
        <f t="shared" si="12"/>
        <v>0</v>
      </c>
      <c r="S22" s="41">
        <f t="shared" si="12"/>
        <v>0</v>
      </c>
      <c r="T22" s="41">
        <f t="shared" si="12"/>
        <v>0</v>
      </c>
      <c r="U22" s="41">
        <f t="shared" si="12"/>
        <v>0</v>
      </c>
      <c r="V22" s="41">
        <f t="shared" si="12"/>
        <v>0</v>
      </c>
      <c r="W22" s="41">
        <f t="shared" si="12"/>
        <v>0</v>
      </c>
      <c r="X22" s="41">
        <f t="shared" si="12"/>
        <v>0</v>
      </c>
      <c r="Y22" s="41">
        <f t="shared" ref="Y22:AH27" si="13">SUMIF($D$9:$D$18,$D22,Y$9:Y$18)</f>
        <v>0</v>
      </c>
      <c r="Z22" s="41">
        <f t="shared" si="13"/>
        <v>0</v>
      </c>
      <c r="AA22" s="41">
        <f t="shared" si="13"/>
        <v>0</v>
      </c>
      <c r="AB22" s="41">
        <f t="shared" si="13"/>
        <v>0</v>
      </c>
      <c r="AC22" s="41">
        <f t="shared" si="13"/>
        <v>0</v>
      </c>
      <c r="AD22" s="41">
        <f t="shared" si="13"/>
        <v>0</v>
      </c>
      <c r="AE22" s="41">
        <f t="shared" si="13"/>
        <v>0</v>
      </c>
      <c r="AF22" s="41">
        <f t="shared" si="13"/>
        <v>0</v>
      </c>
      <c r="AG22" s="41">
        <f t="shared" si="13"/>
        <v>0</v>
      </c>
      <c r="AH22" s="41">
        <f t="shared" si="13"/>
        <v>0</v>
      </c>
      <c r="AI22" s="41">
        <f t="shared" ref="AI22:AR27" si="14">SUMIF($D$9:$D$18,$D22,AI$9:AI$18)</f>
        <v>0</v>
      </c>
      <c r="AJ22" s="41">
        <f t="shared" si="14"/>
        <v>0</v>
      </c>
      <c r="AK22" s="41">
        <f t="shared" si="14"/>
        <v>0</v>
      </c>
      <c r="AL22" s="41">
        <f t="shared" si="14"/>
        <v>0</v>
      </c>
      <c r="AM22" s="41">
        <f t="shared" si="14"/>
        <v>0</v>
      </c>
      <c r="AN22" s="41">
        <f t="shared" si="14"/>
        <v>0</v>
      </c>
      <c r="AO22" s="41">
        <f t="shared" si="14"/>
        <v>0</v>
      </c>
      <c r="AP22" s="41">
        <f t="shared" si="14"/>
        <v>0</v>
      </c>
      <c r="AQ22" s="41">
        <f t="shared" si="14"/>
        <v>0</v>
      </c>
      <c r="AR22" s="41">
        <f t="shared" si="14"/>
        <v>0</v>
      </c>
      <c r="AS22" s="41">
        <f t="shared" ref="AS22:AX27" si="15">SUMIF($D$9:$D$18,$D22,AS$9:AS$18)</f>
        <v>0</v>
      </c>
      <c r="AT22" s="41">
        <f t="shared" si="15"/>
        <v>0</v>
      </c>
      <c r="AU22" s="41">
        <f t="shared" si="15"/>
        <v>0</v>
      </c>
      <c r="AV22" s="41">
        <f t="shared" si="15"/>
        <v>0</v>
      </c>
      <c r="AW22" s="41">
        <f t="shared" si="15"/>
        <v>0</v>
      </c>
      <c r="AX22" s="41">
        <f t="shared" si="15"/>
        <v>0</v>
      </c>
      <c r="CT22" s="41"/>
      <c r="CU22" s="41"/>
      <c r="CV22" s="41"/>
    </row>
    <row r="23" spans="1:100" ht="14.25" customHeight="1" x14ac:dyDescent="0.2">
      <c r="A23" s="41"/>
      <c r="B23" s="41"/>
      <c r="C23" s="41"/>
      <c r="D23" s="41" t="s">
        <v>126</v>
      </c>
      <c r="E23" s="41">
        <f t="shared" si="11"/>
        <v>0</v>
      </c>
      <c r="F23" s="41">
        <f t="shared" si="11"/>
        <v>0</v>
      </c>
      <c r="G23" s="41">
        <f t="shared" si="11"/>
        <v>0</v>
      </c>
      <c r="H23" s="41">
        <f t="shared" si="11"/>
        <v>0</v>
      </c>
      <c r="I23" s="41">
        <f t="shared" si="11"/>
        <v>0</v>
      </c>
      <c r="J23" s="41">
        <f t="shared" si="11"/>
        <v>0</v>
      </c>
      <c r="K23" s="41">
        <f t="shared" si="11"/>
        <v>0</v>
      </c>
      <c r="L23" s="41">
        <f t="shared" si="11"/>
        <v>0</v>
      </c>
      <c r="M23" s="41">
        <f t="shared" si="11"/>
        <v>0</v>
      </c>
      <c r="N23" s="41">
        <f t="shared" si="11"/>
        <v>0</v>
      </c>
      <c r="O23" s="41">
        <f t="shared" si="12"/>
        <v>0</v>
      </c>
      <c r="P23" s="41">
        <f t="shared" si="12"/>
        <v>0</v>
      </c>
      <c r="Q23" s="41">
        <f t="shared" si="12"/>
        <v>0</v>
      </c>
      <c r="R23" s="41">
        <f t="shared" si="12"/>
        <v>0</v>
      </c>
      <c r="S23" s="41">
        <f t="shared" si="12"/>
        <v>0</v>
      </c>
      <c r="T23" s="41">
        <f t="shared" si="12"/>
        <v>0</v>
      </c>
      <c r="U23" s="41">
        <f t="shared" si="12"/>
        <v>0</v>
      </c>
      <c r="V23" s="41">
        <f t="shared" si="12"/>
        <v>0</v>
      </c>
      <c r="W23" s="41">
        <f t="shared" si="12"/>
        <v>0</v>
      </c>
      <c r="X23" s="41">
        <f t="shared" si="12"/>
        <v>0</v>
      </c>
      <c r="Y23" s="41">
        <f t="shared" si="13"/>
        <v>0</v>
      </c>
      <c r="Z23" s="41">
        <f t="shared" si="13"/>
        <v>0</v>
      </c>
      <c r="AA23" s="41">
        <f t="shared" si="13"/>
        <v>0</v>
      </c>
      <c r="AB23" s="41">
        <f t="shared" si="13"/>
        <v>0</v>
      </c>
      <c r="AC23" s="41">
        <f t="shared" si="13"/>
        <v>0</v>
      </c>
      <c r="AD23" s="41">
        <f t="shared" si="13"/>
        <v>0</v>
      </c>
      <c r="AE23" s="41">
        <f t="shared" si="13"/>
        <v>0</v>
      </c>
      <c r="AF23" s="41">
        <f t="shared" si="13"/>
        <v>0</v>
      </c>
      <c r="AG23" s="41">
        <f t="shared" si="13"/>
        <v>0</v>
      </c>
      <c r="AH23" s="41">
        <f t="shared" si="13"/>
        <v>0</v>
      </c>
      <c r="AI23" s="41">
        <f t="shared" si="14"/>
        <v>0</v>
      </c>
      <c r="AJ23" s="41">
        <f t="shared" si="14"/>
        <v>0</v>
      </c>
      <c r="AK23" s="41">
        <f t="shared" si="14"/>
        <v>0</v>
      </c>
      <c r="AL23" s="41">
        <f t="shared" si="14"/>
        <v>0</v>
      </c>
      <c r="AM23" s="41">
        <f t="shared" si="14"/>
        <v>0</v>
      </c>
      <c r="AN23" s="41">
        <f t="shared" si="14"/>
        <v>0</v>
      </c>
      <c r="AO23" s="41">
        <f t="shared" si="14"/>
        <v>0</v>
      </c>
      <c r="AP23" s="41">
        <f t="shared" si="14"/>
        <v>0</v>
      </c>
      <c r="AQ23" s="41">
        <f t="shared" si="14"/>
        <v>0</v>
      </c>
      <c r="AR23" s="41">
        <f t="shared" si="14"/>
        <v>0</v>
      </c>
      <c r="AS23" s="41">
        <f t="shared" si="15"/>
        <v>0</v>
      </c>
      <c r="AT23" s="41">
        <f t="shared" si="15"/>
        <v>0</v>
      </c>
      <c r="AU23" s="41">
        <f t="shared" si="15"/>
        <v>0</v>
      </c>
      <c r="AV23" s="41">
        <f t="shared" si="15"/>
        <v>0</v>
      </c>
      <c r="AW23" s="41">
        <f t="shared" si="15"/>
        <v>0</v>
      </c>
      <c r="AX23" s="41">
        <f t="shared" si="15"/>
        <v>0</v>
      </c>
      <c r="CT23" s="41"/>
      <c r="CU23" s="41"/>
      <c r="CV23" s="41"/>
    </row>
    <row r="24" spans="1:100" ht="14.25" customHeight="1" x14ac:dyDescent="0.2">
      <c r="A24" s="41"/>
      <c r="B24" s="41"/>
      <c r="C24" s="41"/>
      <c r="D24" s="41" t="s">
        <v>64</v>
      </c>
      <c r="E24" s="41">
        <f t="shared" si="11"/>
        <v>3000</v>
      </c>
      <c r="F24" s="41">
        <f t="shared" si="11"/>
        <v>109212.45999999999</v>
      </c>
      <c r="G24" s="41">
        <f t="shared" si="11"/>
        <v>109212.45999999999</v>
      </c>
      <c r="H24" s="41">
        <f t="shared" si="11"/>
        <v>60679.46</v>
      </c>
      <c r="I24" s="41">
        <f t="shared" si="11"/>
        <v>60679.46</v>
      </c>
      <c r="J24" s="41">
        <f>SUMIF($D$9:$D$18,$D24,J$9:J$18)</f>
        <v>65500</v>
      </c>
      <c r="K24" s="41">
        <f t="shared" si="11"/>
        <v>67500</v>
      </c>
      <c r="L24" s="41">
        <f t="shared" si="11"/>
        <v>68477.5</v>
      </c>
      <c r="M24" s="41">
        <f t="shared" si="11"/>
        <v>72390</v>
      </c>
      <c r="N24" s="41">
        <f t="shared" si="11"/>
        <v>75932.692307692312</v>
      </c>
      <c r="O24" s="41">
        <f t="shared" si="12"/>
        <v>76270.192307692312</v>
      </c>
      <c r="P24" s="41">
        <f t="shared" si="12"/>
        <v>77682.692307692312</v>
      </c>
      <c r="Q24" s="41">
        <f t="shared" si="12"/>
        <v>76932.692307692312</v>
      </c>
      <c r="R24" s="41">
        <f t="shared" si="12"/>
        <v>77362.692307692312</v>
      </c>
      <c r="S24" s="41">
        <f t="shared" si="12"/>
        <v>83474.36230769231</v>
      </c>
      <c r="T24" s="41">
        <f t="shared" si="12"/>
        <v>95566.692307692312</v>
      </c>
      <c r="U24" s="41">
        <f t="shared" si="12"/>
        <v>90566.692307692312</v>
      </c>
      <c r="V24" s="41">
        <f t="shared" si="12"/>
        <v>87816.692307692312</v>
      </c>
      <c r="W24" s="41">
        <f t="shared" si="12"/>
        <v>87816.692307692312</v>
      </c>
      <c r="X24" s="41">
        <f t="shared" si="12"/>
        <v>96816.692307692312</v>
      </c>
      <c r="Y24" s="41">
        <f t="shared" si="13"/>
        <v>100716.69230769231</v>
      </c>
      <c r="Z24" s="41">
        <f t="shared" si="13"/>
        <v>97813.692307692312</v>
      </c>
      <c r="AA24" s="41">
        <f t="shared" si="13"/>
        <v>88813.692307692312</v>
      </c>
      <c r="AB24" s="41">
        <f t="shared" si="13"/>
        <v>97813.692307692312</v>
      </c>
      <c r="AC24" s="41">
        <f t="shared" si="13"/>
        <v>413086.29647435894</v>
      </c>
      <c r="AD24" s="41">
        <f t="shared" si="13"/>
        <v>97813.692307692312</v>
      </c>
      <c r="AE24" s="41">
        <f t="shared" si="13"/>
        <v>88813.692307692312</v>
      </c>
      <c r="AF24" s="41">
        <f t="shared" si="13"/>
        <v>97813.692307692312</v>
      </c>
      <c r="AG24" s="41">
        <f t="shared" si="13"/>
        <v>100813.69230769231</v>
      </c>
      <c r="AH24" s="41">
        <f t="shared" si="13"/>
        <v>88716.692307692312</v>
      </c>
      <c r="AI24" s="41">
        <f t="shared" si="14"/>
        <v>97716.692307692312</v>
      </c>
      <c r="AJ24" s="41">
        <f t="shared" si="14"/>
        <v>88716.692307692312</v>
      </c>
      <c r="AK24" s="41">
        <f t="shared" si="14"/>
        <v>109813.69230769231</v>
      </c>
      <c r="AL24" s="41">
        <f t="shared" si="14"/>
        <v>91313.692307692312</v>
      </c>
      <c r="AM24" s="41">
        <f t="shared" si="14"/>
        <v>100313.69230769231</v>
      </c>
      <c r="AN24" s="41">
        <f t="shared" si="14"/>
        <v>91313.692307692312</v>
      </c>
      <c r="AO24" s="41">
        <f t="shared" si="14"/>
        <v>100313.69230769231</v>
      </c>
      <c r="AP24" s="41">
        <f t="shared" si="14"/>
        <v>100813.69230769231</v>
      </c>
      <c r="AQ24" s="41">
        <f t="shared" si="14"/>
        <v>100313.69230769231</v>
      </c>
      <c r="AR24" s="41">
        <f t="shared" si="14"/>
        <v>91313.692307692312</v>
      </c>
      <c r="AS24" s="41">
        <f t="shared" si="15"/>
        <v>91313.692307692312</v>
      </c>
      <c r="AT24" s="41">
        <f t="shared" si="15"/>
        <v>109813.69230769231</v>
      </c>
      <c r="AU24" s="41">
        <f t="shared" si="15"/>
        <v>91313.692307692312</v>
      </c>
      <c r="AV24" s="41">
        <f t="shared" si="15"/>
        <v>100313.69230769231</v>
      </c>
      <c r="AW24" s="41">
        <f t="shared" si="15"/>
        <v>91313.692307692312</v>
      </c>
      <c r="AX24" s="41">
        <f t="shared" si="15"/>
        <v>109813.69230769231</v>
      </c>
      <c r="CT24" s="41"/>
      <c r="CU24" s="41"/>
      <c r="CV24" s="41"/>
    </row>
    <row r="25" spans="1:100" ht="14.25" customHeight="1" x14ac:dyDescent="0.2">
      <c r="A25" s="41"/>
      <c r="B25" s="41"/>
      <c r="C25" s="41"/>
      <c r="D25" s="41" t="s">
        <v>158</v>
      </c>
      <c r="E25" s="41">
        <f t="shared" si="11"/>
        <v>0</v>
      </c>
      <c r="F25" s="41">
        <f t="shared" si="11"/>
        <v>0</v>
      </c>
      <c r="G25" s="41">
        <f t="shared" si="11"/>
        <v>0</v>
      </c>
      <c r="H25" s="41">
        <f t="shared" si="11"/>
        <v>0</v>
      </c>
      <c r="I25" s="41">
        <f t="shared" si="11"/>
        <v>0</v>
      </c>
      <c r="J25" s="41">
        <f t="shared" si="11"/>
        <v>0</v>
      </c>
      <c r="K25" s="41">
        <f t="shared" si="11"/>
        <v>0</v>
      </c>
      <c r="L25" s="41">
        <f t="shared" si="11"/>
        <v>0</v>
      </c>
      <c r="M25" s="41">
        <f t="shared" si="11"/>
        <v>0</v>
      </c>
      <c r="N25" s="41">
        <f t="shared" si="11"/>
        <v>0</v>
      </c>
      <c r="O25" s="41">
        <f t="shared" si="12"/>
        <v>0</v>
      </c>
      <c r="P25" s="41">
        <f t="shared" si="12"/>
        <v>0</v>
      </c>
      <c r="Q25" s="41">
        <f t="shared" si="12"/>
        <v>0</v>
      </c>
      <c r="R25" s="41">
        <f t="shared" si="12"/>
        <v>0</v>
      </c>
      <c r="S25" s="41">
        <f t="shared" si="12"/>
        <v>0</v>
      </c>
      <c r="T25" s="41">
        <f t="shared" si="12"/>
        <v>0</v>
      </c>
      <c r="U25" s="41">
        <f t="shared" si="12"/>
        <v>0</v>
      </c>
      <c r="V25" s="41">
        <f t="shared" si="12"/>
        <v>0</v>
      </c>
      <c r="W25" s="41">
        <f t="shared" si="12"/>
        <v>0</v>
      </c>
      <c r="X25" s="41">
        <f t="shared" si="12"/>
        <v>0</v>
      </c>
      <c r="Y25" s="41">
        <f t="shared" si="13"/>
        <v>0</v>
      </c>
      <c r="Z25" s="41">
        <f t="shared" si="13"/>
        <v>0</v>
      </c>
      <c r="AA25" s="41">
        <f t="shared" si="13"/>
        <v>0</v>
      </c>
      <c r="AB25" s="41">
        <f t="shared" si="13"/>
        <v>0</v>
      </c>
      <c r="AC25" s="41">
        <f t="shared" si="13"/>
        <v>0</v>
      </c>
      <c r="AD25" s="41">
        <f t="shared" si="13"/>
        <v>0</v>
      </c>
      <c r="AE25" s="41">
        <f t="shared" si="13"/>
        <v>0</v>
      </c>
      <c r="AF25" s="41">
        <f t="shared" si="13"/>
        <v>0</v>
      </c>
      <c r="AG25" s="41">
        <f t="shared" si="13"/>
        <v>0</v>
      </c>
      <c r="AH25" s="41">
        <f t="shared" si="13"/>
        <v>0</v>
      </c>
      <c r="AI25" s="41">
        <f t="shared" si="14"/>
        <v>0</v>
      </c>
      <c r="AJ25" s="41">
        <f t="shared" si="14"/>
        <v>0</v>
      </c>
      <c r="AK25" s="41">
        <f t="shared" si="14"/>
        <v>0</v>
      </c>
      <c r="AL25" s="41">
        <f t="shared" si="14"/>
        <v>0</v>
      </c>
      <c r="AM25" s="41">
        <f t="shared" si="14"/>
        <v>0</v>
      </c>
      <c r="AN25" s="41">
        <f t="shared" si="14"/>
        <v>0</v>
      </c>
      <c r="AO25" s="41">
        <f t="shared" si="14"/>
        <v>0</v>
      </c>
      <c r="AP25" s="41">
        <f t="shared" si="14"/>
        <v>0</v>
      </c>
      <c r="AQ25" s="41">
        <f t="shared" si="14"/>
        <v>0</v>
      </c>
      <c r="AR25" s="41">
        <f t="shared" si="14"/>
        <v>0</v>
      </c>
      <c r="AS25" s="41">
        <f t="shared" si="15"/>
        <v>0</v>
      </c>
      <c r="AT25" s="41">
        <f t="shared" si="15"/>
        <v>0</v>
      </c>
      <c r="AU25" s="41">
        <f t="shared" si="15"/>
        <v>0</v>
      </c>
      <c r="AV25" s="41">
        <f t="shared" si="15"/>
        <v>0</v>
      </c>
      <c r="AW25" s="41">
        <f t="shared" si="15"/>
        <v>0</v>
      </c>
      <c r="AX25" s="41">
        <f t="shared" si="15"/>
        <v>0</v>
      </c>
      <c r="CT25" s="41"/>
      <c r="CU25" s="41"/>
      <c r="CV25" s="41"/>
    </row>
    <row r="26" spans="1:100" ht="14.25" customHeight="1" x14ac:dyDescent="0.2">
      <c r="A26" s="41"/>
      <c r="B26" s="41"/>
      <c r="C26" s="41"/>
      <c r="D26" s="41" t="s">
        <v>198</v>
      </c>
      <c r="E26" s="41">
        <f t="shared" si="11"/>
        <v>0</v>
      </c>
      <c r="F26" s="41">
        <f t="shared" si="11"/>
        <v>0</v>
      </c>
      <c r="G26" s="41">
        <f t="shared" si="11"/>
        <v>0</v>
      </c>
      <c r="H26" s="41">
        <f t="shared" si="11"/>
        <v>0</v>
      </c>
      <c r="I26" s="41">
        <f t="shared" si="11"/>
        <v>0</v>
      </c>
      <c r="J26" s="41">
        <f t="shared" si="11"/>
        <v>0</v>
      </c>
      <c r="K26" s="41">
        <f t="shared" si="11"/>
        <v>0</v>
      </c>
      <c r="L26" s="41">
        <f t="shared" si="11"/>
        <v>0</v>
      </c>
      <c r="M26" s="41">
        <f t="shared" si="11"/>
        <v>0</v>
      </c>
      <c r="N26" s="41">
        <f t="shared" si="11"/>
        <v>0</v>
      </c>
      <c r="O26" s="41">
        <f t="shared" si="12"/>
        <v>0</v>
      </c>
      <c r="P26" s="41">
        <f t="shared" si="12"/>
        <v>0</v>
      </c>
      <c r="Q26" s="41">
        <f t="shared" si="12"/>
        <v>0</v>
      </c>
      <c r="R26" s="41">
        <f t="shared" si="12"/>
        <v>0</v>
      </c>
      <c r="S26" s="41">
        <f t="shared" si="12"/>
        <v>0</v>
      </c>
      <c r="T26" s="41">
        <f t="shared" si="12"/>
        <v>0</v>
      </c>
      <c r="U26" s="41">
        <f t="shared" si="12"/>
        <v>0</v>
      </c>
      <c r="V26" s="41">
        <f t="shared" si="12"/>
        <v>0</v>
      </c>
      <c r="W26" s="41">
        <f t="shared" si="12"/>
        <v>0</v>
      </c>
      <c r="X26" s="41">
        <f t="shared" si="12"/>
        <v>0</v>
      </c>
      <c r="Y26" s="41">
        <f t="shared" si="13"/>
        <v>0</v>
      </c>
      <c r="Z26" s="41">
        <f t="shared" si="13"/>
        <v>0</v>
      </c>
      <c r="AA26" s="41">
        <f t="shared" si="13"/>
        <v>0</v>
      </c>
      <c r="AB26" s="41">
        <f t="shared" si="13"/>
        <v>0</v>
      </c>
      <c r="AC26" s="41">
        <f t="shared" si="13"/>
        <v>0</v>
      </c>
      <c r="AD26" s="41">
        <f t="shared" si="13"/>
        <v>0</v>
      </c>
      <c r="AE26" s="41">
        <f t="shared" si="13"/>
        <v>0</v>
      </c>
      <c r="AF26" s="41">
        <f t="shared" si="13"/>
        <v>0</v>
      </c>
      <c r="AG26" s="41">
        <f t="shared" si="13"/>
        <v>0</v>
      </c>
      <c r="AH26" s="41">
        <f t="shared" si="13"/>
        <v>0</v>
      </c>
      <c r="AI26" s="41">
        <f t="shared" si="14"/>
        <v>0</v>
      </c>
      <c r="AJ26" s="41">
        <f t="shared" si="14"/>
        <v>0</v>
      </c>
      <c r="AK26" s="41">
        <f t="shared" si="14"/>
        <v>0</v>
      </c>
      <c r="AL26" s="41">
        <f t="shared" si="14"/>
        <v>0</v>
      </c>
      <c r="AM26" s="41">
        <f t="shared" si="14"/>
        <v>0</v>
      </c>
      <c r="AN26" s="41">
        <f t="shared" si="14"/>
        <v>0</v>
      </c>
      <c r="AO26" s="41">
        <f t="shared" si="14"/>
        <v>0</v>
      </c>
      <c r="AP26" s="41">
        <f t="shared" si="14"/>
        <v>0</v>
      </c>
      <c r="AQ26" s="41">
        <f t="shared" si="14"/>
        <v>0</v>
      </c>
      <c r="AR26" s="41">
        <f t="shared" si="14"/>
        <v>0</v>
      </c>
      <c r="AS26" s="41">
        <f t="shared" si="15"/>
        <v>0</v>
      </c>
      <c r="AT26" s="41">
        <f t="shared" si="15"/>
        <v>0</v>
      </c>
      <c r="AU26" s="41">
        <f t="shared" si="15"/>
        <v>0</v>
      </c>
      <c r="AV26" s="41">
        <f t="shared" si="15"/>
        <v>0</v>
      </c>
      <c r="AW26" s="41">
        <f t="shared" si="15"/>
        <v>0</v>
      </c>
      <c r="AX26" s="41">
        <f t="shared" si="15"/>
        <v>0</v>
      </c>
      <c r="CT26" s="41"/>
      <c r="CU26" s="41"/>
      <c r="CV26" s="41"/>
    </row>
    <row r="27" spans="1:100" ht="14.25" customHeight="1" x14ac:dyDescent="0.2">
      <c r="A27" s="41"/>
      <c r="B27" s="41"/>
      <c r="C27" s="41"/>
      <c r="D27" s="41" t="s">
        <v>79</v>
      </c>
      <c r="E27" s="41">
        <f t="shared" si="11"/>
        <v>0</v>
      </c>
      <c r="F27" s="41">
        <f t="shared" si="11"/>
        <v>0</v>
      </c>
      <c r="G27" s="41">
        <f t="shared" si="11"/>
        <v>0</v>
      </c>
      <c r="H27" s="41">
        <f t="shared" si="11"/>
        <v>0</v>
      </c>
      <c r="I27" s="41">
        <f t="shared" si="11"/>
        <v>0</v>
      </c>
      <c r="J27" s="41">
        <f t="shared" si="11"/>
        <v>0</v>
      </c>
      <c r="K27" s="41">
        <f t="shared" si="11"/>
        <v>0</v>
      </c>
      <c r="L27" s="41">
        <f t="shared" si="11"/>
        <v>0</v>
      </c>
      <c r="M27" s="41">
        <f t="shared" si="11"/>
        <v>0</v>
      </c>
      <c r="N27" s="41">
        <f t="shared" si="11"/>
        <v>0</v>
      </c>
      <c r="O27" s="41">
        <f t="shared" si="12"/>
        <v>0</v>
      </c>
      <c r="P27" s="41">
        <f t="shared" si="12"/>
        <v>0</v>
      </c>
      <c r="Q27" s="41">
        <f t="shared" si="12"/>
        <v>0</v>
      </c>
      <c r="R27" s="41">
        <f t="shared" si="12"/>
        <v>0</v>
      </c>
      <c r="S27" s="41">
        <f t="shared" si="12"/>
        <v>0</v>
      </c>
      <c r="T27" s="41">
        <f t="shared" si="12"/>
        <v>0</v>
      </c>
      <c r="U27" s="41">
        <f t="shared" si="12"/>
        <v>0</v>
      </c>
      <c r="V27" s="41">
        <f t="shared" si="12"/>
        <v>0</v>
      </c>
      <c r="W27" s="41">
        <f t="shared" si="12"/>
        <v>0</v>
      </c>
      <c r="X27" s="41">
        <f t="shared" si="12"/>
        <v>0</v>
      </c>
      <c r="Y27" s="41">
        <f t="shared" si="13"/>
        <v>0</v>
      </c>
      <c r="Z27" s="41">
        <f t="shared" si="13"/>
        <v>0</v>
      </c>
      <c r="AA27" s="41">
        <f t="shared" si="13"/>
        <v>0</v>
      </c>
      <c r="AB27" s="41">
        <f t="shared" si="13"/>
        <v>0</v>
      </c>
      <c r="AC27" s="41">
        <f t="shared" si="13"/>
        <v>0</v>
      </c>
      <c r="AD27" s="41">
        <f t="shared" si="13"/>
        <v>0</v>
      </c>
      <c r="AE27" s="41">
        <f t="shared" si="13"/>
        <v>0</v>
      </c>
      <c r="AF27" s="41">
        <f t="shared" si="13"/>
        <v>0</v>
      </c>
      <c r="AG27" s="41">
        <f t="shared" si="13"/>
        <v>0</v>
      </c>
      <c r="AH27" s="41">
        <f t="shared" si="13"/>
        <v>0</v>
      </c>
      <c r="AI27" s="41">
        <f t="shared" si="14"/>
        <v>0</v>
      </c>
      <c r="AJ27" s="41">
        <f t="shared" si="14"/>
        <v>0</v>
      </c>
      <c r="AK27" s="41">
        <f t="shared" si="14"/>
        <v>0</v>
      </c>
      <c r="AL27" s="41">
        <f t="shared" si="14"/>
        <v>0</v>
      </c>
      <c r="AM27" s="41">
        <f t="shared" si="14"/>
        <v>0</v>
      </c>
      <c r="AN27" s="41">
        <f t="shared" si="14"/>
        <v>0</v>
      </c>
      <c r="AO27" s="41">
        <f t="shared" si="14"/>
        <v>0</v>
      </c>
      <c r="AP27" s="41">
        <f t="shared" si="14"/>
        <v>0</v>
      </c>
      <c r="AQ27" s="41">
        <f t="shared" si="14"/>
        <v>0</v>
      </c>
      <c r="AR27" s="41">
        <f t="shared" si="14"/>
        <v>0</v>
      </c>
      <c r="AS27" s="41">
        <f t="shared" si="15"/>
        <v>0</v>
      </c>
      <c r="AT27" s="41">
        <f t="shared" si="15"/>
        <v>0</v>
      </c>
      <c r="AU27" s="41">
        <f t="shared" si="15"/>
        <v>0</v>
      </c>
      <c r="AV27" s="41">
        <f t="shared" si="15"/>
        <v>0</v>
      </c>
      <c r="AW27" s="41">
        <f t="shared" si="15"/>
        <v>0</v>
      </c>
      <c r="AX27" s="41">
        <f t="shared" si="15"/>
        <v>0</v>
      </c>
      <c r="CT27" s="41"/>
      <c r="CU27" s="41"/>
      <c r="CV27" s="41"/>
    </row>
    <row r="28" spans="1:100" ht="14.25" customHeight="1" x14ac:dyDescent="0.2">
      <c r="A28" s="41"/>
      <c r="B28" s="41"/>
      <c r="C28" s="41"/>
      <c r="D28" s="41"/>
      <c r="E28" s="41"/>
      <c r="F28" s="41"/>
      <c r="G28" s="41"/>
      <c r="H28" s="41"/>
      <c r="I28" s="41"/>
      <c r="J28" s="41"/>
      <c r="K28" s="41"/>
      <c r="L28" s="41"/>
      <c r="M28" s="41"/>
      <c r="N28" s="41"/>
      <c r="O28" s="41"/>
      <c r="P28" s="41"/>
      <c r="Q28" s="41"/>
      <c r="R28" s="41"/>
      <c r="S28" s="41"/>
      <c r="T28" s="41"/>
      <c r="U28" s="41"/>
      <c r="V28" s="41"/>
      <c r="W28" s="41"/>
      <c r="X28" s="41"/>
      <c r="Y28" s="41"/>
      <c r="Z28" s="41"/>
      <c r="AA28" s="41"/>
      <c r="AB28" s="41"/>
      <c r="AC28" s="41"/>
      <c r="AD28" s="41"/>
      <c r="AE28" s="41"/>
      <c r="AF28" s="41"/>
      <c r="AG28" s="41"/>
      <c r="AH28" s="41"/>
      <c r="AI28" s="41"/>
      <c r="AJ28" s="41"/>
      <c r="AK28" s="41"/>
      <c r="AL28" s="41"/>
      <c r="AM28" s="41"/>
      <c r="AN28" s="41"/>
      <c r="AO28" s="41"/>
      <c r="AP28" s="41"/>
      <c r="AQ28" s="41"/>
      <c r="AR28" s="41"/>
      <c r="AS28" s="41"/>
      <c r="AT28" s="41"/>
      <c r="AU28" s="41"/>
      <c r="AV28" s="41"/>
      <c r="AW28" s="41"/>
      <c r="AX28" s="41"/>
      <c r="CT28" s="41"/>
      <c r="CU28" s="41"/>
      <c r="CV28" s="41"/>
    </row>
    <row r="29" spans="1:100" ht="14.25" customHeight="1" x14ac:dyDescent="0.2">
      <c r="A29" s="41"/>
      <c r="B29" s="41"/>
      <c r="C29" s="41"/>
      <c r="D29" s="41"/>
      <c r="E29" s="41">
        <f t="shared" ref="E29:AX29" si="16">SUM(E22:E27)</f>
        <v>3000</v>
      </c>
      <c r="F29" s="41">
        <f t="shared" si="16"/>
        <v>109212.45999999999</v>
      </c>
      <c r="G29" s="41">
        <f t="shared" si="16"/>
        <v>109212.45999999999</v>
      </c>
      <c r="H29" s="41">
        <f t="shared" si="16"/>
        <v>60679.46</v>
      </c>
      <c r="I29" s="41">
        <f t="shared" si="16"/>
        <v>60679.46</v>
      </c>
      <c r="J29" s="41">
        <f t="shared" si="16"/>
        <v>65500</v>
      </c>
      <c r="K29" s="41">
        <f t="shared" si="16"/>
        <v>67500</v>
      </c>
      <c r="L29" s="41">
        <f t="shared" si="16"/>
        <v>68477.5</v>
      </c>
      <c r="M29" s="41">
        <f t="shared" si="16"/>
        <v>72390</v>
      </c>
      <c r="N29" s="41">
        <f t="shared" si="16"/>
        <v>75932.692307692312</v>
      </c>
      <c r="O29" s="41">
        <f t="shared" si="16"/>
        <v>76270.192307692312</v>
      </c>
      <c r="P29" s="41">
        <f t="shared" si="16"/>
        <v>77682.692307692312</v>
      </c>
      <c r="Q29" s="41">
        <f t="shared" si="16"/>
        <v>76932.692307692312</v>
      </c>
      <c r="R29" s="41">
        <f t="shared" si="16"/>
        <v>77362.692307692312</v>
      </c>
      <c r="S29" s="41">
        <f t="shared" si="16"/>
        <v>83474.36230769231</v>
      </c>
      <c r="T29" s="41">
        <f t="shared" si="16"/>
        <v>95566.692307692312</v>
      </c>
      <c r="U29" s="41">
        <f t="shared" si="16"/>
        <v>90566.692307692312</v>
      </c>
      <c r="V29" s="41">
        <f t="shared" si="16"/>
        <v>87816.692307692312</v>
      </c>
      <c r="W29" s="41">
        <f t="shared" si="16"/>
        <v>87816.692307692312</v>
      </c>
      <c r="X29" s="41">
        <f t="shared" si="16"/>
        <v>96816.692307692312</v>
      </c>
      <c r="Y29" s="41">
        <f t="shared" si="16"/>
        <v>100716.69230769231</v>
      </c>
      <c r="Z29" s="41">
        <f t="shared" si="16"/>
        <v>97813.692307692312</v>
      </c>
      <c r="AA29" s="41">
        <f t="shared" si="16"/>
        <v>88813.692307692312</v>
      </c>
      <c r="AB29" s="41">
        <f t="shared" si="16"/>
        <v>97813.692307692312</v>
      </c>
      <c r="AC29" s="41">
        <f t="shared" si="16"/>
        <v>413086.29647435894</v>
      </c>
      <c r="AD29" s="41">
        <f t="shared" si="16"/>
        <v>97813.692307692312</v>
      </c>
      <c r="AE29" s="41">
        <f t="shared" si="16"/>
        <v>88813.692307692312</v>
      </c>
      <c r="AF29" s="41">
        <f t="shared" si="16"/>
        <v>97813.692307692312</v>
      </c>
      <c r="AG29" s="41">
        <f t="shared" si="16"/>
        <v>100813.69230769231</v>
      </c>
      <c r="AH29" s="41">
        <f t="shared" si="16"/>
        <v>88716.692307692312</v>
      </c>
      <c r="AI29" s="41">
        <f t="shared" si="16"/>
        <v>97716.692307692312</v>
      </c>
      <c r="AJ29" s="41">
        <f t="shared" si="16"/>
        <v>88716.692307692312</v>
      </c>
      <c r="AK29" s="41">
        <f t="shared" si="16"/>
        <v>109813.69230769231</v>
      </c>
      <c r="AL29" s="41">
        <f t="shared" si="16"/>
        <v>91313.692307692312</v>
      </c>
      <c r="AM29" s="41">
        <f t="shared" si="16"/>
        <v>100313.69230769231</v>
      </c>
      <c r="AN29" s="41">
        <f t="shared" si="16"/>
        <v>91313.692307692312</v>
      </c>
      <c r="AO29" s="41">
        <f t="shared" si="16"/>
        <v>100313.69230769231</v>
      </c>
      <c r="AP29" s="41">
        <f t="shared" si="16"/>
        <v>100813.69230769231</v>
      </c>
      <c r="AQ29" s="41">
        <f t="shared" si="16"/>
        <v>100313.69230769231</v>
      </c>
      <c r="AR29" s="41">
        <f t="shared" si="16"/>
        <v>91313.692307692312</v>
      </c>
      <c r="AS29" s="41">
        <f t="shared" si="16"/>
        <v>91313.692307692312</v>
      </c>
      <c r="AT29" s="41">
        <f t="shared" si="16"/>
        <v>109813.69230769231</v>
      </c>
      <c r="AU29" s="41">
        <f t="shared" si="16"/>
        <v>91313.692307692312</v>
      </c>
      <c r="AV29" s="41">
        <f t="shared" si="16"/>
        <v>100313.69230769231</v>
      </c>
      <c r="AW29" s="41">
        <f t="shared" si="16"/>
        <v>91313.692307692312</v>
      </c>
      <c r="AX29" s="41">
        <f t="shared" si="16"/>
        <v>109813.69230769231</v>
      </c>
      <c r="CT29" s="41"/>
      <c r="CU29" s="41"/>
      <c r="CV29" s="41"/>
    </row>
    <row r="30" spans="1:100" ht="14.25" customHeight="1" x14ac:dyDescent="0.2"/>
    <row r="31" spans="1:100" ht="14.25" customHeight="1" x14ac:dyDescent="0.2">
      <c r="E31" t="s">
        <v>539</v>
      </c>
      <c r="K31" s="357" t="s">
        <v>528</v>
      </c>
      <c r="L31" t="s">
        <v>540</v>
      </c>
      <c r="M31" t="s">
        <v>541</v>
      </c>
      <c r="N31" t="s">
        <v>542</v>
      </c>
    </row>
    <row r="32" spans="1:100" ht="14.25" customHeight="1" x14ac:dyDescent="0.2">
      <c r="C32" t="s">
        <v>543</v>
      </c>
      <c r="D32" s="244">
        <v>45908</v>
      </c>
      <c r="F32" s="144">
        <v>210000</v>
      </c>
      <c r="H32" s="219">
        <f>F32</f>
        <v>210000</v>
      </c>
      <c r="I32" s="143">
        <f>H32/26</f>
        <v>8076.9230769230771</v>
      </c>
      <c r="J32" s="357"/>
      <c r="K32" s="327">
        <f>L32/F32</f>
        <v>0.33333333333333331</v>
      </c>
      <c r="L32" s="143">
        <v>70000</v>
      </c>
      <c r="M32" s="186">
        <f>L32/12</f>
        <v>5833.333333333333</v>
      </c>
      <c r="N32" s="327">
        <f>M32*4</f>
        <v>23333.333333333332</v>
      </c>
    </row>
    <row r="33" spans="2:22" ht="14.25" customHeight="1" x14ac:dyDescent="0.2">
      <c r="B33" t="s">
        <v>544</v>
      </c>
      <c r="C33" s="357" t="s">
        <v>110</v>
      </c>
      <c r="D33" s="363">
        <v>45873</v>
      </c>
      <c r="E33" s="357" t="s">
        <v>545</v>
      </c>
      <c r="F33" s="144"/>
      <c r="G33" s="143"/>
      <c r="H33" s="143">
        <f>10000*26</f>
        <v>260000</v>
      </c>
      <c r="I33" s="143"/>
      <c r="J33" s="143"/>
      <c r="L33" s="186">
        <f>K33*H33</f>
        <v>0</v>
      </c>
      <c r="M33" s="186">
        <f>L33/12</f>
        <v>0</v>
      </c>
      <c r="N33" s="186">
        <f>M33*5</f>
        <v>0</v>
      </c>
    </row>
    <row r="34" spans="2:22" ht="14.25" customHeight="1" x14ac:dyDescent="0.2">
      <c r="B34" t="s">
        <v>544</v>
      </c>
      <c r="C34" s="358" t="s">
        <v>543</v>
      </c>
      <c r="D34" s="363">
        <v>45884</v>
      </c>
      <c r="E34" s="357" t="s">
        <v>546</v>
      </c>
      <c r="F34" s="144"/>
      <c r="G34" s="143"/>
      <c r="H34" s="143"/>
      <c r="I34" s="143"/>
      <c r="J34" s="143"/>
      <c r="K34">
        <v>0.25</v>
      </c>
      <c r="L34" s="186">
        <f t="shared" ref="L34:L40" si="17">K34*H34</f>
        <v>0</v>
      </c>
      <c r="M34" s="186">
        <f>L34/12</f>
        <v>0</v>
      </c>
      <c r="N34" s="186">
        <f>(M34*4)+M34/2</f>
        <v>0</v>
      </c>
    </row>
    <row r="35" spans="2:22" ht="14.25" customHeight="1" x14ac:dyDescent="0.2">
      <c r="C35" s="357" t="s">
        <v>543</v>
      </c>
      <c r="D35" s="364" t="s">
        <v>547</v>
      </c>
      <c r="E35" s="357" t="s">
        <v>548</v>
      </c>
      <c r="F35" s="144">
        <v>225000</v>
      </c>
      <c r="G35" s="143"/>
      <c r="H35" s="143">
        <v>225000</v>
      </c>
      <c r="I35" s="143"/>
      <c r="J35" s="143"/>
      <c r="K35">
        <v>0.3</v>
      </c>
      <c r="L35" s="186">
        <f t="shared" si="17"/>
        <v>67500</v>
      </c>
      <c r="M35" s="186">
        <f>L35/12</f>
        <v>5625</v>
      </c>
      <c r="N35" s="365"/>
    </row>
    <row r="36" spans="2:22" ht="14.25" customHeight="1" x14ac:dyDescent="0.2">
      <c r="C36" s="357" t="s">
        <v>549</v>
      </c>
      <c r="D36" s="244">
        <v>45734</v>
      </c>
      <c r="E36" s="357" t="s">
        <v>550</v>
      </c>
      <c r="F36" s="144">
        <v>300000</v>
      </c>
      <c r="G36" s="143"/>
      <c r="H36" s="143" cm="1">
        <f t="array" ref="H36:H40">F36:F40</f>
        <v>300000</v>
      </c>
      <c r="I36" s="143">
        <f t="shared" ref="I36:I40" si="18">H36/26</f>
        <v>11538.461538461539</v>
      </c>
      <c r="J36" s="143"/>
      <c r="K36">
        <v>0.5</v>
      </c>
      <c r="L36" s="186">
        <f t="shared" si="17"/>
        <v>150000</v>
      </c>
      <c r="M36" s="186">
        <f>L36/12</f>
        <v>12500</v>
      </c>
      <c r="N36" s="186">
        <f>8*M36+6250</f>
        <v>106250</v>
      </c>
      <c r="O36" s="186">
        <f>M36/2</f>
        <v>6250</v>
      </c>
    </row>
    <row r="37" spans="2:22" ht="14.25" customHeight="1" x14ac:dyDescent="0.2">
      <c r="C37" s="357" t="s">
        <v>549</v>
      </c>
      <c r="D37" s="244">
        <v>45735</v>
      </c>
      <c r="E37" s="357" t="s">
        <v>551</v>
      </c>
      <c r="F37" s="144">
        <v>300000</v>
      </c>
      <c r="G37" s="143"/>
      <c r="H37" s="143">
        <v>300000</v>
      </c>
      <c r="I37" s="143">
        <f t="shared" si="18"/>
        <v>11538.461538461539</v>
      </c>
      <c r="J37" s="143"/>
      <c r="K37">
        <v>0.5</v>
      </c>
      <c r="L37" s="186">
        <f t="shared" si="17"/>
        <v>150000</v>
      </c>
      <c r="M37" s="186">
        <f t="shared" ref="M37:M40" si="19">L37/12</f>
        <v>12500</v>
      </c>
      <c r="N37" s="186">
        <f>8*M37+6250</f>
        <v>106250</v>
      </c>
    </row>
    <row r="38" spans="2:22" ht="14.25" customHeight="1" x14ac:dyDescent="0.2">
      <c r="C38" s="357" t="s">
        <v>549</v>
      </c>
      <c r="D38" s="244">
        <v>45734</v>
      </c>
      <c r="E38" s="357" t="s">
        <v>552</v>
      </c>
      <c r="F38" s="326">
        <v>225000</v>
      </c>
      <c r="G38" s="143"/>
      <c r="H38" s="143">
        <v>225000</v>
      </c>
      <c r="I38" s="143">
        <f t="shared" si="18"/>
        <v>8653.8461538461543</v>
      </c>
      <c r="J38" s="143"/>
      <c r="K38">
        <v>0.25</v>
      </c>
      <c r="L38" s="186">
        <f t="shared" si="17"/>
        <v>56250</v>
      </c>
      <c r="M38" s="186">
        <f t="shared" si="19"/>
        <v>4687.5</v>
      </c>
      <c r="N38" s="315">
        <f>L38</f>
        <v>56250</v>
      </c>
      <c r="O38" s="186">
        <f>M38/2</f>
        <v>2343.75</v>
      </c>
      <c r="S38">
        <v>172500</v>
      </c>
      <c r="T38">
        <f>S38/2080</f>
        <v>82.932692307692307</v>
      </c>
      <c r="U38">
        <f>T38*80</f>
        <v>6634.6153846153848</v>
      </c>
      <c r="V38">
        <f>U38*2</f>
        <v>13269.23076923077</v>
      </c>
    </row>
    <row r="39" spans="2:22" ht="14.25" customHeight="1" x14ac:dyDescent="0.2">
      <c r="C39" s="357" t="s">
        <v>553</v>
      </c>
      <c r="D39" s="244">
        <v>45737</v>
      </c>
      <c r="E39" s="357" t="s">
        <v>554</v>
      </c>
      <c r="F39" s="144">
        <v>190000</v>
      </c>
      <c r="G39" s="143"/>
      <c r="H39" s="143">
        <v>190000</v>
      </c>
      <c r="I39" s="143"/>
      <c r="J39" s="143"/>
      <c r="K39">
        <v>0.25</v>
      </c>
      <c r="L39" s="186"/>
      <c r="M39" s="186">
        <f t="shared" si="19"/>
        <v>0</v>
      </c>
      <c r="N39" s="186"/>
      <c r="O39" s="186"/>
      <c r="R39">
        <f>175000/26</f>
        <v>6730.7692307692305</v>
      </c>
      <c r="S39">
        <f>R39*26</f>
        <v>175000</v>
      </c>
      <c r="T39">
        <f>S39/2080</f>
        <v>84.134615384615387</v>
      </c>
      <c r="U39">
        <f>T39*80</f>
        <v>6730.7692307692305</v>
      </c>
    </row>
    <row r="40" spans="2:22" ht="14.25" customHeight="1" x14ac:dyDescent="0.2">
      <c r="C40" s="357" t="s">
        <v>549</v>
      </c>
      <c r="D40" s="244">
        <v>45737</v>
      </c>
      <c r="E40" s="357" t="s">
        <v>555</v>
      </c>
      <c r="F40" s="144">
        <v>114010</v>
      </c>
      <c r="G40" s="143"/>
      <c r="H40" s="143">
        <v>114010</v>
      </c>
      <c r="I40" s="143">
        <f t="shared" si="18"/>
        <v>4385</v>
      </c>
      <c r="J40" s="143"/>
      <c r="K40">
        <v>0.25</v>
      </c>
      <c r="L40" s="186">
        <f t="shared" si="17"/>
        <v>28502.5</v>
      </c>
      <c r="M40" s="186">
        <f t="shared" si="19"/>
        <v>2375.2083333333335</v>
      </c>
      <c r="N40" s="186">
        <f>M40*8+O40</f>
        <v>20189.270833333336</v>
      </c>
      <c r="O40" s="186">
        <f t="shared" ref="O40" si="20">M40/2</f>
        <v>1187.6041666666667</v>
      </c>
    </row>
    <row r="41" spans="2:22" ht="14.25" customHeight="1" x14ac:dyDescent="0.2">
      <c r="C41" s="357"/>
      <c r="E41" s="357"/>
      <c r="I41" s="186">
        <f>SUM(I32:I40)</f>
        <v>44192.692307692312</v>
      </c>
      <c r="N41" s="186">
        <f>SUM(N32:N40)</f>
        <v>312272.60416666663</v>
      </c>
    </row>
    <row r="42" spans="2:22" ht="14.25" customHeight="1" x14ac:dyDescent="0.2">
      <c r="C42" s="357" t="s">
        <v>110</v>
      </c>
      <c r="E42" s="357" t="s">
        <v>556</v>
      </c>
      <c r="F42">
        <f>17000/4</f>
        <v>4250</v>
      </c>
      <c r="I42" s="186">
        <f>F42</f>
        <v>4250</v>
      </c>
    </row>
    <row r="43" spans="2:22" ht="14.25" customHeight="1" x14ac:dyDescent="0.2">
      <c r="C43" s="357" t="s">
        <v>110</v>
      </c>
      <c r="E43" s="357" t="s">
        <v>386</v>
      </c>
      <c r="F43">
        <v>2320</v>
      </c>
      <c r="N43" s="186">
        <f>N41/6</f>
        <v>52045.434027777774</v>
      </c>
    </row>
    <row r="44" spans="2:22" ht="14.25" customHeight="1" x14ac:dyDescent="0.2">
      <c r="C44" s="357" t="s">
        <v>110</v>
      </c>
      <c r="E44" s="357" t="s">
        <v>386</v>
      </c>
      <c r="F44">
        <v>2320</v>
      </c>
    </row>
    <row r="45" spans="2:22" ht="14.25" customHeight="1" x14ac:dyDescent="0.2">
      <c r="C45" s="357" t="s">
        <v>110</v>
      </c>
      <c r="E45" s="357" t="s">
        <v>557</v>
      </c>
      <c r="F45">
        <v>2000</v>
      </c>
      <c r="I45" s="186">
        <f>I41+I42+I43+I44</f>
        <v>48442.692307692312</v>
      </c>
      <c r="L45" t="s">
        <v>558</v>
      </c>
    </row>
    <row r="46" spans="2:22" ht="14.25" customHeight="1" x14ac:dyDescent="0.2">
      <c r="E46" s="357"/>
    </row>
    <row r="47" spans="2:22" ht="14.25" customHeight="1" x14ac:dyDescent="0.2">
      <c r="E47" s="357"/>
      <c r="I47" s="186"/>
    </row>
    <row r="48" spans="2:22" ht="14.25" customHeight="1" x14ac:dyDescent="0.2">
      <c r="C48" s="357" t="s">
        <v>559</v>
      </c>
    </row>
    <row r="49" spans="1:14" ht="14.25" customHeight="1" x14ac:dyDescent="0.2">
      <c r="C49" s="357" t="s">
        <v>560</v>
      </c>
    </row>
    <row r="50" spans="1:14" ht="14.25" customHeight="1" x14ac:dyDescent="0.2">
      <c r="C50" s="357" t="s">
        <v>561</v>
      </c>
      <c r="F50">
        <v>1160</v>
      </c>
      <c r="G50">
        <v>520</v>
      </c>
      <c r="H50">
        <v>640</v>
      </c>
      <c r="I50">
        <v>640</v>
      </c>
      <c r="J50">
        <f>SUM(F50:I50)</f>
        <v>2960</v>
      </c>
    </row>
    <row r="51" spans="1:14" ht="14.25" customHeight="1" x14ac:dyDescent="0.2">
      <c r="F51">
        <v>1160</v>
      </c>
      <c r="G51">
        <v>1160</v>
      </c>
      <c r="H51">
        <v>700</v>
      </c>
      <c r="I51">
        <f>520+700</f>
        <v>1220</v>
      </c>
      <c r="J51">
        <f>SUM(F51:I51)</f>
        <v>4240</v>
      </c>
    </row>
    <row r="52" spans="1:14" ht="14.25" customHeight="1" x14ac:dyDescent="0.2"/>
    <row r="53" spans="1:14" ht="14.25" customHeight="1" x14ac:dyDescent="0.2">
      <c r="A53" s="318" t="s">
        <v>73</v>
      </c>
      <c r="B53" s="318" t="s">
        <v>562</v>
      </c>
      <c r="C53" s="318" t="s">
        <v>71</v>
      </c>
      <c r="D53" s="319">
        <v>45839</v>
      </c>
      <c r="E53" s="319">
        <v>45870</v>
      </c>
      <c r="F53" s="319">
        <v>45901</v>
      </c>
      <c r="G53" s="319">
        <v>45931</v>
      </c>
      <c r="H53" s="319">
        <v>45962</v>
      </c>
      <c r="I53" s="319">
        <v>45992</v>
      </c>
      <c r="J53" s="319">
        <v>46023</v>
      </c>
      <c r="K53" s="319">
        <v>46054</v>
      </c>
      <c r="L53" s="319">
        <v>46082</v>
      </c>
    </row>
    <row r="54" spans="1:14" ht="14.25" customHeight="1" x14ac:dyDescent="0.2">
      <c r="A54" s="312" t="s">
        <v>563</v>
      </c>
      <c r="B54" s="312" t="s">
        <v>564</v>
      </c>
      <c r="C54" s="312" t="s">
        <v>565</v>
      </c>
      <c r="D54" s="231">
        <v>5000</v>
      </c>
      <c r="E54" s="231">
        <v>5000</v>
      </c>
      <c r="F54" s="231">
        <v>7000</v>
      </c>
      <c r="G54" s="231">
        <v>7000</v>
      </c>
      <c r="H54" s="231">
        <v>7000</v>
      </c>
      <c r="I54" s="231">
        <v>7000</v>
      </c>
      <c r="J54" s="231">
        <v>9000</v>
      </c>
      <c r="K54" s="231">
        <v>9000</v>
      </c>
      <c r="L54" s="231">
        <v>9000</v>
      </c>
    </row>
    <row r="55" spans="1:14" ht="14.25" customHeight="1" x14ac:dyDescent="0.2">
      <c r="A55" s="320"/>
      <c r="B55" s="312" t="s">
        <v>566</v>
      </c>
      <c r="C55" s="307" t="s">
        <v>567</v>
      </c>
      <c r="D55" s="231">
        <v>2000</v>
      </c>
      <c r="E55" s="314">
        <v>675</v>
      </c>
      <c r="F55" s="314">
        <v>2500</v>
      </c>
      <c r="G55" s="314">
        <v>2500</v>
      </c>
      <c r="H55" s="231">
        <v>1000</v>
      </c>
      <c r="I55" s="231">
        <v>1000</v>
      </c>
      <c r="J55" s="231">
        <v>2000</v>
      </c>
      <c r="K55" s="231">
        <v>2000</v>
      </c>
      <c r="L55" s="231">
        <v>2000</v>
      </c>
    </row>
    <row r="56" spans="1:14" ht="14.25" customHeight="1" x14ac:dyDescent="0.2">
      <c r="A56" s="320"/>
      <c r="B56" s="312" t="s">
        <v>568</v>
      </c>
      <c r="C56" s="312" t="s">
        <v>569</v>
      </c>
      <c r="D56" s="231">
        <v>0</v>
      </c>
      <c r="E56" s="231">
        <v>0</v>
      </c>
      <c r="F56" s="231">
        <v>0</v>
      </c>
      <c r="G56" s="231">
        <v>0</v>
      </c>
      <c r="H56" s="231">
        <v>0</v>
      </c>
      <c r="I56" s="231">
        <v>0</v>
      </c>
      <c r="J56" s="231">
        <v>7500</v>
      </c>
      <c r="K56" s="231">
        <v>7500</v>
      </c>
      <c r="L56" s="231">
        <v>7500</v>
      </c>
    </row>
    <row r="57" spans="1:14" ht="14.25" customHeight="1" x14ac:dyDescent="0.2">
      <c r="A57" s="320"/>
      <c r="B57" s="312" t="s">
        <v>570</v>
      </c>
      <c r="C57" s="312" t="s">
        <v>569</v>
      </c>
      <c r="D57" s="231">
        <v>0</v>
      </c>
      <c r="E57" s="231">
        <v>7200</v>
      </c>
      <c r="F57" s="231">
        <v>7200</v>
      </c>
      <c r="G57" s="231">
        <v>7200</v>
      </c>
      <c r="H57" s="231">
        <v>7200</v>
      </c>
      <c r="I57" s="231">
        <v>7200</v>
      </c>
      <c r="J57" s="231">
        <v>7200</v>
      </c>
      <c r="K57" s="231">
        <v>7200</v>
      </c>
      <c r="L57" s="231">
        <v>7200</v>
      </c>
    </row>
    <row r="58" spans="1:14" ht="14.25" customHeight="1" x14ac:dyDescent="0.2">
      <c r="A58" s="320"/>
      <c r="B58" s="312" t="s">
        <v>571</v>
      </c>
      <c r="C58" s="312" t="s">
        <v>569</v>
      </c>
      <c r="D58" s="231">
        <v>0</v>
      </c>
      <c r="E58" s="314">
        <v>0</v>
      </c>
      <c r="F58" s="314">
        <v>0</v>
      </c>
      <c r="G58" s="314">
        <v>0</v>
      </c>
      <c r="H58" s="314">
        <v>0</v>
      </c>
      <c r="I58" s="314">
        <v>0</v>
      </c>
      <c r="J58" s="314">
        <v>0</v>
      </c>
      <c r="K58" s="231">
        <v>10000</v>
      </c>
      <c r="L58" s="231">
        <v>10000</v>
      </c>
    </row>
    <row r="59" spans="1:14" ht="14.25" customHeight="1" x14ac:dyDescent="0.2">
      <c r="A59" s="320"/>
      <c r="B59" s="312" t="s">
        <v>572</v>
      </c>
      <c r="C59" s="312" t="s">
        <v>569</v>
      </c>
      <c r="D59" s="231"/>
      <c r="E59" s="231">
        <v>5000</v>
      </c>
      <c r="F59" s="231">
        <v>7500</v>
      </c>
      <c r="G59" s="231">
        <v>7500</v>
      </c>
      <c r="H59" s="231">
        <v>7500</v>
      </c>
      <c r="I59" s="231">
        <v>7500</v>
      </c>
      <c r="J59" s="143">
        <v>8653.8461538461543</v>
      </c>
      <c r="K59" s="143">
        <v>8653.8461538461543</v>
      </c>
      <c r="L59" s="143">
        <v>8653.8461538461543</v>
      </c>
    </row>
    <row r="60" spans="1:14" ht="14.25" customHeight="1" x14ac:dyDescent="0.2">
      <c r="A60" s="318"/>
      <c r="B60" s="321" t="s">
        <v>573</v>
      </c>
      <c r="C60" s="321" t="s">
        <v>569</v>
      </c>
      <c r="D60" s="231">
        <v>0</v>
      </c>
      <c r="E60" s="231">
        <v>0</v>
      </c>
      <c r="F60" s="231">
        <v>0</v>
      </c>
      <c r="G60" s="231">
        <v>0</v>
      </c>
      <c r="H60" s="231">
        <v>0</v>
      </c>
      <c r="I60" s="231">
        <v>0</v>
      </c>
      <c r="J60" s="231">
        <v>0</v>
      </c>
      <c r="K60" s="231">
        <f t="shared" ref="K60:L60" si="21">(175000/12)*1.28</f>
        <v>18666.666666666668</v>
      </c>
      <c r="L60" s="231">
        <f t="shared" si="21"/>
        <v>18666.666666666668</v>
      </c>
      <c r="N60" s="306">
        <f>K60/2</f>
        <v>9333.3333333333339</v>
      </c>
    </row>
    <row r="61" spans="1:14" ht="14.25" customHeight="1" x14ac:dyDescent="0.2">
      <c r="A61" s="321" t="s">
        <v>574</v>
      </c>
      <c r="B61" s="321" t="s">
        <v>575</v>
      </c>
      <c r="C61" s="322" t="s">
        <v>160</v>
      </c>
      <c r="D61" s="231">
        <f>6509/3</f>
        <v>2169.6666666666665</v>
      </c>
      <c r="E61" s="231">
        <v>6509</v>
      </c>
      <c r="F61" s="231">
        <v>6509</v>
      </c>
      <c r="G61" s="231">
        <v>8000</v>
      </c>
      <c r="H61" s="231">
        <v>8000</v>
      </c>
      <c r="I61" s="231">
        <v>10000</v>
      </c>
      <c r="J61" s="231">
        <v>10000</v>
      </c>
      <c r="K61" s="231">
        <v>10000</v>
      </c>
      <c r="L61" s="231">
        <v>8000</v>
      </c>
    </row>
    <row r="62" spans="1:14" ht="14.25" customHeight="1" x14ac:dyDescent="0.2">
      <c r="A62" s="318"/>
      <c r="B62" s="321" t="s">
        <v>576</v>
      </c>
      <c r="C62" s="322" t="s">
        <v>160</v>
      </c>
      <c r="D62" s="231">
        <v>1500</v>
      </c>
      <c r="E62" s="231">
        <v>700</v>
      </c>
      <c r="F62" s="231">
        <v>700</v>
      </c>
      <c r="G62" s="231">
        <v>1500</v>
      </c>
      <c r="H62" s="231">
        <v>700</v>
      </c>
      <c r="I62" s="231">
        <v>700</v>
      </c>
      <c r="J62" s="231">
        <v>1500</v>
      </c>
      <c r="K62" s="231">
        <v>1500</v>
      </c>
      <c r="L62" s="231">
        <v>700</v>
      </c>
    </row>
    <row r="63" spans="1:14" ht="14.25" customHeight="1" x14ac:dyDescent="0.2">
      <c r="A63" s="318"/>
      <c r="B63" s="321" t="s">
        <v>577</v>
      </c>
      <c r="C63" s="321" t="s">
        <v>569</v>
      </c>
      <c r="D63" s="231">
        <v>0</v>
      </c>
      <c r="E63" s="231">
        <v>2000</v>
      </c>
      <c r="F63" s="231">
        <v>2000</v>
      </c>
      <c r="G63" s="231">
        <v>4000</v>
      </c>
      <c r="H63" s="231">
        <v>4000</v>
      </c>
      <c r="I63" s="231">
        <v>6000</v>
      </c>
      <c r="J63" s="231">
        <v>8000</v>
      </c>
      <c r="K63" s="231">
        <v>8000</v>
      </c>
      <c r="L63" s="231">
        <v>8000</v>
      </c>
    </row>
    <row r="64" spans="1:14" ht="14.25" customHeight="1" x14ac:dyDescent="0.2">
      <c r="A64" s="321" t="s">
        <v>578</v>
      </c>
      <c r="B64" s="321" t="s">
        <v>579</v>
      </c>
      <c r="C64" s="322" t="s">
        <v>580</v>
      </c>
      <c r="D64" s="305">
        <v>1000</v>
      </c>
      <c r="E64" s="305">
        <v>1200</v>
      </c>
      <c r="F64" s="305">
        <v>1200</v>
      </c>
      <c r="G64" s="305">
        <v>1200</v>
      </c>
      <c r="H64" s="305">
        <v>1500</v>
      </c>
      <c r="I64" s="305">
        <v>1500</v>
      </c>
      <c r="J64" s="231">
        <v>2000</v>
      </c>
      <c r="K64" s="231">
        <v>2500</v>
      </c>
      <c r="L64" s="231">
        <v>3000</v>
      </c>
    </row>
    <row r="65" spans="1:12" ht="14.25" customHeight="1" x14ac:dyDescent="0.2">
      <c r="A65" s="318"/>
      <c r="B65" s="321" t="s">
        <v>581</v>
      </c>
      <c r="C65" s="321" t="s">
        <v>582</v>
      </c>
      <c r="D65" s="231">
        <v>0</v>
      </c>
      <c r="E65" s="231">
        <v>0</v>
      </c>
      <c r="F65" s="231">
        <v>0</v>
      </c>
      <c r="G65" s="231">
        <v>0</v>
      </c>
      <c r="H65" s="231">
        <v>0</v>
      </c>
      <c r="I65" s="231">
        <v>0</v>
      </c>
      <c r="J65" s="231">
        <v>300</v>
      </c>
      <c r="K65" s="231">
        <v>300</v>
      </c>
      <c r="L65" s="231">
        <v>300</v>
      </c>
    </row>
    <row r="66" spans="1:12" ht="14.25" customHeight="1" x14ac:dyDescent="0.2">
      <c r="A66" s="318"/>
      <c r="B66" s="321" t="s">
        <v>25</v>
      </c>
      <c r="C66" s="318"/>
      <c r="D66" s="231">
        <v>0</v>
      </c>
      <c r="E66" s="231">
        <v>0</v>
      </c>
      <c r="F66" s="231">
        <v>0</v>
      </c>
      <c r="G66" s="231">
        <v>0</v>
      </c>
      <c r="H66" s="231">
        <v>0</v>
      </c>
      <c r="I66" s="231">
        <v>0</v>
      </c>
      <c r="J66" s="231">
        <v>0</v>
      </c>
      <c r="K66" s="231">
        <v>0</v>
      </c>
      <c r="L66" s="231">
        <v>0</v>
      </c>
    </row>
    <row r="67" spans="1:12" ht="14.25" customHeight="1" x14ac:dyDescent="0.2">
      <c r="A67" s="321" t="s">
        <v>159</v>
      </c>
      <c r="B67" s="321" t="s">
        <v>583</v>
      </c>
      <c r="C67" s="321" t="s">
        <v>584</v>
      </c>
      <c r="D67" s="305">
        <v>0</v>
      </c>
      <c r="E67" s="305">
        <v>6000</v>
      </c>
      <c r="F67" s="305">
        <v>6000</v>
      </c>
      <c r="G67" s="305">
        <v>0</v>
      </c>
      <c r="H67" s="305">
        <v>0</v>
      </c>
      <c r="I67" s="305">
        <v>0</v>
      </c>
      <c r="J67" s="231">
        <v>0</v>
      </c>
      <c r="K67" s="231">
        <v>0</v>
      </c>
      <c r="L67" s="231">
        <v>0</v>
      </c>
    </row>
    <row r="68" spans="1:12" ht="14.25" customHeight="1" x14ac:dyDescent="0.2">
      <c r="A68" s="318"/>
      <c r="B68" s="321" t="s">
        <v>585</v>
      </c>
      <c r="C68" s="321" t="s">
        <v>586</v>
      </c>
      <c r="D68" s="231">
        <v>0</v>
      </c>
      <c r="E68" s="231">
        <v>0</v>
      </c>
      <c r="F68" s="231">
        <v>0</v>
      </c>
      <c r="G68" s="231">
        <v>0</v>
      </c>
      <c r="H68" s="231">
        <v>0</v>
      </c>
      <c r="I68" s="231">
        <v>0</v>
      </c>
      <c r="J68" s="314">
        <v>18430</v>
      </c>
      <c r="K68" s="314">
        <v>0</v>
      </c>
      <c r="L68" s="231">
        <v>300</v>
      </c>
    </row>
    <row r="69" spans="1:12" ht="14.25" customHeight="1" x14ac:dyDescent="0.2">
      <c r="A69" s="318"/>
      <c r="B69" s="321" t="s">
        <v>587</v>
      </c>
      <c r="C69" s="321" t="s">
        <v>588</v>
      </c>
      <c r="D69" s="231">
        <v>0</v>
      </c>
      <c r="E69" s="231">
        <v>0</v>
      </c>
      <c r="F69" s="231">
        <v>0</v>
      </c>
      <c r="G69" s="231">
        <v>0</v>
      </c>
      <c r="H69" s="231">
        <v>0</v>
      </c>
      <c r="I69" s="231">
        <v>0</v>
      </c>
      <c r="J69" s="314">
        <v>0</v>
      </c>
      <c r="K69" s="314">
        <v>25000</v>
      </c>
      <c r="L69" s="231">
        <v>0</v>
      </c>
    </row>
    <row r="70" spans="1:12" ht="14.25" customHeight="1" x14ac:dyDescent="0.2">
      <c r="A70" s="318"/>
      <c r="B70" s="318"/>
      <c r="C70" s="318"/>
      <c r="D70" s="319"/>
      <c r="E70" s="319"/>
      <c r="F70" s="319"/>
      <c r="G70" s="319"/>
      <c r="H70" s="319"/>
      <c r="I70" s="319"/>
      <c r="J70" s="319"/>
      <c r="K70" s="319"/>
      <c r="L70" s="319"/>
    </row>
    <row r="71" spans="1:12" ht="14.25" customHeight="1" x14ac:dyDescent="0.2">
      <c r="A71" s="318" t="s">
        <v>589</v>
      </c>
      <c r="B71" s="318"/>
      <c r="C71" s="318"/>
      <c r="D71" s="323">
        <f t="shared" ref="D71:L71" si="22">SUM(D54:D69)</f>
        <v>11669.666666666666</v>
      </c>
      <c r="E71" s="323">
        <f t="shared" si="22"/>
        <v>34284</v>
      </c>
      <c r="F71" s="323">
        <f t="shared" si="22"/>
        <v>40609</v>
      </c>
      <c r="G71" s="323">
        <f t="shared" si="22"/>
        <v>38900</v>
      </c>
      <c r="H71" s="323">
        <f t="shared" si="22"/>
        <v>36900</v>
      </c>
      <c r="I71" s="323">
        <f t="shared" si="22"/>
        <v>40900</v>
      </c>
      <c r="J71" s="323">
        <f t="shared" si="22"/>
        <v>74583.846153846156</v>
      </c>
      <c r="K71" s="323">
        <f t="shared" si="22"/>
        <v>110320.51282051283</v>
      </c>
      <c r="L71" s="323">
        <f t="shared" si="22"/>
        <v>83320.512820512828</v>
      </c>
    </row>
    <row r="72" spans="1:12" ht="14.25" customHeight="1" x14ac:dyDescent="0.2"/>
    <row r="73" spans="1:12" ht="14.25" customHeight="1" x14ac:dyDescent="0.2"/>
    <row r="74" spans="1:12" ht="14.25" customHeight="1" x14ac:dyDescent="0.2">
      <c r="I74" t="s">
        <v>590</v>
      </c>
    </row>
    <row r="75" spans="1:12" ht="14.25" customHeight="1" x14ac:dyDescent="0.2">
      <c r="A75" t="s">
        <v>591</v>
      </c>
      <c r="B75" t="s">
        <v>592</v>
      </c>
      <c r="C75" t="s">
        <v>593</v>
      </c>
      <c r="D75">
        <f>172500/26</f>
        <v>6634.6153846153848</v>
      </c>
      <c r="E75" t="s">
        <v>594</v>
      </c>
      <c r="G75">
        <f>175000/26</f>
        <v>6730.7692307692305</v>
      </c>
      <c r="H75" t="s">
        <v>595</v>
      </c>
      <c r="I75">
        <v>175000</v>
      </c>
    </row>
    <row r="76" spans="1:12" ht="14.25" customHeight="1" x14ac:dyDescent="0.2">
      <c r="B76" t="s">
        <v>592</v>
      </c>
      <c r="C76" t="s">
        <v>596</v>
      </c>
      <c r="D76">
        <v>2000</v>
      </c>
      <c r="E76" t="s">
        <v>597</v>
      </c>
    </row>
    <row r="77" spans="1:12" ht="14.25" customHeight="1" x14ac:dyDescent="0.2"/>
    <row r="78" spans="1:12" ht="14.25" customHeight="1" x14ac:dyDescent="0.2"/>
    <row r="79" spans="1:12" ht="14.25" customHeight="1" x14ac:dyDescent="0.2"/>
    <row r="80" spans="1:12"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row r="1001" ht="14.25" customHeight="1" x14ac:dyDescent="0.2"/>
    <row r="1002" ht="14.25" customHeight="1" x14ac:dyDescent="0.2"/>
    <row r="1003" ht="14.25" customHeight="1" x14ac:dyDescent="0.2"/>
    <row r="1004" ht="14.25" customHeight="1" x14ac:dyDescent="0.2"/>
    <row r="1005" ht="14.25" customHeight="1" x14ac:dyDescent="0.2"/>
  </sheetData>
  <autoFilter ref="A8:CV16" xr:uid="{00000000-0009-0000-0000-00000A000000}"/>
  <pageMargins left="0.7" right="0.7" top="0.75" bottom="0.75" header="0" footer="0"/>
  <pageSetup orientation="landscape"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EF2CB"/>
  </sheetPr>
  <dimension ref="A1:J1000"/>
  <sheetViews>
    <sheetView workbookViewId="0"/>
  </sheetViews>
  <sheetFormatPr baseColWidth="10" defaultColWidth="14.5" defaultRowHeight="15" customHeight="1" x14ac:dyDescent="0.2"/>
  <cols>
    <col min="1" max="26" width="22" customWidth="1"/>
  </cols>
  <sheetData>
    <row r="1" spans="1:10" ht="14.25" customHeight="1" x14ac:dyDescent="0.2">
      <c r="A1" s="124" t="s">
        <v>598</v>
      </c>
      <c r="B1" s="125" t="s">
        <v>599</v>
      </c>
      <c r="C1" s="125" t="s">
        <v>600</v>
      </c>
      <c r="D1" s="125" t="s">
        <v>601</v>
      </c>
      <c r="E1" s="125" t="s">
        <v>602</v>
      </c>
      <c r="F1" s="125" t="s">
        <v>603</v>
      </c>
      <c r="G1" s="125" t="s">
        <v>604</v>
      </c>
      <c r="H1" s="125" t="s">
        <v>605</v>
      </c>
      <c r="I1" s="125" t="s">
        <v>606</v>
      </c>
      <c r="J1" s="125" t="s">
        <v>607</v>
      </c>
    </row>
    <row r="2" spans="1:10" ht="14.25" customHeight="1" x14ac:dyDescent="0.2">
      <c r="A2" s="126" t="s">
        <v>608</v>
      </c>
      <c r="B2" s="216" t="s">
        <v>609</v>
      </c>
      <c r="C2" s="216" t="s">
        <v>610</v>
      </c>
      <c r="D2" s="216">
        <v>5000</v>
      </c>
      <c r="E2" s="217">
        <v>87.79</v>
      </c>
      <c r="F2" s="217">
        <v>438950</v>
      </c>
      <c r="G2" s="216" t="s">
        <v>611</v>
      </c>
      <c r="H2" s="216" t="s">
        <v>612</v>
      </c>
      <c r="I2" s="217">
        <v>109737.5</v>
      </c>
      <c r="J2" s="218">
        <v>45745</v>
      </c>
    </row>
    <row r="3" spans="1:10" ht="14.25" customHeight="1" x14ac:dyDescent="0.2">
      <c r="A3" s="126" t="s">
        <v>608</v>
      </c>
      <c r="B3" s="216" t="s">
        <v>613</v>
      </c>
      <c r="C3" s="216" t="s">
        <v>614</v>
      </c>
      <c r="D3" s="216">
        <v>1260</v>
      </c>
      <c r="E3" s="217">
        <v>136.31</v>
      </c>
      <c r="F3" s="217">
        <v>171750.6</v>
      </c>
      <c r="G3" s="216" t="s">
        <v>611</v>
      </c>
      <c r="H3" s="216" t="s">
        <v>612</v>
      </c>
      <c r="I3" s="217">
        <v>42937.65</v>
      </c>
      <c r="J3" s="218">
        <v>45745</v>
      </c>
    </row>
    <row r="4" spans="1:10" ht="14.25" customHeight="1" x14ac:dyDescent="0.2">
      <c r="A4" s="126" t="s">
        <v>608</v>
      </c>
      <c r="B4" s="216" t="s">
        <v>613</v>
      </c>
      <c r="C4" s="216" t="s">
        <v>614</v>
      </c>
      <c r="D4" s="216">
        <v>3555</v>
      </c>
      <c r="E4" s="217">
        <v>136.31</v>
      </c>
      <c r="F4" s="217">
        <v>484582.05</v>
      </c>
      <c r="G4" s="216" t="s">
        <v>611</v>
      </c>
      <c r="H4" s="216" t="s">
        <v>615</v>
      </c>
      <c r="I4" s="217">
        <v>121145.51</v>
      </c>
      <c r="J4" s="218">
        <v>45745</v>
      </c>
    </row>
    <row r="5" spans="1:10" ht="14.25" customHeight="1" x14ac:dyDescent="0.2">
      <c r="A5" s="126" t="s">
        <v>608</v>
      </c>
      <c r="B5" s="216" t="s">
        <v>613</v>
      </c>
      <c r="C5" s="216" t="s">
        <v>614</v>
      </c>
      <c r="D5" s="216">
        <v>93</v>
      </c>
      <c r="E5" s="217">
        <v>136.31</v>
      </c>
      <c r="F5" s="217">
        <v>12676.83</v>
      </c>
      <c r="G5" s="216" t="s">
        <v>611</v>
      </c>
      <c r="H5" s="216" t="s">
        <v>615</v>
      </c>
      <c r="I5" s="217">
        <v>3169.21</v>
      </c>
      <c r="J5" s="218">
        <v>45745</v>
      </c>
    </row>
    <row r="6" spans="1:10" ht="14.25" customHeight="1" x14ac:dyDescent="0.2">
      <c r="A6" s="126" t="s">
        <v>608</v>
      </c>
      <c r="B6" s="216" t="s">
        <v>613</v>
      </c>
      <c r="C6" s="216" t="s">
        <v>614</v>
      </c>
      <c r="D6" s="216">
        <v>550</v>
      </c>
      <c r="E6" s="217">
        <v>136.31</v>
      </c>
      <c r="F6" s="217">
        <v>74970.5</v>
      </c>
      <c r="G6" s="216" t="s">
        <v>611</v>
      </c>
      <c r="H6" s="216" t="s">
        <v>615</v>
      </c>
      <c r="I6" s="217">
        <v>18742.63</v>
      </c>
      <c r="J6" s="218">
        <v>45745</v>
      </c>
    </row>
    <row r="7" spans="1:10" ht="14.25" customHeight="1" x14ac:dyDescent="0.2">
      <c r="A7" s="126" t="s">
        <v>608</v>
      </c>
      <c r="B7" s="216" t="s">
        <v>613</v>
      </c>
      <c r="C7" s="216" t="s">
        <v>614</v>
      </c>
      <c r="D7" s="216">
        <v>2042</v>
      </c>
      <c r="E7" s="217">
        <v>136.31</v>
      </c>
      <c r="F7" s="217">
        <v>278345.02</v>
      </c>
      <c r="G7" s="216" t="s">
        <v>611</v>
      </c>
      <c r="H7" s="216" t="s">
        <v>616</v>
      </c>
      <c r="I7" s="217">
        <v>69586.259999999995</v>
      </c>
      <c r="J7" s="218">
        <v>45747</v>
      </c>
    </row>
    <row r="8" spans="1:10" ht="14.25" customHeight="1" x14ac:dyDescent="0.2">
      <c r="F8" s="127">
        <f>SUM(F2:F7)</f>
        <v>1461275</v>
      </c>
      <c r="I8" s="127">
        <f>SUM(I2:I7)</f>
        <v>365318.76</v>
      </c>
    </row>
    <row r="9" spans="1:10" ht="14.25" customHeight="1" x14ac:dyDescent="0.2"/>
    <row r="10" spans="1:10" ht="14.25" customHeight="1" x14ac:dyDescent="0.2"/>
    <row r="11" spans="1:10" ht="14.25" customHeight="1" x14ac:dyDescent="0.2"/>
    <row r="12" spans="1:10" ht="14.25" customHeight="1" x14ac:dyDescent="0.2"/>
    <row r="13" spans="1:10" ht="14.25" customHeight="1" x14ac:dyDescent="0.2"/>
    <row r="14" spans="1:10" ht="14.25" customHeight="1" x14ac:dyDescent="0.2"/>
    <row r="15" spans="1:10" ht="14.25" customHeight="1" x14ac:dyDescent="0.2"/>
    <row r="16" spans="1:10"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EF2CB"/>
  </sheetPr>
  <dimension ref="A1:AB1000"/>
  <sheetViews>
    <sheetView topLeftCell="A11" workbookViewId="0">
      <selection activeCell="D39" sqref="D39"/>
    </sheetView>
  </sheetViews>
  <sheetFormatPr baseColWidth="10" defaultColWidth="14.5" defaultRowHeight="15" customHeight="1" x14ac:dyDescent="0.2"/>
  <cols>
    <col min="1" max="1" width="11.5" customWidth="1"/>
    <col min="2" max="4" width="21.6640625" customWidth="1"/>
    <col min="5" max="5" width="9.1640625" customWidth="1"/>
    <col min="6" max="10" width="10.33203125" customWidth="1"/>
    <col min="11" max="11" width="15.5" customWidth="1"/>
    <col min="12" max="13" width="10.33203125" customWidth="1"/>
    <col min="14" max="16" width="11.5" customWidth="1"/>
    <col min="17" max="23" width="10.33203125" customWidth="1"/>
    <col min="25" max="25" width="10.33203125" customWidth="1"/>
    <col min="26" max="28" width="11.5" customWidth="1"/>
  </cols>
  <sheetData>
    <row r="1" spans="1:28" ht="14.25" customHeight="1" x14ac:dyDescent="0.2">
      <c r="A1" s="1" t="s">
        <v>617</v>
      </c>
      <c r="H1" s="74"/>
      <c r="I1" s="74"/>
      <c r="J1" s="74"/>
      <c r="K1" s="74"/>
      <c r="L1" s="74"/>
      <c r="M1" s="74"/>
      <c r="N1" s="74"/>
      <c r="O1" s="74"/>
      <c r="P1" s="74"/>
      <c r="Q1" s="74"/>
      <c r="R1" s="74"/>
      <c r="S1" s="74"/>
      <c r="T1" s="74"/>
      <c r="U1" s="74"/>
      <c r="V1" s="74"/>
      <c r="W1" s="74"/>
      <c r="X1" s="74"/>
      <c r="Y1" s="74"/>
      <c r="Z1" s="74"/>
      <c r="AA1" s="74"/>
      <c r="AB1" s="74"/>
    </row>
    <row r="2" spans="1:28" ht="14.25" customHeight="1" x14ac:dyDescent="0.2">
      <c r="A2" s="74"/>
      <c r="B2" s="128" t="s">
        <v>618</v>
      </c>
      <c r="C2" s="128" t="s">
        <v>619</v>
      </c>
      <c r="D2" s="128"/>
      <c r="E2" s="128" t="s">
        <v>73</v>
      </c>
      <c r="F2" s="129">
        <v>45747</v>
      </c>
      <c r="G2" s="129"/>
      <c r="H2" s="129">
        <f>EOMONTH(F2,1)</f>
        <v>45777</v>
      </c>
      <c r="I2" s="129">
        <f t="shared" ref="I2:AB2" si="0">EOMONTH(H2,1)</f>
        <v>45808</v>
      </c>
      <c r="J2" s="129">
        <f t="shared" si="0"/>
        <v>45838</v>
      </c>
      <c r="K2" s="129">
        <f t="shared" si="0"/>
        <v>45869</v>
      </c>
      <c r="L2" s="129">
        <f t="shared" si="0"/>
        <v>45900</v>
      </c>
      <c r="M2" s="129">
        <f t="shared" si="0"/>
        <v>45930</v>
      </c>
      <c r="N2" s="129">
        <f t="shared" si="0"/>
        <v>45961</v>
      </c>
      <c r="O2" s="129">
        <f t="shared" si="0"/>
        <v>45991</v>
      </c>
      <c r="P2" s="129">
        <f t="shared" si="0"/>
        <v>46022</v>
      </c>
      <c r="Q2" s="129">
        <f t="shared" si="0"/>
        <v>46053</v>
      </c>
      <c r="R2" s="129">
        <f t="shared" si="0"/>
        <v>46081</v>
      </c>
      <c r="S2" s="129">
        <f t="shared" si="0"/>
        <v>46112</v>
      </c>
      <c r="T2" s="129">
        <f t="shared" si="0"/>
        <v>46142</v>
      </c>
      <c r="U2" s="129">
        <f t="shared" si="0"/>
        <v>46173</v>
      </c>
      <c r="V2" s="129">
        <f t="shared" si="0"/>
        <v>46203</v>
      </c>
      <c r="W2" s="129">
        <f t="shared" si="0"/>
        <v>46234</v>
      </c>
      <c r="X2" s="129">
        <f t="shared" si="0"/>
        <v>46265</v>
      </c>
      <c r="Y2" s="129">
        <f t="shared" si="0"/>
        <v>46295</v>
      </c>
      <c r="Z2" s="129">
        <f t="shared" si="0"/>
        <v>46326</v>
      </c>
      <c r="AA2" s="129">
        <f t="shared" si="0"/>
        <v>46356</v>
      </c>
      <c r="AB2" s="129">
        <f t="shared" si="0"/>
        <v>46387</v>
      </c>
    </row>
    <row r="3" spans="1:28" ht="14.25" customHeight="1" x14ac:dyDescent="0.2">
      <c r="A3" s="1" t="s">
        <v>620</v>
      </c>
      <c r="B3" s="41" t="s">
        <v>109</v>
      </c>
      <c r="C3" s="41" t="s">
        <v>621</v>
      </c>
      <c r="D3" s="41" t="s">
        <v>197</v>
      </c>
      <c r="E3" s="41" t="s">
        <v>110</v>
      </c>
      <c r="F3" s="130">
        <v>0</v>
      </c>
      <c r="G3" s="130">
        <f t="shared" ref="G3:G31" si="1">SUM(H3:AB3)</f>
        <v>0</v>
      </c>
      <c r="H3" s="130">
        <v>0</v>
      </c>
      <c r="I3" s="130">
        <v>0</v>
      </c>
      <c r="J3" s="130">
        <v>0</v>
      </c>
      <c r="K3" s="130">
        <v>0</v>
      </c>
      <c r="L3" s="130">
        <v>0</v>
      </c>
      <c r="M3" s="130">
        <v>0</v>
      </c>
      <c r="N3" s="130">
        <v>0</v>
      </c>
      <c r="O3" s="130">
        <v>0</v>
      </c>
      <c r="P3" s="130">
        <v>0</v>
      </c>
      <c r="Q3" s="130">
        <v>0</v>
      </c>
      <c r="R3" s="130">
        <v>0</v>
      </c>
      <c r="S3" s="130">
        <v>0</v>
      </c>
      <c r="T3" s="130">
        <v>0</v>
      </c>
      <c r="U3" s="130">
        <v>0</v>
      </c>
      <c r="V3" s="130">
        <v>0</v>
      </c>
      <c r="W3" s="130">
        <v>0</v>
      </c>
      <c r="X3" s="130">
        <v>0</v>
      </c>
      <c r="Y3" s="130">
        <v>0</v>
      </c>
      <c r="Z3" s="130">
        <v>0</v>
      </c>
      <c r="AA3" s="130">
        <v>0</v>
      </c>
      <c r="AB3" s="130">
        <v>0</v>
      </c>
    </row>
    <row r="4" spans="1:28" ht="14.25" customHeight="1" x14ac:dyDescent="0.2">
      <c r="A4" s="1" t="s">
        <v>622</v>
      </c>
      <c r="B4" s="41" t="s">
        <v>109</v>
      </c>
      <c r="C4" s="41" t="s">
        <v>623</v>
      </c>
      <c r="D4" s="41" t="s">
        <v>197</v>
      </c>
      <c r="E4" s="41" t="s">
        <v>110</v>
      </c>
      <c r="F4" s="130">
        <v>0</v>
      </c>
      <c r="G4" s="130">
        <f t="shared" si="1"/>
        <v>0</v>
      </c>
      <c r="H4" s="130">
        <v>0</v>
      </c>
      <c r="I4" s="130">
        <v>0</v>
      </c>
      <c r="J4" s="130">
        <v>0</v>
      </c>
      <c r="K4" s="130">
        <v>0</v>
      </c>
      <c r="L4" s="130">
        <v>0</v>
      </c>
      <c r="M4" s="130">
        <v>0</v>
      </c>
      <c r="N4" s="130">
        <v>0</v>
      </c>
      <c r="O4" s="130">
        <v>0</v>
      </c>
      <c r="P4" s="130">
        <v>0</v>
      </c>
      <c r="Q4" s="130">
        <v>0</v>
      </c>
      <c r="R4" s="130">
        <v>0</v>
      </c>
      <c r="S4" s="130">
        <v>0</v>
      </c>
      <c r="T4" s="130">
        <v>0</v>
      </c>
      <c r="U4" s="130">
        <v>0</v>
      </c>
      <c r="V4" s="130">
        <v>0</v>
      </c>
      <c r="W4" s="130">
        <v>0</v>
      </c>
      <c r="X4" s="130">
        <v>0</v>
      </c>
      <c r="Y4" s="130">
        <v>0</v>
      </c>
      <c r="Z4" s="130">
        <v>0</v>
      </c>
      <c r="AA4" s="130">
        <v>0</v>
      </c>
      <c r="AB4" s="130">
        <v>0</v>
      </c>
    </row>
    <row r="5" spans="1:28" ht="14.25" customHeight="1" x14ac:dyDescent="0.2">
      <c r="A5" s="1" t="s">
        <v>624</v>
      </c>
      <c r="B5" s="41" t="s">
        <v>109</v>
      </c>
      <c r="C5" s="131" t="s">
        <v>625</v>
      </c>
      <c r="D5" s="41" t="s">
        <v>197</v>
      </c>
      <c r="E5" s="41" t="s">
        <v>110</v>
      </c>
      <c r="F5" s="130">
        <v>0</v>
      </c>
      <c r="G5" s="130">
        <f t="shared" si="1"/>
        <v>0</v>
      </c>
      <c r="H5" s="130">
        <v>0</v>
      </c>
      <c r="I5" s="130">
        <v>0</v>
      </c>
      <c r="J5" s="130">
        <v>0</v>
      </c>
      <c r="K5" s="130">
        <v>0</v>
      </c>
      <c r="L5" s="130">
        <v>0</v>
      </c>
      <c r="M5" s="130">
        <v>0</v>
      </c>
      <c r="N5" s="130">
        <v>0</v>
      </c>
      <c r="O5" s="130">
        <v>0</v>
      </c>
      <c r="P5" s="130">
        <v>0</v>
      </c>
      <c r="Q5" s="130">
        <v>0</v>
      </c>
      <c r="R5" s="130">
        <v>0</v>
      </c>
      <c r="S5" s="130">
        <v>0</v>
      </c>
      <c r="T5" s="130">
        <v>0</v>
      </c>
      <c r="U5" s="130">
        <v>0</v>
      </c>
      <c r="V5" s="130">
        <v>0</v>
      </c>
      <c r="W5" s="130">
        <v>0</v>
      </c>
      <c r="X5" s="130">
        <v>0</v>
      </c>
      <c r="Y5" s="130">
        <v>0</v>
      </c>
      <c r="Z5" s="130">
        <v>0</v>
      </c>
      <c r="AA5" s="130">
        <v>0</v>
      </c>
      <c r="AB5" s="130">
        <v>0</v>
      </c>
    </row>
    <row r="6" spans="1:28" ht="14.25" customHeight="1" x14ac:dyDescent="0.2">
      <c r="A6" s="1" t="s">
        <v>121</v>
      </c>
      <c r="B6" s="41" t="s">
        <v>109</v>
      </c>
      <c r="C6" s="131" t="s">
        <v>626</v>
      </c>
      <c r="D6" s="41" t="s">
        <v>197</v>
      </c>
      <c r="E6" s="41" t="s">
        <v>110</v>
      </c>
      <c r="F6" s="132">
        <v>30000</v>
      </c>
      <c r="G6" s="130">
        <f t="shared" si="1"/>
        <v>630000</v>
      </c>
      <c r="H6" s="132">
        <v>30000</v>
      </c>
      <c r="I6" s="132">
        <v>30000</v>
      </c>
      <c r="J6" s="132">
        <v>30000</v>
      </c>
      <c r="K6" s="132">
        <v>30000</v>
      </c>
      <c r="L6" s="132">
        <v>30000</v>
      </c>
      <c r="M6" s="132">
        <v>30000</v>
      </c>
      <c r="N6" s="132">
        <v>30000</v>
      </c>
      <c r="O6" s="132">
        <v>30000</v>
      </c>
      <c r="P6" s="132">
        <v>30000</v>
      </c>
      <c r="Q6" s="132">
        <v>30000</v>
      </c>
      <c r="R6" s="132">
        <v>30000</v>
      </c>
      <c r="S6" s="132">
        <v>30000</v>
      </c>
      <c r="T6" s="132">
        <v>30000</v>
      </c>
      <c r="U6" s="132">
        <v>30000</v>
      </c>
      <c r="V6" s="132">
        <v>30000</v>
      </c>
      <c r="W6" s="132">
        <v>30000</v>
      </c>
      <c r="X6" s="132">
        <v>30000</v>
      </c>
      <c r="Y6" s="132">
        <v>30000</v>
      </c>
      <c r="Z6" s="132">
        <v>30000</v>
      </c>
      <c r="AA6" s="132">
        <v>30000</v>
      </c>
      <c r="AB6" s="132">
        <v>30000</v>
      </c>
    </row>
    <row r="7" spans="1:28" ht="14.25" customHeight="1" x14ac:dyDescent="0.2">
      <c r="A7" s="1" t="s">
        <v>627</v>
      </c>
      <c r="B7" s="41" t="s">
        <v>109</v>
      </c>
      <c r="C7" s="131" t="s">
        <v>628</v>
      </c>
      <c r="D7" s="41" t="s">
        <v>197</v>
      </c>
      <c r="E7" s="41" t="s">
        <v>110</v>
      </c>
      <c r="F7" s="130">
        <v>0</v>
      </c>
      <c r="G7" s="130">
        <f t="shared" si="1"/>
        <v>0</v>
      </c>
      <c r="H7" s="130">
        <v>0</v>
      </c>
      <c r="I7" s="130">
        <v>0</v>
      </c>
      <c r="J7" s="130">
        <v>0</v>
      </c>
      <c r="K7" s="130">
        <v>0</v>
      </c>
      <c r="L7" s="130">
        <v>0</v>
      </c>
      <c r="M7" s="130">
        <v>0</v>
      </c>
      <c r="N7" s="130">
        <v>0</v>
      </c>
      <c r="O7" s="130">
        <v>0</v>
      </c>
      <c r="P7" s="130">
        <v>0</v>
      </c>
      <c r="Q7" s="130">
        <v>0</v>
      </c>
      <c r="R7" s="130">
        <v>0</v>
      </c>
      <c r="S7" s="130">
        <v>0</v>
      </c>
      <c r="T7" s="130">
        <v>0</v>
      </c>
      <c r="U7" s="130">
        <v>0</v>
      </c>
      <c r="V7" s="130">
        <v>0</v>
      </c>
      <c r="W7" s="130">
        <v>0</v>
      </c>
      <c r="X7" s="130">
        <v>0</v>
      </c>
      <c r="Y7" s="130">
        <v>0</v>
      </c>
      <c r="Z7" s="130">
        <v>0</v>
      </c>
      <c r="AA7" s="130">
        <v>0</v>
      </c>
      <c r="AB7" s="130">
        <v>0</v>
      </c>
    </row>
    <row r="8" spans="1:28" ht="14.25" customHeight="1" x14ac:dyDescent="0.2">
      <c r="A8" s="1" t="s">
        <v>629</v>
      </c>
      <c r="B8" s="41" t="s">
        <v>630</v>
      </c>
      <c r="C8" s="131" t="s">
        <v>631</v>
      </c>
      <c r="D8" s="41" t="s">
        <v>197</v>
      </c>
      <c r="E8" s="41" t="s">
        <v>110</v>
      </c>
      <c r="F8" s="130">
        <v>0</v>
      </c>
      <c r="G8" s="130">
        <f t="shared" si="1"/>
        <v>0</v>
      </c>
      <c r="H8" s="130">
        <v>0</v>
      </c>
      <c r="I8" s="130">
        <v>0</v>
      </c>
      <c r="J8" s="130">
        <v>0</v>
      </c>
      <c r="K8" s="130">
        <v>0</v>
      </c>
      <c r="L8" s="130">
        <v>0</v>
      </c>
      <c r="M8" s="130">
        <v>0</v>
      </c>
      <c r="N8" s="130">
        <v>0</v>
      </c>
      <c r="O8" s="130">
        <v>0</v>
      </c>
      <c r="P8" s="130">
        <v>0</v>
      </c>
      <c r="Q8" s="130">
        <v>0</v>
      </c>
      <c r="R8" s="130">
        <v>0</v>
      </c>
      <c r="S8" s="130">
        <v>0</v>
      </c>
      <c r="T8" s="130">
        <v>0</v>
      </c>
      <c r="U8" s="130">
        <v>0</v>
      </c>
      <c r="V8" s="130">
        <v>0</v>
      </c>
      <c r="W8" s="130">
        <v>0</v>
      </c>
      <c r="X8" s="130">
        <v>0</v>
      </c>
      <c r="Y8" s="130">
        <v>0</v>
      </c>
      <c r="Z8" s="130">
        <v>0</v>
      </c>
      <c r="AA8" s="130">
        <v>0</v>
      </c>
      <c r="AB8" s="130">
        <v>0</v>
      </c>
    </row>
    <row r="9" spans="1:28" ht="14.25" customHeight="1" x14ac:dyDescent="0.2">
      <c r="A9" s="1" t="s">
        <v>138</v>
      </c>
      <c r="B9" s="41" t="s">
        <v>139</v>
      </c>
      <c r="C9" s="41" t="s">
        <v>632</v>
      </c>
      <c r="D9" s="41" t="s">
        <v>126</v>
      </c>
      <c r="E9" s="41" t="s">
        <v>110</v>
      </c>
      <c r="F9" s="132">
        <v>2000</v>
      </c>
      <c r="G9" s="130">
        <f t="shared" si="1"/>
        <v>42000</v>
      </c>
      <c r="H9" s="132">
        <v>2000</v>
      </c>
      <c r="I9" s="132">
        <v>2000</v>
      </c>
      <c r="J9" s="132">
        <v>2000</v>
      </c>
      <c r="K9" s="132">
        <v>2000</v>
      </c>
      <c r="L9" s="132">
        <v>2000</v>
      </c>
      <c r="M9" s="132">
        <v>2000</v>
      </c>
      <c r="N9" s="132">
        <v>2000</v>
      </c>
      <c r="O9" s="132">
        <v>2000</v>
      </c>
      <c r="P9" s="132">
        <v>2000</v>
      </c>
      <c r="Q9" s="132">
        <v>2000</v>
      </c>
      <c r="R9" s="132">
        <v>2000</v>
      </c>
      <c r="S9" s="132">
        <v>2000</v>
      </c>
      <c r="T9" s="132">
        <v>2000</v>
      </c>
      <c r="U9" s="132">
        <v>2000</v>
      </c>
      <c r="V9" s="132">
        <v>2000</v>
      </c>
      <c r="W9" s="132">
        <v>2000</v>
      </c>
      <c r="X9" s="132">
        <v>2000</v>
      </c>
      <c r="Y9" s="132">
        <v>2000</v>
      </c>
      <c r="Z9" s="132">
        <v>2000</v>
      </c>
      <c r="AA9" s="132">
        <v>2000</v>
      </c>
      <c r="AB9" s="132">
        <v>2000</v>
      </c>
    </row>
    <row r="10" spans="1:28" ht="14.25" customHeight="1" x14ac:dyDescent="0.2">
      <c r="A10" s="1" t="s">
        <v>525</v>
      </c>
      <c r="B10" s="41" t="s">
        <v>633</v>
      </c>
      <c r="C10" s="151" t="s">
        <v>634</v>
      </c>
      <c r="D10" s="41" t="s">
        <v>64</v>
      </c>
      <c r="E10" s="41" t="s">
        <v>110</v>
      </c>
      <c r="F10" s="132">
        <v>9533</v>
      </c>
      <c r="G10" s="130">
        <f t="shared" si="1"/>
        <v>424599</v>
      </c>
      <c r="H10" s="132">
        <v>9533</v>
      </c>
      <c r="I10" s="132">
        <v>9533</v>
      </c>
      <c r="J10" s="132">
        <v>9533</v>
      </c>
      <c r="K10" s="132">
        <v>18000</v>
      </c>
      <c r="L10" s="132">
        <v>18000</v>
      </c>
      <c r="M10" s="132">
        <v>18000</v>
      </c>
      <c r="N10" s="132">
        <v>18000</v>
      </c>
      <c r="O10" s="132">
        <v>18000</v>
      </c>
      <c r="P10" s="132">
        <v>18000</v>
      </c>
      <c r="Q10" s="132">
        <v>24000</v>
      </c>
      <c r="R10" s="132">
        <v>24000</v>
      </c>
      <c r="S10" s="132">
        <v>24000</v>
      </c>
      <c r="T10" s="132">
        <v>24000</v>
      </c>
      <c r="U10" s="132">
        <v>24000</v>
      </c>
      <c r="V10" s="132">
        <v>24000</v>
      </c>
      <c r="W10" s="132">
        <v>24000</v>
      </c>
      <c r="X10" s="132">
        <v>24000</v>
      </c>
      <c r="Y10" s="132">
        <v>24000</v>
      </c>
      <c r="Z10" s="132">
        <v>24000</v>
      </c>
      <c r="AA10" s="132">
        <v>24000</v>
      </c>
      <c r="AB10" s="132">
        <v>24000</v>
      </c>
    </row>
    <row r="11" spans="1:28" ht="14.25" customHeight="1" x14ac:dyDescent="0.2">
      <c r="A11" s="1" t="s">
        <v>527</v>
      </c>
      <c r="B11" s="41" t="s">
        <v>635</v>
      </c>
      <c r="C11" s="41"/>
      <c r="D11" s="41" t="s">
        <v>64</v>
      </c>
      <c r="E11" s="41" t="s">
        <v>110</v>
      </c>
      <c r="F11" s="132">
        <v>0</v>
      </c>
      <c r="G11" s="130">
        <f t="shared" si="1"/>
        <v>270000</v>
      </c>
      <c r="H11" s="132">
        <v>0</v>
      </c>
      <c r="I11" s="132">
        <v>0</v>
      </c>
      <c r="J11" s="132">
        <v>0</v>
      </c>
      <c r="K11" s="132">
        <v>15000</v>
      </c>
      <c r="L11" s="132">
        <v>15000</v>
      </c>
      <c r="M11" s="132">
        <v>15000</v>
      </c>
      <c r="N11" s="132">
        <v>15000</v>
      </c>
      <c r="O11" s="132">
        <v>15000</v>
      </c>
      <c r="P11" s="132">
        <v>15000</v>
      </c>
      <c r="Q11" s="132">
        <v>15000</v>
      </c>
      <c r="R11" s="132">
        <v>15000</v>
      </c>
      <c r="S11" s="132">
        <v>15000</v>
      </c>
      <c r="T11" s="132">
        <v>15000</v>
      </c>
      <c r="U11" s="132">
        <v>15000</v>
      </c>
      <c r="V11" s="132">
        <v>15000</v>
      </c>
      <c r="W11" s="132">
        <v>15000</v>
      </c>
      <c r="X11" s="132">
        <v>15000</v>
      </c>
      <c r="Y11" s="132">
        <v>15000</v>
      </c>
      <c r="Z11" s="132">
        <v>15000</v>
      </c>
      <c r="AA11" s="132">
        <v>15000</v>
      </c>
      <c r="AB11" s="132">
        <v>15000</v>
      </c>
    </row>
    <row r="12" spans="1:28" ht="14.25" customHeight="1" x14ac:dyDescent="0.2">
      <c r="A12" s="1" t="s">
        <v>529</v>
      </c>
      <c r="B12" s="41" t="s">
        <v>636</v>
      </c>
      <c r="C12" s="41"/>
      <c r="D12" s="41" t="s">
        <v>64</v>
      </c>
      <c r="E12" s="41" t="s">
        <v>110</v>
      </c>
      <c r="F12" s="132">
        <v>10000</v>
      </c>
      <c r="G12" s="130">
        <f t="shared" si="1"/>
        <v>277000</v>
      </c>
      <c r="H12" s="132">
        <v>10000</v>
      </c>
      <c r="I12" s="132">
        <v>10000</v>
      </c>
      <c r="J12" s="132">
        <f>8000+3000</f>
        <v>11000</v>
      </c>
      <c r="K12" s="132">
        <f t="shared" ref="K12:P12" si="2">8000+3000</f>
        <v>11000</v>
      </c>
      <c r="L12" s="132">
        <f t="shared" si="2"/>
        <v>11000</v>
      </c>
      <c r="M12" s="132">
        <f t="shared" si="2"/>
        <v>11000</v>
      </c>
      <c r="N12" s="132">
        <f t="shared" si="2"/>
        <v>11000</v>
      </c>
      <c r="O12" s="132">
        <f t="shared" si="2"/>
        <v>11000</v>
      </c>
      <c r="P12" s="132">
        <f t="shared" si="2"/>
        <v>11000</v>
      </c>
      <c r="Q12" s="132">
        <v>15000</v>
      </c>
      <c r="R12" s="132">
        <v>15000</v>
      </c>
      <c r="S12" s="132">
        <v>15000</v>
      </c>
      <c r="T12" s="132">
        <v>15000</v>
      </c>
      <c r="U12" s="132">
        <v>15000</v>
      </c>
      <c r="V12" s="132">
        <v>15000</v>
      </c>
      <c r="W12" s="132">
        <v>15000</v>
      </c>
      <c r="X12" s="132">
        <v>15000</v>
      </c>
      <c r="Y12" s="132">
        <v>15000</v>
      </c>
      <c r="Z12" s="132">
        <v>15000</v>
      </c>
      <c r="AA12" s="132">
        <v>15000</v>
      </c>
      <c r="AB12" s="132">
        <v>15000</v>
      </c>
    </row>
    <row r="13" spans="1:28" ht="14.25" customHeight="1" x14ac:dyDescent="0.2">
      <c r="A13" s="1" t="s">
        <v>531</v>
      </c>
      <c r="B13" s="41" t="s">
        <v>637</v>
      </c>
      <c r="C13" s="41"/>
      <c r="D13" s="41" t="s">
        <v>64</v>
      </c>
      <c r="E13" s="41" t="s">
        <v>110</v>
      </c>
      <c r="F13" s="130">
        <v>0</v>
      </c>
      <c r="G13" s="130">
        <f t="shared" si="1"/>
        <v>300000</v>
      </c>
      <c r="H13" s="130">
        <v>0</v>
      </c>
      <c r="I13" s="130">
        <v>0</v>
      </c>
      <c r="J13" s="130">
        <v>0</v>
      </c>
      <c r="K13" s="130">
        <v>0</v>
      </c>
      <c r="L13" s="130">
        <v>0</v>
      </c>
      <c r="M13" s="130">
        <v>0</v>
      </c>
      <c r="N13" s="130">
        <v>0</v>
      </c>
      <c r="O13" s="130">
        <v>0</v>
      </c>
      <c r="P13" s="130">
        <v>0</v>
      </c>
      <c r="Q13" s="130">
        <v>25000</v>
      </c>
      <c r="R13" s="130">
        <v>25000</v>
      </c>
      <c r="S13" s="130">
        <v>25000</v>
      </c>
      <c r="T13" s="130">
        <v>25000</v>
      </c>
      <c r="U13" s="130">
        <v>25000</v>
      </c>
      <c r="V13" s="130">
        <v>25000</v>
      </c>
      <c r="W13" s="130">
        <v>25000</v>
      </c>
      <c r="X13" s="130">
        <v>25000</v>
      </c>
      <c r="Y13" s="130">
        <v>25000</v>
      </c>
      <c r="Z13" s="130">
        <v>25000</v>
      </c>
      <c r="AA13" s="130">
        <v>25000</v>
      </c>
      <c r="AB13" s="130">
        <v>25000</v>
      </c>
    </row>
    <row r="14" spans="1:28" ht="14.25" customHeight="1" x14ac:dyDescent="0.2">
      <c r="A14" s="1" t="s">
        <v>532</v>
      </c>
      <c r="B14" s="41" t="s">
        <v>638</v>
      </c>
      <c r="C14" s="41"/>
      <c r="D14" s="41" t="s">
        <v>64</v>
      </c>
      <c r="E14" s="41" t="s">
        <v>110</v>
      </c>
      <c r="F14" s="130">
        <v>3000</v>
      </c>
      <c r="G14" s="130">
        <f t="shared" si="1"/>
        <v>117000</v>
      </c>
      <c r="H14" s="130">
        <v>3000</v>
      </c>
      <c r="I14" s="130">
        <v>3000</v>
      </c>
      <c r="J14" s="130">
        <v>3000</v>
      </c>
      <c r="K14" s="130">
        <v>6000</v>
      </c>
      <c r="L14" s="130">
        <v>6000</v>
      </c>
      <c r="M14" s="130">
        <v>6000</v>
      </c>
      <c r="N14" s="130">
        <v>6000</v>
      </c>
      <c r="O14" s="130">
        <v>6000</v>
      </c>
      <c r="P14" s="130">
        <v>6000</v>
      </c>
      <c r="Q14" s="130">
        <v>6000</v>
      </c>
      <c r="R14" s="130">
        <v>6000</v>
      </c>
      <c r="S14" s="130">
        <v>6000</v>
      </c>
      <c r="T14" s="130">
        <v>6000</v>
      </c>
      <c r="U14" s="130">
        <v>6000</v>
      </c>
      <c r="V14" s="130">
        <v>6000</v>
      </c>
      <c r="W14" s="130">
        <v>6000</v>
      </c>
      <c r="X14" s="130">
        <v>6000</v>
      </c>
      <c r="Y14" s="130">
        <v>6000</v>
      </c>
      <c r="Z14" s="130">
        <v>6000</v>
      </c>
      <c r="AA14" s="130">
        <v>6000</v>
      </c>
      <c r="AB14" s="130">
        <v>6000</v>
      </c>
    </row>
    <row r="15" spans="1:28" ht="14.25" customHeight="1" x14ac:dyDescent="0.2">
      <c r="A15" s="1" t="s">
        <v>177</v>
      </c>
      <c r="B15" s="41" t="s">
        <v>178</v>
      </c>
      <c r="C15" s="41"/>
      <c r="D15" s="41" t="s">
        <v>158</v>
      </c>
      <c r="E15" s="41" t="s">
        <v>110</v>
      </c>
      <c r="F15" s="130">
        <v>0</v>
      </c>
      <c r="G15" s="130">
        <f t="shared" si="1"/>
        <v>147000</v>
      </c>
      <c r="H15" s="130">
        <v>0</v>
      </c>
      <c r="I15" s="130">
        <v>0</v>
      </c>
      <c r="J15" s="130">
        <v>0</v>
      </c>
      <c r="K15" s="130">
        <v>4500</v>
      </c>
      <c r="L15" s="130">
        <v>4500</v>
      </c>
      <c r="M15" s="130">
        <v>4500</v>
      </c>
      <c r="N15" s="130">
        <v>4500</v>
      </c>
      <c r="O15" s="130">
        <v>4500</v>
      </c>
      <c r="P15" s="130">
        <v>4500</v>
      </c>
      <c r="Q15" s="130">
        <v>10000</v>
      </c>
      <c r="R15" s="130">
        <v>10000</v>
      </c>
      <c r="S15" s="130">
        <v>10000</v>
      </c>
      <c r="T15" s="130">
        <v>10000</v>
      </c>
      <c r="U15" s="130">
        <v>10000</v>
      </c>
      <c r="V15" s="130">
        <v>10000</v>
      </c>
      <c r="W15" s="130">
        <v>10000</v>
      </c>
      <c r="X15" s="130">
        <v>10000</v>
      </c>
      <c r="Y15" s="130">
        <v>10000</v>
      </c>
      <c r="Z15" s="130">
        <v>10000</v>
      </c>
      <c r="AA15" s="130">
        <v>10000</v>
      </c>
      <c r="AB15" s="130">
        <v>10000</v>
      </c>
    </row>
    <row r="16" spans="1:28" ht="14.25" customHeight="1" x14ac:dyDescent="0.2">
      <c r="A16" s="1" t="s">
        <v>534</v>
      </c>
      <c r="B16" s="41" t="s">
        <v>535</v>
      </c>
      <c r="C16" s="41"/>
      <c r="D16" s="41" t="s">
        <v>64</v>
      </c>
      <c r="E16" s="41" t="s">
        <v>110</v>
      </c>
      <c r="F16" s="132">
        <v>20000</v>
      </c>
      <c r="G16" s="130">
        <f t="shared" si="1"/>
        <v>340000</v>
      </c>
      <c r="H16" s="132">
        <v>20000</v>
      </c>
      <c r="I16" s="132">
        <v>20000</v>
      </c>
      <c r="J16" s="132">
        <v>25000</v>
      </c>
      <c r="K16" s="132">
        <v>25000</v>
      </c>
      <c r="L16" s="132">
        <v>25000</v>
      </c>
      <c r="M16" s="132">
        <v>25000</v>
      </c>
      <c r="N16" s="132">
        <v>25000</v>
      </c>
      <c r="O16" s="132">
        <v>25000</v>
      </c>
      <c r="P16" s="132">
        <v>25000</v>
      </c>
      <c r="Q16" s="132">
        <v>25000</v>
      </c>
      <c r="R16" s="132">
        <v>25000</v>
      </c>
      <c r="S16" s="132">
        <v>25000</v>
      </c>
      <c r="T16" s="132">
        <v>25000</v>
      </c>
      <c r="U16" s="132">
        <v>25000</v>
      </c>
      <c r="V16" s="132">
        <f t="shared" ref="V16:AB16" si="3">$AC$20+($AC$20*20%)</f>
        <v>0</v>
      </c>
      <c r="W16" s="132">
        <f t="shared" si="3"/>
        <v>0</v>
      </c>
      <c r="X16" s="132">
        <f t="shared" si="3"/>
        <v>0</v>
      </c>
      <c r="Y16" s="132">
        <f t="shared" si="3"/>
        <v>0</v>
      </c>
      <c r="Z16" s="132">
        <f t="shared" si="3"/>
        <v>0</v>
      </c>
      <c r="AA16" s="132">
        <f t="shared" si="3"/>
        <v>0</v>
      </c>
      <c r="AB16" s="132">
        <f t="shared" si="3"/>
        <v>0</v>
      </c>
    </row>
    <row r="17" spans="1:28" ht="14.25" customHeight="1" x14ac:dyDescent="0.2">
      <c r="A17" s="1" t="s">
        <v>639</v>
      </c>
      <c r="B17" s="41" t="s">
        <v>640</v>
      </c>
      <c r="C17" s="41"/>
      <c r="D17" s="41" t="s">
        <v>126</v>
      </c>
      <c r="E17" s="41" t="s">
        <v>110</v>
      </c>
      <c r="F17" s="130">
        <v>0</v>
      </c>
      <c r="G17" s="130">
        <f t="shared" si="1"/>
        <v>0</v>
      </c>
      <c r="H17" s="130">
        <v>0</v>
      </c>
      <c r="I17" s="130">
        <v>0</v>
      </c>
      <c r="J17" s="130">
        <v>0</v>
      </c>
      <c r="K17" s="130">
        <v>0</v>
      </c>
      <c r="L17" s="130">
        <v>0</v>
      </c>
      <c r="M17" s="130">
        <v>0</v>
      </c>
      <c r="N17" s="130">
        <v>0</v>
      </c>
      <c r="O17" s="130">
        <v>0</v>
      </c>
      <c r="P17" s="130">
        <v>0</v>
      </c>
      <c r="Q17" s="130">
        <v>0</v>
      </c>
      <c r="R17" s="130">
        <v>0</v>
      </c>
      <c r="S17" s="130">
        <v>0</v>
      </c>
      <c r="T17" s="130">
        <v>0</v>
      </c>
      <c r="U17" s="130">
        <v>0</v>
      </c>
      <c r="V17" s="130">
        <v>0</v>
      </c>
      <c r="W17" s="130">
        <v>0</v>
      </c>
      <c r="X17" s="130">
        <v>0</v>
      </c>
      <c r="Y17" s="130">
        <v>0</v>
      </c>
      <c r="Z17" s="130">
        <v>0</v>
      </c>
      <c r="AA17" s="130">
        <v>0</v>
      </c>
      <c r="AB17" s="130">
        <v>0</v>
      </c>
    </row>
    <row r="18" spans="1:28" ht="14.25" customHeight="1" x14ac:dyDescent="0.2">
      <c r="A18" s="1" t="s">
        <v>148</v>
      </c>
      <c r="B18" s="41" t="s">
        <v>149</v>
      </c>
      <c r="C18" s="41"/>
      <c r="D18" s="41" t="s">
        <v>126</v>
      </c>
      <c r="E18" s="41" t="s">
        <v>110</v>
      </c>
      <c r="F18" s="130">
        <f>450+450+225</f>
        <v>1125</v>
      </c>
      <c r="G18" s="130">
        <f t="shared" si="1"/>
        <v>5625</v>
      </c>
      <c r="H18" s="130">
        <v>0</v>
      </c>
      <c r="I18" s="130">
        <v>0</v>
      </c>
      <c r="J18" s="130">
        <v>0</v>
      </c>
      <c r="K18" s="130">
        <v>0</v>
      </c>
      <c r="L18" s="130">
        <f>450+450+225</f>
        <v>1125</v>
      </c>
      <c r="M18" s="130">
        <v>0</v>
      </c>
      <c r="N18" s="130">
        <v>0</v>
      </c>
      <c r="O18" s="130">
        <v>0</v>
      </c>
      <c r="P18" s="130">
        <v>0</v>
      </c>
      <c r="Q18" s="130">
        <f>450+450+225</f>
        <v>1125</v>
      </c>
      <c r="R18" s="130">
        <v>0</v>
      </c>
      <c r="S18" s="130">
        <v>0</v>
      </c>
      <c r="T18" s="130">
        <v>0</v>
      </c>
      <c r="U18" s="130">
        <f>450+450+225</f>
        <v>1125</v>
      </c>
      <c r="V18" s="130">
        <v>0</v>
      </c>
      <c r="W18" s="130">
        <v>0</v>
      </c>
      <c r="X18" s="130">
        <v>0</v>
      </c>
      <c r="Y18" s="130">
        <f>450+450+225</f>
        <v>1125</v>
      </c>
      <c r="Z18" s="130">
        <v>0</v>
      </c>
      <c r="AA18" s="130">
        <v>0</v>
      </c>
      <c r="AB18" s="130">
        <f>450+450+225</f>
        <v>1125</v>
      </c>
    </row>
    <row r="19" spans="1:28" ht="14.25" customHeight="1" x14ac:dyDescent="0.2">
      <c r="A19" s="1" t="s">
        <v>536</v>
      </c>
      <c r="B19" s="41" t="s">
        <v>641</v>
      </c>
      <c r="C19" s="41"/>
      <c r="D19" s="41" t="s">
        <v>64</v>
      </c>
      <c r="E19" s="41" t="s">
        <v>25</v>
      </c>
      <c r="F19" s="130">
        <v>20000</v>
      </c>
      <c r="G19" s="130">
        <f t="shared" si="1"/>
        <v>420000</v>
      </c>
      <c r="H19" s="130">
        <v>20000</v>
      </c>
      <c r="I19" s="130">
        <v>20000</v>
      </c>
      <c r="J19" s="130">
        <v>20000</v>
      </c>
      <c r="K19" s="130">
        <v>20000</v>
      </c>
      <c r="L19" s="130">
        <v>20000</v>
      </c>
      <c r="M19" s="130">
        <v>20000</v>
      </c>
      <c r="N19" s="130">
        <v>20000</v>
      </c>
      <c r="O19" s="130">
        <v>20000</v>
      </c>
      <c r="P19" s="130">
        <f t="shared" ref="P19:AB19" si="4">20000+(20%*$W$4)</f>
        <v>20000</v>
      </c>
      <c r="Q19" s="130">
        <f t="shared" si="4"/>
        <v>20000</v>
      </c>
      <c r="R19" s="130">
        <f t="shared" si="4"/>
        <v>20000</v>
      </c>
      <c r="S19" s="130">
        <f t="shared" si="4"/>
        <v>20000</v>
      </c>
      <c r="T19" s="130">
        <f t="shared" si="4"/>
        <v>20000</v>
      </c>
      <c r="U19" s="130">
        <f t="shared" si="4"/>
        <v>20000</v>
      </c>
      <c r="V19" s="130">
        <f t="shared" si="4"/>
        <v>20000</v>
      </c>
      <c r="W19" s="130">
        <f t="shared" si="4"/>
        <v>20000</v>
      </c>
      <c r="X19" s="130">
        <f t="shared" si="4"/>
        <v>20000</v>
      </c>
      <c r="Y19" s="130">
        <f t="shared" si="4"/>
        <v>20000</v>
      </c>
      <c r="Z19" s="130">
        <f t="shared" si="4"/>
        <v>20000</v>
      </c>
      <c r="AA19" s="130">
        <f t="shared" si="4"/>
        <v>20000</v>
      </c>
      <c r="AB19" s="130">
        <f t="shared" si="4"/>
        <v>20000</v>
      </c>
    </row>
    <row r="20" spans="1:28" ht="14.25" customHeight="1" x14ac:dyDescent="0.2">
      <c r="A20" s="1" t="s">
        <v>180</v>
      </c>
      <c r="B20" s="41" t="s">
        <v>538</v>
      </c>
      <c r="C20" s="41"/>
      <c r="D20" s="41" t="s">
        <v>64</v>
      </c>
      <c r="E20" s="41" t="s">
        <v>181</v>
      </c>
      <c r="F20" s="130">
        <v>122000</v>
      </c>
      <c r="G20" s="130">
        <f t="shared" si="1"/>
        <v>3007440</v>
      </c>
      <c r="H20" s="130">
        <v>122000</v>
      </c>
      <c r="I20" s="130">
        <v>122000</v>
      </c>
      <c r="J20" s="130">
        <v>126000</v>
      </c>
      <c r="K20" s="130">
        <v>126000</v>
      </c>
      <c r="L20" s="130">
        <v>126000</v>
      </c>
      <c r="M20" s="130">
        <v>126000</v>
      </c>
      <c r="N20" s="130">
        <v>146400</v>
      </c>
      <c r="O20" s="130">
        <v>146400</v>
      </c>
      <c r="P20" s="130">
        <v>151280</v>
      </c>
      <c r="Q20" s="130">
        <v>151280</v>
      </c>
      <c r="R20" s="130">
        <v>151280</v>
      </c>
      <c r="S20" s="130">
        <v>151280</v>
      </c>
      <c r="T20" s="130">
        <v>151280</v>
      </c>
      <c r="U20" s="130">
        <v>151280</v>
      </c>
      <c r="V20" s="130">
        <v>151280</v>
      </c>
      <c r="W20" s="130">
        <v>151280</v>
      </c>
      <c r="X20" s="130">
        <v>151280</v>
      </c>
      <c r="Y20" s="130">
        <v>151280</v>
      </c>
      <c r="Z20" s="130">
        <v>151280</v>
      </c>
      <c r="AA20" s="130">
        <v>151280</v>
      </c>
      <c r="AB20" s="130">
        <v>151280</v>
      </c>
    </row>
    <row r="21" spans="1:28" ht="14.25" customHeight="1" x14ac:dyDescent="0.2">
      <c r="A21" s="1" t="s">
        <v>642</v>
      </c>
      <c r="B21" s="41" t="s">
        <v>109</v>
      </c>
      <c r="C21" s="41"/>
      <c r="D21" s="41" t="s">
        <v>197</v>
      </c>
      <c r="E21" s="41" t="s">
        <v>185</v>
      </c>
      <c r="F21" s="130">
        <v>0</v>
      </c>
      <c r="G21" s="130">
        <f t="shared" si="1"/>
        <v>0</v>
      </c>
      <c r="H21" s="130">
        <v>0</v>
      </c>
      <c r="I21" s="130">
        <v>0</v>
      </c>
      <c r="J21" s="130">
        <v>0</v>
      </c>
      <c r="K21" s="130">
        <v>0</v>
      </c>
      <c r="L21" s="130">
        <v>0</v>
      </c>
      <c r="M21" s="130">
        <v>0</v>
      </c>
      <c r="N21" s="130">
        <v>0</v>
      </c>
      <c r="O21" s="130">
        <v>0</v>
      </c>
      <c r="P21" s="130">
        <v>0</v>
      </c>
      <c r="Q21" s="130">
        <v>0</v>
      </c>
      <c r="R21" s="130">
        <v>0</v>
      </c>
      <c r="S21" s="130">
        <v>0</v>
      </c>
      <c r="T21" s="130">
        <v>0</v>
      </c>
      <c r="U21" s="130">
        <v>0</v>
      </c>
      <c r="V21" s="130">
        <v>0</v>
      </c>
      <c r="W21" s="130">
        <v>0</v>
      </c>
      <c r="X21" s="130">
        <v>0</v>
      </c>
      <c r="Y21" s="130">
        <v>0</v>
      </c>
      <c r="Z21" s="130">
        <v>0</v>
      </c>
      <c r="AA21" s="130">
        <v>0</v>
      </c>
      <c r="AB21" s="130">
        <v>0</v>
      </c>
    </row>
    <row r="22" spans="1:28" ht="14.25" customHeight="1" x14ac:dyDescent="0.2">
      <c r="A22" s="1" t="s">
        <v>643</v>
      </c>
      <c r="B22" s="41" t="s">
        <v>109</v>
      </c>
      <c r="C22" s="41"/>
      <c r="D22" s="41" t="s">
        <v>197</v>
      </c>
      <c r="E22" s="41" t="s">
        <v>185</v>
      </c>
      <c r="F22" s="130">
        <v>0</v>
      </c>
      <c r="G22" s="130">
        <f t="shared" si="1"/>
        <v>0</v>
      </c>
      <c r="H22" s="130">
        <v>0</v>
      </c>
      <c r="I22" s="130">
        <v>0</v>
      </c>
      <c r="J22" s="130">
        <v>0</v>
      </c>
      <c r="K22" s="130">
        <v>0</v>
      </c>
      <c r="L22" s="130">
        <v>0</v>
      </c>
      <c r="M22" s="130">
        <v>0</v>
      </c>
      <c r="N22" s="130">
        <v>0</v>
      </c>
      <c r="O22" s="130">
        <v>0</v>
      </c>
      <c r="P22" s="130">
        <v>0</v>
      </c>
      <c r="Q22" s="130">
        <v>0</v>
      </c>
      <c r="R22" s="130">
        <v>0</v>
      </c>
      <c r="S22" s="130">
        <v>0</v>
      </c>
      <c r="T22" s="130">
        <v>0</v>
      </c>
      <c r="U22" s="130">
        <v>0</v>
      </c>
      <c r="V22" s="130">
        <v>0</v>
      </c>
      <c r="W22" s="130">
        <v>0</v>
      </c>
      <c r="X22" s="130">
        <v>0</v>
      </c>
      <c r="Y22" s="130">
        <v>0</v>
      </c>
      <c r="Z22" s="130">
        <v>0</v>
      </c>
      <c r="AA22" s="130">
        <v>0</v>
      </c>
      <c r="AB22" s="130">
        <v>0</v>
      </c>
    </row>
    <row r="23" spans="1:28" ht="14.25" customHeight="1" x14ac:dyDescent="0.2">
      <c r="A23" s="1" t="s">
        <v>644</v>
      </c>
      <c r="B23" s="41" t="s">
        <v>184</v>
      </c>
      <c r="C23" s="41"/>
      <c r="D23" s="41" t="s">
        <v>198</v>
      </c>
      <c r="E23" s="41" t="s">
        <v>185</v>
      </c>
      <c r="F23" s="130">
        <v>0</v>
      </c>
      <c r="G23" s="130">
        <f t="shared" si="1"/>
        <v>34408</v>
      </c>
      <c r="H23" s="130">
        <v>0</v>
      </c>
      <c r="I23" s="133">
        <v>17204</v>
      </c>
      <c r="J23" s="130">
        <v>0</v>
      </c>
      <c r="K23" s="130">
        <v>0</v>
      </c>
      <c r="L23" s="130">
        <v>0</v>
      </c>
      <c r="M23" s="130">
        <v>0</v>
      </c>
      <c r="N23" s="130">
        <v>0</v>
      </c>
      <c r="O23" s="130">
        <v>0</v>
      </c>
      <c r="P23" s="130">
        <v>0</v>
      </c>
      <c r="Q23" s="130">
        <v>0</v>
      </c>
      <c r="R23" s="130">
        <v>0</v>
      </c>
      <c r="S23" s="133">
        <v>17204</v>
      </c>
      <c r="T23" s="130">
        <v>0</v>
      </c>
      <c r="U23" s="130">
        <v>0</v>
      </c>
      <c r="V23" s="130">
        <v>0</v>
      </c>
      <c r="W23" s="130">
        <v>0</v>
      </c>
      <c r="X23" s="130">
        <v>0</v>
      </c>
      <c r="Y23" s="130">
        <v>0</v>
      </c>
      <c r="Z23" s="130">
        <v>0</v>
      </c>
      <c r="AA23" s="130">
        <v>0</v>
      </c>
      <c r="AB23" s="130">
        <v>0</v>
      </c>
    </row>
    <row r="24" spans="1:28" ht="14.25" customHeight="1" x14ac:dyDescent="0.2">
      <c r="A24" s="1" t="s">
        <v>183</v>
      </c>
      <c r="B24" s="41" t="s">
        <v>184</v>
      </c>
      <c r="C24" s="41"/>
      <c r="D24" s="41" t="s">
        <v>198</v>
      </c>
      <c r="E24" s="41" t="s">
        <v>185</v>
      </c>
      <c r="F24" s="130">
        <v>0</v>
      </c>
      <c r="G24" s="130">
        <f t="shared" si="1"/>
        <v>223408</v>
      </c>
      <c r="H24" s="130">
        <v>0</v>
      </c>
      <c r="I24" s="133">
        <v>17204</v>
      </c>
      <c r="J24" s="130">
        <v>0</v>
      </c>
      <c r="K24" s="130">
        <v>189000</v>
      </c>
      <c r="L24" s="130">
        <v>0</v>
      </c>
      <c r="M24" s="130">
        <v>0</v>
      </c>
      <c r="N24" s="130">
        <v>0</v>
      </c>
      <c r="O24" s="130">
        <v>0</v>
      </c>
      <c r="P24" s="130">
        <v>0</v>
      </c>
      <c r="Q24" s="130">
        <v>0</v>
      </c>
      <c r="R24" s="130">
        <v>0</v>
      </c>
      <c r="S24" s="133">
        <v>17204</v>
      </c>
      <c r="T24" s="130">
        <v>0</v>
      </c>
      <c r="U24" s="130">
        <v>0</v>
      </c>
      <c r="V24" s="130">
        <v>0</v>
      </c>
      <c r="W24" s="130">
        <v>0</v>
      </c>
      <c r="X24" s="130">
        <v>0</v>
      </c>
      <c r="Y24" s="130">
        <v>0</v>
      </c>
      <c r="Z24" s="130">
        <v>0</v>
      </c>
      <c r="AA24" s="130">
        <v>0</v>
      </c>
      <c r="AB24" s="130">
        <v>0</v>
      </c>
    </row>
    <row r="25" spans="1:28" ht="14.25" customHeight="1" x14ac:dyDescent="0.2">
      <c r="A25" s="1" t="s">
        <v>123</v>
      </c>
      <c r="B25" s="41" t="s">
        <v>124</v>
      </c>
      <c r="C25" s="41"/>
      <c r="D25" s="41" t="s">
        <v>126</v>
      </c>
      <c r="E25" s="41" t="s">
        <v>125</v>
      </c>
      <c r="F25" s="134">
        <v>40000</v>
      </c>
      <c r="G25" s="134">
        <f t="shared" si="1"/>
        <v>730000</v>
      </c>
      <c r="H25" s="134">
        <v>40000</v>
      </c>
      <c r="I25" s="134">
        <v>40000</v>
      </c>
      <c r="J25" s="134">
        <v>30000</v>
      </c>
      <c r="K25" s="134">
        <v>42000</v>
      </c>
      <c r="L25" s="134">
        <v>42000</v>
      </c>
      <c r="M25" s="134">
        <v>42000</v>
      </c>
      <c r="N25" s="134">
        <v>42000</v>
      </c>
      <c r="O25" s="134">
        <v>42000</v>
      </c>
      <c r="P25" s="134">
        <v>42000</v>
      </c>
      <c r="Q25" s="134">
        <v>42000</v>
      </c>
      <c r="R25" s="134">
        <v>42000</v>
      </c>
      <c r="S25" s="134">
        <v>42000</v>
      </c>
      <c r="T25" s="134">
        <v>42000</v>
      </c>
      <c r="U25" s="134">
        <v>25000</v>
      </c>
      <c r="V25" s="134">
        <v>25000</v>
      </c>
      <c r="W25" s="134">
        <v>25000</v>
      </c>
      <c r="X25" s="134">
        <v>25000</v>
      </c>
      <c r="Y25" s="134">
        <v>25000</v>
      </c>
      <c r="Z25" s="134">
        <v>25000</v>
      </c>
      <c r="AA25" s="134">
        <v>25000</v>
      </c>
      <c r="AB25" s="134">
        <v>25000</v>
      </c>
    </row>
    <row r="26" spans="1:28" ht="14.25" customHeight="1" x14ac:dyDescent="0.2">
      <c r="A26" s="1" t="s">
        <v>142</v>
      </c>
      <c r="B26" s="41" t="s">
        <v>143</v>
      </c>
      <c r="C26" s="41"/>
      <c r="D26" s="41" t="s">
        <v>126</v>
      </c>
      <c r="E26" s="41" t="s">
        <v>125</v>
      </c>
      <c r="F26" s="132">
        <v>150</v>
      </c>
      <c r="G26" s="130">
        <f t="shared" si="1"/>
        <v>9450</v>
      </c>
      <c r="H26" s="132">
        <v>150</v>
      </c>
      <c r="I26" s="132">
        <v>150</v>
      </c>
      <c r="J26" s="132">
        <v>150</v>
      </c>
      <c r="K26" s="132">
        <v>500</v>
      </c>
      <c r="L26" s="132">
        <v>500</v>
      </c>
      <c r="M26" s="132">
        <v>500</v>
      </c>
      <c r="N26" s="132">
        <v>500</v>
      </c>
      <c r="O26" s="132">
        <v>500</v>
      </c>
      <c r="P26" s="132">
        <v>500</v>
      </c>
      <c r="Q26" s="132">
        <v>500</v>
      </c>
      <c r="R26" s="132">
        <v>500</v>
      </c>
      <c r="S26" s="132">
        <v>500</v>
      </c>
      <c r="T26" s="132">
        <v>500</v>
      </c>
      <c r="U26" s="132">
        <v>500</v>
      </c>
      <c r="V26" s="132">
        <v>500</v>
      </c>
      <c r="W26" s="132">
        <v>500</v>
      </c>
      <c r="X26" s="132">
        <v>500</v>
      </c>
      <c r="Y26" s="132">
        <v>500</v>
      </c>
      <c r="Z26" s="132">
        <v>500</v>
      </c>
      <c r="AA26" s="132">
        <v>500</v>
      </c>
      <c r="AB26" s="132">
        <v>500</v>
      </c>
    </row>
    <row r="27" spans="1:28" ht="14.25" customHeight="1" x14ac:dyDescent="0.2">
      <c r="A27" s="1" t="s">
        <v>140</v>
      </c>
      <c r="B27" s="41" t="s">
        <v>141</v>
      </c>
      <c r="C27" s="41"/>
      <c r="D27" s="41" t="s">
        <v>126</v>
      </c>
      <c r="E27" s="41" t="s">
        <v>125</v>
      </c>
      <c r="F27" s="130">
        <v>0</v>
      </c>
      <c r="G27" s="130">
        <f t="shared" si="1"/>
        <v>11532</v>
      </c>
      <c r="H27" s="130">
        <v>0</v>
      </c>
      <c r="I27" s="130">
        <v>0</v>
      </c>
      <c r="J27" s="130">
        <v>0</v>
      </c>
      <c r="K27" s="132">
        <v>4032</v>
      </c>
      <c r="L27" s="130">
        <v>0</v>
      </c>
      <c r="M27" s="130">
        <v>0</v>
      </c>
      <c r="N27" s="130">
        <v>0</v>
      </c>
      <c r="O27" s="130">
        <v>0</v>
      </c>
      <c r="P27" s="130">
        <v>0</v>
      </c>
      <c r="Q27" s="130">
        <v>0</v>
      </c>
      <c r="R27" s="130">
        <v>0</v>
      </c>
      <c r="S27" s="130">
        <v>0</v>
      </c>
      <c r="T27" s="130">
        <v>0</v>
      </c>
      <c r="U27" s="130">
        <v>0</v>
      </c>
      <c r="V27" s="130">
        <v>0</v>
      </c>
      <c r="W27" s="132">
        <v>7500</v>
      </c>
      <c r="X27" s="130">
        <v>0</v>
      </c>
      <c r="Y27" s="130">
        <v>0</v>
      </c>
      <c r="Z27" s="130">
        <v>0</v>
      </c>
      <c r="AA27" s="130">
        <v>0</v>
      </c>
      <c r="AB27" s="130">
        <v>0</v>
      </c>
    </row>
    <row r="28" spans="1:28" ht="14.25" customHeight="1" x14ac:dyDescent="0.2">
      <c r="A28" s="1" t="s">
        <v>144</v>
      </c>
      <c r="B28" s="41" t="s">
        <v>145</v>
      </c>
      <c r="C28" s="41"/>
      <c r="D28" s="41" t="s">
        <v>126</v>
      </c>
      <c r="E28" s="41" t="s">
        <v>125</v>
      </c>
      <c r="F28" s="130"/>
      <c r="G28" s="130">
        <f t="shared" si="1"/>
        <v>5960</v>
      </c>
      <c r="H28" s="130"/>
      <c r="I28" s="130"/>
      <c r="J28" s="130"/>
      <c r="K28" s="132">
        <v>2980</v>
      </c>
      <c r="L28" s="130">
        <v>0</v>
      </c>
      <c r="M28" s="130">
        <v>0</v>
      </c>
      <c r="N28" s="130">
        <v>0</v>
      </c>
      <c r="O28" s="130">
        <v>0</v>
      </c>
      <c r="P28" s="130">
        <v>0</v>
      </c>
      <c r="Q28" s="130">
        <v>0</v>
      </c>
      <c r="R28" s="130">
        <v>0</v>
      </c>
      <c r="S28" s="130">
        <v>0</v>
      </c>
      <c r="T28" s="130">
        <v>0</v>
      </c>
      <c r="U28" s="130">
        <v>0</v>
      </c>
      <c r="V28" s="130">
        <v>0</v>
      </c>
      <c r="W28" s="132">
        <v>2980</v>
      </c>
      <c r="X28" s="130">
        <v>0</v>
      </c>
      <c r="Y28" s="130">
        <v>0</v>
      </c>
      <c r="Z28" s="130">
        <v>0</v>
      </c>
      <c r="AA28" s="130">
        <v>0</v>
      </c>
      <c r="AB28" s="130">
        <v>0</v>
      </c>
    </row>
    <row r="29" spans="1:28" ht="14.25" customHeight="1" x14ac:dyDescent="0.2">
      <c r="A29" s="1" t="s">
        <v>146</v>
      </c>
      <c r="B29" s="41" t="s">
        <v>147</v>
      </c>
      <c r="C29" s="41"/>
      <c r="D29" s="41" t="s">
        <v>126</v>
      </c>
      <c r="E29" s="41" t="s">
        <v>125</v>
      </c>
      <c r="F29" s="132">
        <v>200</v>
      </c>
      <c r="G29" s="130">
        <f t="shared" si="1"/>
        <v>7080</v>
      </c>
      <c r="H29" s="132">
        <v>200</v>
      </c>
      <c r="I29" s="132">
        <v>200</v>
      </c>
      <c r="J29" s="132">
        <v>200</v>
      </c>
      <c r="K29" s="132">
        <v>360</v>
      </c>
      <c r="L29" s="132">
        <v>360</v>
      </c>
      <c r="M29" s="132">
        <v>360</v>
      </c>
      <c r="N29" s="132">
        <v>360</v>
      </c>
      <c r="O29" s="132">
        <v>360</v>
      </c>
      <c r="P29" s="132">
        <v>360</v>
      </c>
      <c r="Q29" s="132">
        <v>360</v>
      </c>
      <c r="R29" s="132">
        <v>360</v>
      </c>
      <c r="S29" s="132">
        <v>360</v>
      </c>
      <c r="T29" s="132">
        <v>360</v>
      </c>
      <c r="U29" s="132">
        <v>360</v>
      </c>
      <c r="V29" s="132">
        <v>360</v>
      </c>
      <c r="W29" s="132">
        <v>360</v>
      </c>
      <c r="X29" s="132">
        <v>360</v>
      </c>
      <c r="Y29" s="132">
        <v>360</v>
      </c>
      <c r="Z29" s="132">
        <v>360</v>
      </c>
      <c r="AA29" s="132">
        <v>360</v>
      </c>
      <c r="AB29" s="132">
        <v>360</v>
      </c>
    </row>
    <row r="30" spans="1:28" ht="14.25" customHeight="1" x14ac:dyDescent="0.2">
      <c r="A30" s="1" t="s">
        <v>645</v>
      </c>
      <c r="B30" s="41" t="s">
        <v>184</v>
      </c>
      <c r="C30" s="41"/>
      <c r="D30" s="41" t="s">
        <v>126</v>
      </c>
      <c r="E30" s="41" t="s">
        <v>125</v>
      </c>
      <c r="F30" s="130">
        <v>0</v>
      </c>
      <c r="G30" s="130">
        <f t="shared" si="1"/>
        <v>32000</v>
      </c>
      <c r="H30" s="130">
        <v>0</v>
      </c>
      <c r="I30" s="130">
        <v>0</v>
      </c>
      <c r="J30" s="130">
        <v>0</v>
      </c>
      <c r="K30" s="130">
        <v>0</v>
      </c>
      <c r="L30" s="130">
        <v>0</v>
      </c>
      <c r="M30" s="130">
        <v>0</v>
      </c>
      <c r="N30" s="130">
        <v>0</v>
      </c>
      <c r="O30" s="135">
        <v>16000</v>
      </c>
      <c r="P30" s="130">
        <v>0</v>
      </c>
      <c r="Q30" s="130">
        <v>0</v>
      </c>
      <c r="R30" s="130">
        <v>0</v>
      </c>
      <c r="S30" s="130">
        <v>0</v>
      </c>
      <c r="T30" s="130">
        <v>0</v>
      </c>
      <c r="U30" s="130">
        <v>0</v>
      </c>
      <c r="V30" s="130">
        <v>0</v>
      </c>
      <c r="W30" s="130">
        <v>0</v>
      </c>
      <c r="X30" s="130">
        <v>0</v>
      </c>
      <c r="Y30" s="130">
        <v>0</v>
      </c>
      <c r="Z30" s="130">
        <v>0</v>
      </c>
      <c r="AA30" s="135">
        <v>16000</v>
      </c>
      <c r="AB30" s="130">
        <v>0</v>
      </c>
    </row>
    <row r="31" spans="1:28" ht="14.25" customHeight="1" x14ac:dyDescent="0.2">
      <c r="A31" s="1" t="s">
        <v>133</v>
      </c>
      <c r="B31" s="41" t="s">
        <v>184</v>
      </c>
      <c r="C31" s="41"/>
      <c r="D31" s="41" t="s">
        <v>126</v>
      </c>
      <c r="E31" s="41" t="s">
        <v>125</v>
      </c>
      <c r="F31" s="130">
        <v>0</v>
      </c>
      <c r="G31" s="130">
        <f t="shared" si="1"/>
        <v>32000</v>
      </c>
      <c r="H31" s="130">
        <v>0</v>
      </c>
      <c r="I31" s="130">
        <v>0</v>
      </c>
      <c r="J31" s="130">
        <v>0</v>
      </c>
      <c r="K31" s="130">
        <v>0</v>
      </c>
      <c r="L31" s="130">
        <v>0</v>
      </c>
      <c r="M31" s="130">
        <v>0</v>
      </c>
      <c r="N31" s="130">
        <v>0</v>
      </c>
      <c r="O31" s="135">
        <v>16000</v>
      </c>
      <c r="P31" s="130">
        <v>0</v>
      </c>
      <c r="Q31" s="130">
        <v>0</v>
      </c>
      <c r="R31" s="130">
        <v>0</v>
      </c>
      <c r="S31" s="130">
        <v>0</v>
      </c>
      <c r="T31" s="130">
        <v>0</v>
      </c>
      <c r="U31" s="130">
        <v>0</v>
      </c>
      <c r="V31" s="130">
        <v>0</v>
      </c>
      <c r="W31" s="130">
        <v>0</v>
      </c>
      <c r="X31" s="130">
        <v>0</v>
      </c>
      <c r="Y31" s="130">
        <v>0</v>
      </c>
      <c r="Z31" s="130">
        <v>0</v>
      </c>
      <c r="AA31" s="135">
        <v>16000</v>
      </c>
      <c r="AB31" s="130">
        <v>0</v>
      </c>
    </row>
    <row r="32" spans="1:28" ht="14.25" customHeight="1" x14ac:dyDescent="0.2"/>
    <row r="33" spans="2:28" ht="14.25" customHeight="1" x14ac:dyDescent="0.2">
      <c r="B33" s="136" t="s">
        <v>213</v>
      </c>
      <c r="C33" s="136"/>
      <c r="D33" s="136"/>
      <c r="F33" s="137">
        <f>SUM(F3:F31)</f>
        <v>258008</v>
      </c>
      <c r="G33" s="137"/>
      <c r="H33" s="137">
        <f t="shared" ref="H33:AB33" si="5">SUM(H3:H31)</f>
        <v>256883</v>
      </c>
      <c r="I33" s="137">
        <f t="shared" si="5"/>
        <v>291291</v>
      </c>
      <c r="J33" s="137">
        <f t="shared" si="5"/>
        <v>256883</v>
      </c>
      <c r="K33" s="137">
        <f t="shared" si="5"/>
        <v>496372</v>
      </c>
      <c r="L33" s="137">
        <f t="shared" si="5"/>
        <v>301485</v>
      </c>
      <c r="M33" s="137">
        <f t="shared" si="5"/>
        <v>300360</v>
      </c>
      <c r="N33" s="137">
        <f t="shared" si="5"/>
        <v>320760</v>
      </c>
      <c r="O33" s="137">
        <f t="shared" si="5"/>
        <v>352760</v>
      </c>
      <c r="P33" s="137">
        <f t="shared" si="5"/>
        <v>325640</v>
      </c>
      <c r="Q33" s="137">
        <f t="shared" si="5"/>
        <v>367265</v>
      </c>
      <c r="R33" s="137">
        <f t="shared" si="5"/>
        <v>366140</v>
      </c>
      <c r="S33" s="137">
        <f t="shared" si="5"/>
        <v>400548</v>
      </c>
      <c r="T33" s="137">
        <f t="shared" si="5"/>
        <v>366140</v>
      </c>
      <c r="U33" s="137">
        <f t="shared" si="5"/>
        <v>350265</v>
      </c>
      <c r="V33" s="137">
        <f t="shared" si="5"/>
        <v>324140</v>
      </c>
      <c r="W33" s="137">
        <f t="shared" si="5"/>
        <v>334620</v>
      </c>
      <c r="X33" s="137">
        <f t="shared" si="5"/>
        <v>324140</v>
      </c>
      <c r="Y33" s="137">
        <f t="shared" si="5"/>
        <v>325265</v>
      </c>
      <c r="Z33" s="137">
        <f t="shared" si="5"/>
        <v>324140</v>
      </c>
      <c r="AA33" s="137">
        <f t="shared" si="5"/>
        <v>356140</v>
      </c>
      <c r="AB33" s="137">
        <f t="shared" si="5"/>
        <v>325265</v>
      </c>
    </row>
    <row r="34" spans="2:28" ht="14.25" customHeight="1" x14ac:dyDescent="0.2"/>
    <row r="35" spans="2:28" ht="14.25" customHeight="1" x14ac:dyDescent="0.2">
      <c r="B35" s="1" t="s">
        <v>646</v>
      </c>
    </row>
    <row r="36" spans="2:28" ht="14.25" customHeight="1" x14ac:dyDescent="0.2">
      <c r="B36" s="1" t="s">
        <v>647</v>
      </c>
      <c r="E36" s="138" t="s">
        <v>648</v>
      </c>
      <c r="F36" s="139">
        <f>SUMIF('Weekly Spend'!7:7,F2,'Weekly Spend'!97:97)-F33</f>
        <v>-148914.96999999997</v>
      </c>
      <c r="G36" s="139">
        <f>SUMIF('Weekly Spend'!7:7,G2,'Weekly Spend'!97:97)-G33</f>
        <v>0</v>
      </c>
      <c r="H36" s="139">
        <f>SUMIF('Weekly Spend'!7:7,H2,'Weekly Spend'!97:97)-H33</f>
        <v>1944.070000000007</v>
      </c>
      <c r="I36" s="139">
        <f>SUMIF('Weekly Spend'!7:7,I2,'Weekly Spend'!97:97)-I33</f>
        <v>-119531.48999999993</v>
      </c>
      <c r="J36" s="139">
        <f>SUMIF('Weekly Spend'!7:7,J2,'Weekly Spend'!97:97)-J33</f>
        <v>20625.280000000028</v>
      </c>
      <c r="K36" s="139">
        <f>SUMIF('Weekly Spend'!7:7,K2,'Weekly Spend'!97:97)-K33</f>
        <v>201246.59999999998</v>
      </c>
      <c r="L36" s="139">
        <f>SUMIF('Weekly Spend'!7:7,L2,'Weekly Spend'!97:97)-L33</f>
        <v>25815.260000000009</v>
      </c>
      <c r="M36" s="139">
        <f>SUMIF('Weekly Spend'!7:7,M2,'Weekly Spend'!97:97)-M33</f>
        <v>289421.45461538457</v>
      </c>
      <c r="N36" s="139">
        <f>SUMIF('Weekly Spend'!7:7,N2,'Weekly Spend'!97:97)-N33</f>
        <v>32495.344615384645</v>
      </c>
      <c r="O36" s="139">
        <f>SUMIF('Weekly Spend'!7:7,O2,'Weekly Spend'!97:97)-O33</f>
        <v>255343.76461538463</v>
      </c>
      <c r="P36" s="139">
        <f>SUMIF('Weekly Spend'!7:7,P2,'Weekly Spend'!97:97)-P33</f>
        <v>477369.73692307691</v>
      </c>
      <c r="Q36" s="139">
        <f>SUMIF('Weekly Spend'!7:7,Q2,'Weekly Spend'!97:97)-Q33</f>
        <v>159493.38461538451</v>
      </c>
      <c r="R36" s="139">
        <f>SUMIF('Weekly Spend'!7:7,R2,'Weekly Spend'!97:97)-R33</f>
        <v>76190.384615384624</v>
      </c>
      <c r="S36" s="139">
        <f>SUMIF('Weekly Spend'!7:7,S2,'Weekly Spend'!97:97)-S33</f>
        <v>228816.38461538462</v>
      </c>
      <c r="T36" s="139">
        <f>SUMIF('Weekly Spend'!7:7,T2,'Weekly Spend'!97:97)-T33</f>
        <v>283342.98878205125</v>
      </c>
      <c r="U36" s="139">
        <f>SUMIF('Weekly Spend'!7:7,U2,'Weekly Spend'!97:97)-U33</f>
        <v>-12.615384615433868</v>
      </c>
      <c r="V36" s="139">
        <f>SUMIF('Weekly Spend'!7:7,V2,'Weekly Spend'!97:97)-V33</f>
        <v>166607.07692307694</v>
      </c>
      <c r="W36" s="139">
        <f>SUMIF('Weekly Spend'!7:7,W2,'Weekly Spend'!97:97)-W33</f>
        <v>-72109.615384615376</v>
      </c>
      <c r="X36" s="139">
        <f>SUMIF('Weekly Spend'!7:7,X2,'Weekly Spend'!97:97)-X33</f>
        <v>-73012.615384615376</v>
      </c>
      <c r="Y36" s="139">
        <f>SUMIF('Weekly Spend'!7:7,Y2,'Weekly Spend'!97:97)-Y33</f>
        <v>-82012.615384615376</v>
      </c>
      <c r="Z36" s="139">
        <f>SUMIF('Weekly Spend'!7:7,Z2,'Weekly Spend'!97:97)-Z33</f>
        <v>-72512.615384615376</v>
      </c>
      <c r="AA36" s="139">
        <f>SUMIF('Weekly Spend'!7:7,AA2,'Weekly Spend'!97:97)-AA33</f>
        <v>6801.0769230769365</v>
      </c>
      <c r="AB36" s="139">
        <f>SUMIF('Weekly Spend'!7:7,AB2,'Weekly Spend'!97:97)-AB33</f>
        <v>-82012.615384615376</v>
      </c>
    </row>
    <row r="37" spans="2:28" ht="14.25" customHeight="1" x14ac:dyDescent="0.2">
      <c r="B37" s="1" t="s">
        <v>162</v>
      </c>
    </row>
    <row r="38" spans="2:28" ht="14.25" customHeight="1" x14ac:dyDescent="0.2">
      <c r="B38" s="1" t="s">
        <v>649</v>
      </c>
    </row>
    <row r="39" spans="2:28" ht="14.25" customHeight="1" x14ac:dyDescent="0.2"/>
    <row r="40" spans="2:28" ht="14.25" customHeight="1" x14ac:dyDescent="0.2"/>
    <row r="41" spans="2:28" ht="14.25" customHeight="1" x14ac:dyDescent="0.2"/>
    <row r="42" spans="2:28" ht="14.25" customHeight="1" x14ac:dyDescent="0.2"/>
    <row r="43" spans="2:28" ht="14.25" customHeight="1" x14ac:dyDescent="0.2"/>
    <row r="44" spans="2:28" ht="14.25" customHeight="1" x14ac:dyDescent="0.2"/>
    <row r="45" spans="2:28" ht="14.25" customHeight="1" x14ac:dyDescent="0.2"/>
    <row r="46" spans="2:28" ht="14.25" customHeight="1" x14ac:dyDescent="0.2"/>
    <row r="47" spans="2:28" ht="14.25" customHeight="1" x14ac:dyDescent="0.2"/>
    <row r="48" spans="2:2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autoFilter ref="A2:AB31" xr:uid="{00000000-0009-0000-0000-00000C000000}"/>
  <pageMargins left="0.7" right="0.7" top="0.75" bottom="0.75" header="0" footer="0"/>
  <pageSetup orientation="landscape"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0"/>
  </sheetPr>
  <dimension ref="A1:Z1000"/>
  <sheetViews>
    <sheetView workbookViewId="0">
      <selection activeCell="B17" sqref="B17"/>
    </sheetView>
  </sheetViews>
  <sheetFormatPr baseColWidth="10" defaultColWidth="14.5" defaultRowHeight="15" customHeight="1" x14ac:dyDescent="0.2"/>
  <cols>
    <col min="1" max="26" width="22.6640625" customWidth="1"/>
  </cols>
  <sheetData>
    <row r="1" spans="1:26" ht="14.25" customHeight="1" x14ac:dyDescent="0.2">
      <c r="B1" s="140" t="s">
        <v>255</v>
      </c>
      <c r="C1" s="140" t="s">
        <v>256</v>
      </c>
      <c r="D1" s="140" t="s">
        <v>257</v>
      </c>
      <c r="E1" s="140" t="s">
        <v>258</v>
      </c>
      <c r="F1" s="140" t="s">
        <v>259</v>
      </c>
      <c r="G1" s="140" t="s">
        <v>260</v>
      </c>
      <c r="H1" s="140" t="s">
        <v>261</v>
      </c>
      <c r="I1" s="140" t="s">
        <v>262</v>
      </c>
      <c r="J1" s="140" t="s">
        <v>263</v>
      </c>
      <c r="K1" s="140" t="s">
        <v>264</v>
      </c>
      <c r="L1" s="140" t="s">
        <v>265</v>
      </c>
      <c r="M1" s="140" t="s">
        <v>266</v>
      </c>
      <c r="N1" s="140" t="s">
        <v>267</v>
      </c>
    </row>
    <row r="2" spans="1:26" ht="14.25" customHeight="1" x14ac:dyDescent="0.2">
      <c r="B2" s="74">
        <v>45733</v>
      </c>
      <c r="C2" s="74">
        <f t="shared" ref="C2:N2" si="0">+B2+7</f>
        <v>45740</v>
      </c>
      <c r="D2" s="74">
        <f t="shared" si="0"/>
        <v>45747</v>
      </c>
      <c r="E2" s="74">
        <f t="shared" si="0"/>
        <v>45754</v>
      </c>
      <c r="F2" s="74">
        <f t="shared" si="0"/>
        <v>45761</v>
      </c>
      <c r="G2" s="74">
        <f t="shared" si="0"/>
        <v>45768</v>
      </c>
      <c r="H2" s="74">
        <f t="shared" si="0"/>
        <v>45775</v>
      </c>
      <c r="I2" s="74">
        <f t="shared" si="0"/>
        <v>45782</v>
      </c>
      <c r="J2" s="74">
        <f t="shared" si="0"/>
        <v>45789</v>
      </c>
      <c r="K2" s="74">
        <f t="shared" si="0"/>
        <v>45796</v>
      </c>
      <c r="L2" s="74">
        <f t="shared" si="0"/>
        <v>45803</v>
      </c>
      <c r="M2" s="74">
        <f t="shared" si="0"/>
        <v>45810</v>
      </c>
      <c r="N2" s="74">
        <f t="shared" si="0"/>
        <v>45817</v>
      </c>
    </row>
    <row r="3" spans="1:26" ht="14.25" customHeight="1" x14ac:dyDescent="0.2"/>
    <row r="4" spans="1:26" ht="14.25" customHeight="1" x14ac:dyDescent="0.2">
      <c r="A4" s="17" t="s">
        <v>650</v>
      </c>
      <c r="B4" s="141"/>
      <c r="C4" s="141"/>
      <c r="D4" s="141"/>
      <c r="E4" s="141"/>
      <c r="F4" s="141"/>
      <c r="G4" s="141"/>
      <c r="H4" s="141"/>
      <c r="I4" s="141"/>
      <c r="J4" s="141"/>
      <c r="K4" s="141"/>
      <c r="L4" s="141"/>
      <c r="M4" s="141"/>
      <c r="N4" s="141"/>
      <c r="O4" s="142"/>
      <c r="P4" s="142"/>
      <c r="Q4" s="142"/>
      <c r="R4" s="142"/>
      <c r="S4" s="142"/>
      <c r="T4" s="142"/>
      <c r="U4" s="142"/>
      <c r="V4" s="142"/>
      <c r="W4" s="142"/>
      <c r="X4" s="142"/>
      <c r="Y4" s="142"/>
      <c r="Z4" s="142"/>
    </row>
    <row r="5" spans="1:26" ht="14.25" customHeight="1" x14ac:dyDescent="0.2">
      <c r="A5" s="142" t="s">
        <v>124</v>
      </c>
      <c r="B5" s="141">
        <v>42899.7</v>
      </c>
      <c r="C5" s="141"/>
      <c r="D5" s="141">
        <v>0</v>
      </c>
      <c r="E5" s="141"/>
      <c r="F5" s="141"/>
      <c r="G5" s="141"/>
      <c r="H5" s="141"/>
      <c r="I5" s="141"/>
      <c r="J5" s="141"/>
      <c r="K5" s="141"/>
      <c r="L5" s="141"/>
      <c r="M5" s="141"/>
      <c r="N5" s="141"/>
      <c r="O5" s="142"/>
      <c r="P5" s="142"/>
      <c r="Q5" s="142"/>
      <c r="R5" s="142"/>
      <c r="S5" s="142"/>
      <c r="T5" s="142"/>
      <c r="U5" s="142"/>
      <c r="V5" s="142"/>
      <c r="W5" s="142"/>
      <c r="X5" s="142"/>
      <c r="Y5" s="142"/>
      <c r="Z5" s="142"/>
    </row>
    <row r="6" spans="1:26" ht="14.25" customHeight="1" x14ac:dyDescent="0.2">
      <c r="A6" s="142" t="s">
        <v>109</v>
      </c>
      <c r="B6" s="141"/>
      <c r="C6" s="141">
        <v>10385</v>
      </c>
      <c r="D6" s="141">
        <v>0</v>
      </c>
      <c r="E6" s="141">
        <v>11307</v>
      </c>
      <c r="F6" s="141">
        <v>10384</v>
      </c>
      <c r="G6" s="141">
        <v>11307</v>
      </c>
      <c r="H6" s="141"/>
      <c r="I6" s="141"/>
      <c r="J6" s="141"/>
      <c r="K6" s="141"/>
      <c r="L6" s="141"/>
      <c r="M6" s="141"/>
      <c r="N6" s="141"/>
      <c r="O6" s="142"/>
      <c r="P6" s="142"/>
      <c r="Q6" s="142"/>
      <c r="R6" s="142"/>
      <c r="S6" s="142"/>
      <c r="T6" s="142"/>
      <c r="U6" s="142"/>
      <c r="V6" s="142"/>
      <c r="W6" s="142"/>
      <c r="X6" s="142"/>
      <c r="Y6" s="142"/>
      <c r="Z6" s="142"/>
    </row>
    <row r="7" spans="1:26" ht="14.25" customHeight="1" x14ac:dyDescent="0.2">
      <c r="A7" s="142" t="s">
        <v>139</v>
      </c>
      <c r="B7" s="141"/>
      <c r="C7" s="141"/>
      <c r="D7" s="141"/>
      <c r="E7" s="141"/>
      <c r="F7" s="141"/>
      <c r="G7" s="141"/>
      <c r="H7" s="141"/>
      <c r="I7" s="141"/>
      <c r="J7" s="141"/>
      <c r="K7" s="141"/>
      <c r="L7" s="141"/>
      <c r="M7" s="141"/>
      <c r="N7" s="141"/>
      <c r="O7" s="142"/>
      <c r="P7" s="142"/>
      <c r="Q7" s="142"/>
      <c r="R7" s="142"/>
      <c r="S7" s="142"/>
      <c r="T7" s="142"/>
      <c r="U7" s="142"/>
      <c r="V7" s="142"/>
      <c r="W7" s="142"/>
      <c r="X7" s="142"/>
      <c r="Y7" s="142"/>
      <c r="Z7" s="142"/>
    </row>
    <row r="8" spans="1:26" ht="14.25" customHeight="1" x14ac:dyDescent="0.2">
      <c r="A8" s="142" t="s">
        <v>25</v>
      </c>
      <c r="B8" s="141"/>
      <c r="C8" s="141"/>
      <c r="D8" s="141"/>
      <c r="E8" s="141"/>
      <c r="F8" s="141">
        <v>0</v>
      </c>
      <c r="G8" s="141"/>
      <c r="H8" s="141"/>
      <c r="I8" s="141"/>
      <c r="J8" s="141"/>
      <c r="K8" s="141"/>
      <c r="L8" s="141"/>
      <c r="M8" s="141"/>
      <c r="N8" s="141"/>
      <c r="O8" s="142"/>
      <c r="P8" s="142"/>
      <c r="Q8" s="142"/>
      <c r="R8" s="142"/>
      <c r="S8" s="142"/>
      <c r="T8" s="142"/>
      <c r="U8" s="142"/>
      <c r="V8" s="142"/>
      <c r="W8" s="142"/>
      <c r="X8" s="142"/>
      <c r="Y8" s="142"/>
      <c r="Z8" s="142"/>
    </row>
    <row r="9" spans="1:26" ht="14.25" customHeight="1" x14ac:dyDescent="0.2">
      <c r="A9" s="142" t="s">
        <v>651</v>
      </c>
      <c r="B9" s="141">
        <v>15961.538461538461</v>
      </c>
      <c r="C9" s="141">
        <v>0</v>
      </c>
      <c r="D9" s="141">
        <v>15961.538461538461</v>
      </c>
      <c r="E9" s="141">
        <v>0</v>
      </c>
      <c r="F9" s="141">
        <v>15961.538461538461</v>
      </c>
      <c r="G9" s="141">
        <v>0</v>
      </c>
      <c r="H9" s="141">
        <v>15961.538461538461</v>
      </c>
      <c r="I9" s="141">
        <v>0</v>
      </c>
      <c r="J9" s="141">
        <v>15961.538461538461</v>
      </c>
      <c r="K9" s="141">
        <v>0</v>
      </c>
      <c r="L9" s="141">
        <v>15961.538461538461</v>
      </c>
      <c r="M9" s="141">
        <v>0</v>
      </c>
      <c r="N9" s="141">
        <v>15961.538461538461</v>
      </c>
      <c r="O9" s="142"/>
      <c r="P9" s="142"/>
      <c r="Q9" s="142"/>
      <c r="R9" s="142"/>
      <c r="S9" s="142"/>
      <c r="T9" s="142"/>
      <c r="U9" s="142"/>
      <c r="V9" s="142"/>
      <c r="W9" s="142"/>
      <c r="X9" s="142"/>
      <c r="Y9" s="142"/>
      <c r="Z9" s="142"/>
    </row>
    <row r="10" spans="1:26" ht="14.25" customHeight="1" x14ac:dyDescent="0.2">
      <c r="A10" s="142" t="s">
        <v>652</v>
      </c>
      <c r="B10" s="141"/>
      <c r="C10" s="141"/>
      <c r="D10" s="141"/>
      <c r="E10" s="141">
        <v>25000</v>
      </c>
      <c r="F10" s="141">
        <v>0</v>
      </c>
      <c r="G10" s="141">
        <v>0</v>
      </c>
      <c r="H10" s="141">
        <v>0</v>
      </c>
      <c r="I10" s="141">
        <v>25000</v>
      </c>
      <c r="J10" s="141">
        <v>0</v>
      </c>
      <c r="K10" s="141"/>
      <c r="L10" s="141">
        <v>0</v>
      </c>
      <c r="M10" s="141">
        <v>0</v>
      </c>
      <c r="N10" s="141">
        <v>25000</v>
      </c>
      <c r="O10" s="142"/>
      <c r="P10" s="142"/>
      <c r="Q10" s="142"/>
      <c r="R10" s="142"/>
      <c r="S10" s="142"/>
      <c r="T10" s="142"/>
      <c r="U10" s="142"/>
      <c r="V10" s="142"/>
      <c r="W10" s="142"/>
      <c r="X10" s="142"/>
      <c r="Y10" s="142"/>
      <c r="Z10" s="142"/>
    </row>
    <row r="11" spans="1:26" ht="14.25" customHeight="1" x14ac:dyDescent="0.2">
      <c r="A11" s="142"/>
      <c r="B11" s="141">
        <f t="shared" ref="B11:N11" si="1">SUM(B3:B10)</f>
        <v>58861.238461538458</v>
      </c>
      <c r="C11" s="141">
        <f t="shared" si="1"/>
        <v>10385</v>
      </c>
      <c r="D11" s="141">
        <f t="shared" si="1"/>
        <v>15961.538461538461</v>
      </c>
      <c r="E11" s="141">
        <f t="shared" si="1"/>
        <v>36307</v>
      </c>
      <c r="F11" s="141">
        <f t="shared" si="1"/>
        <v>26345.538461538461</v>
      </c>
      <c r="G11" s="141">
        <f t="shared" si="1"/>
        <v>11307</v>
      </c>
      <c r="H11" s="141">
        <f t="shared" si="1"/>
        <v>15961.538461538461</v>
      </c>
      <c r="I11" s="141">
        <f t="shared" si="1"/>
        <v>25000</v>
      </c>
      <c r="J11" s="141">
        <f t="shared" si="1"/>
        <v>15961.538461538461</v>
      </c>
      <c r="K11" s="141">
        <f t="shared" si="1"/>
        <v>0</v>
      </c>
      <c r="L11" s="141">
        <f t="shared" si="1"/>
        <v>15961.538461538461</v>
      </c>
      <c r="M11" s="141">
        <f t="shared" si="1"/>
        <v>0</v>
      </c>
      <c r="N11" s="141">
        <f t="shared" si="1"/>
        <v>40961.538461538461</v>
      </c>
      <c r="O11" s="142"/>
      <c r="P11" s="142"/>
      <c r="Q11" s="142"/>
      <c r="R11" s="142"/>
      <c r="S11" s="142"/>
      <c r="T11" s="142"/>
      <c r="U11" s="142"/>
      <c r="V11" s="142"/>
      <c r="W11" s="142"/>
      <c r="X11" s="142"/>
      <c r="Y11" s="142"/>
      <c r="Z11" s="142"/>
    </row>
    <row r="12" spans="1:26" ht="14.25" customHeight="1" x14ac:dyDescent="0.2"/>
    <row r="13" spans="1:26" ht="14.25" customHeight="1" x14ac:dyDescent="0.2"/>
    <row r="14" spans="1:26" ht="14.25" customHeight="1" x14ac:dyDescent="0.2"/>
    <row r="15" spans="1:26" ht="14.25" customHeight="1" x14ac:dyDescent="0.2"/>
    <row r="16" spans="1:26"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EBD00125D95D4469473914647B18B60" ma:contentTypeVersion="12" ma:contentTypeDescription="Create a new document." ma:contentTypeScope="" ma:versionID="41da9aabc3f42f30c66ea8a69c8fe032">
  <xsd:schema xmlns:xsd="http://www.w3.org/2001/XMLSchema" xmlns:xs="http://www.w3.org/2001/XMLSchema" xmlns:p="http://schemas.microsoft.com/office/2006/metadata/properties" xmlns:ns2="336c6345-d3c1-41fd-8b25-727bc46934dd" xmlns:ns3="d6ea475d-e1da-4018-ac55-94eddab60233" targetNamespace="http://schemas.microsoft.com/office/2006/metadata/properties" ma:root="true" ma:fieldsID="e45de632088811fdcd36d14eef4d1c2d" ns2:_="" ns3:_="">
    <xsd:import namespace="336c6345-d3c1-41fd-8b25-727bc46934dd"/>
    <xsd:import namespace="d6ea475d-e1da-4018-ac55-94eddab6023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36c6345-d3c1-41fd-8b25-727bc46934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Location" ma:index="15" nillable="true" ma:displayName="Location" ma:indexed="true" ma:internalName="MediaServiceLocatio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dc801b4-2beb-4f0d-b52b-690e49fa68bc"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6ea475d-e1da-4018-ac55-94eddab60233"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7744f5ce-97e1-43c6-9b73-8c0d3867e425}" ma:internalName="TaxCatchAll" ma:showField="CatchAllData" ma:web="d6ea475d-e1da-4018-ac55-94eddab6023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36c6345-d3c1-41fd-8b25-727bc46934dd">
      <Terms xmlns="http://schemas.microsoft.com/office/infopath/2007/PartnerControls"/>
    </lcf76f155ced4ddcb4097134ff3c332f>
    <TaxCatchAll xmlns="d6ea475d-e1da-4018-ac55-94eddab60233" xsi:nil="true"/>
  </documentManagement>
</p:properties>
</file>

<file path=customXml/itemProps1.xml><?xml version="1.0" encoding="utf-8"?>
<ds:datastoreItem xmlns:ds="http://schemas.openxmlformats.org/officeDocument/2006/customXml" ds:itemID="{E6FBC54D-8EC7-453E-821B-349262164B36}">
  <ds:schemaRefs>
    <ds:schemaRef ds:uri="http://schemas.microsoft.com/sharepoint/v3/contenttype/forms"/>
  </ds:schemaRefs>
</ds:datastoreItem>
</file>

<file path=customXml/itemProps2.xml><?xml version="1.0" encoding="utf-8"?>
<ds:datastoreItem xmlns:ds="http://schemas.openxmlformats.org/officeDocument/2006/customXml" ds:itemID="{7458C7B9-4D68-472C-9C79-9B7E9AC895D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36c6345-d3c1-41fd-8b25-727bc46934dd"/>
    <ds:schemaRef ds:uri="d6ea475d-e1da-4018-ac55-94eddab602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DFF9386-3087-4891-AE9B-185111C0127D}">
  <ds:schemaRefs>
    <ds:schemaRef ds:uri="http://schemas.microsoft.com/office/2006/metadata/properties"/>
    <ds:schemaRef ds:uri="http://purl.org/dc/elements/1.1/"/>
    <ds:schemaRef ds:uri="http://schemas.microsoft.com/office/2006/documentManagement/types"/>
    <ds:schemaRef ds:uri="http://schemas.openxmlformats.org/package/2006/metadata/core-properties"/>
    <ds:schemaRef ds:uri="http://schemas.microsoft.com/office/infopath/2007/PartnerControls"/>
    <ds:schemaRef ds:uri="336c6345-d3c1-41fd-8b25-727bc46934dd"/>
    <ds:schemaRef ds:uri="http://purl.org/dc/dcmitype/"/>
    <ds:schemaRef ds:uri="http://www.w3.org/XML/1998/namespace"/>
    <ds:schemaRef ds:uri="d6ea475d-e1da-4018-ac55-94eddab60233"/>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20</vt:i4>
      </vt:variant>
    </vt:vector>
  </HeadingPairs>
  <TitlesOfParts>
    <vt:vector size="20" baseType="lpstr">
      <vt:lpstr>DEFINITIONS</vt:lpstr>
      <vt:lpstr>CURRENT FORECAST START DATE</vt:lpstr>
      <vt:lpstr>Weekly Spend</vt:lpstr>
      <vt:lpstr>CURRENT WEEK CASHFLOW FORECAST</vt:lpstr>
      <vt:lpstr>Sheet1</vt:lpstr>
      <vt:lpstr>Cash Receipts</vt:lpstr>
      <vt:lpstr>LAST WEEK CASHFLOW FORECAST</vt:lpstr>
      <vt:lpstr>CASHFLOW VARIANCE ANALYSIS</vt:lpstr>
      <vt:lpstr>NRE Inventory</vt:lpstr>
      <vt:lpstr>Memory Chips &amp; Issoy Sale</vt:lpstr>
      <vt:lpstr>Sheet3</vt:lpstr>
      <vt:lpstr>MTN Payment Schedule Summary</vt:lpstr>
      <vt:lpstr>New Gryphon SOW CLS Optimized</vt:lpstr>
      <vt:lpstr>Cash in v1</vt:lpstr>
      <vt:lpstr>Cash in detail</vt:lpstr>
      <vt:lpstr>Cash in old version</vt:lpstr>
      <vt:lpstr>Labor Spend</vt:lpstr>
      <vt:lpstr>PO 3 Shipment</vt:lpstr>
      <vt:lpstr>SC Cost File</vt:lpstr>
      <vt:lpstr>Susan PGL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Reed Cease</dc:creator>
  <cp:keywords/>
  <dc:description/>
  <cp:lastModifiedBy>Steven Cistulli</cp:lastModifiedBy>
  <cp:revision/>
  <dcterms:created xsi:type="dcterms:W3CDTF">2025-03-21T17:34:40Z</dcterms:created>
  <dcterms:modified xsi:type="dcterms:W3CDTF">2025-11-15T16:12:07Z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0x010100EEBD00125D95D4469473914647B18B60</vt:lpwstr>
  </property>
  <property fmtid="{D5CDD505-2E9C-101B-9397-08002B2CF9AE}" pid="3" name="MediaServiceImageTags">
    <vt:lpwstr/>
  </property>
</Properties>
</file>